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45739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45739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45739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45739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45739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45739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45739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45739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45739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45739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45739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45739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45739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45739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45739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45739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45739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45739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45739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45739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45739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</v>
      </c>
      <c r="C23" s="1" t="n">
        <v>45739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11710-2025</t>
        </is>
      </c>
      <c r="B24" s="1" t="n">
        <v>45727</v>
      </c>
      <c r="C24" s="1" t="n">
        <v>45739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11710-2025 artfynd.xlsx", "A 11710-2025")</f>
        <v/>
      </c>
      <c r="T24">
        <f>HYPERLINK("https://klasma.github.io/Logging_2081/kartor/A 11710-2025 karta.png", "A 11710-2025")</f>
        <v/>
      </c>
      <c r="U24">
        <f>HYPERLINK("https://klasma.github.io/Logging_2081/knärot/A 11710-2025 karta knärot.png", "A 11710-2025")</f>
        <v/>
      </c>
      <c r="V24">
        <f>HYPERLINK("https://klasma.github.io/Logging_2081/klagomål/A 11710-2025 FSC-klagomål.docx", "A 11710-2025")</f>
        <v/>
      </c>
      <c r="W24">
        <f>HYPERLINK("https://klasma.github.io/Logging_2081/klagomålsmail/A 11710-2025 FSC-klagomål mail.docx", "A 11710-2025")</f>
        <v/>
      </c>
      <c r="X24">
        <f>HYPERLINK("https://klasma.github.io/Logging_2081/tillsyn/A 11710-2025 tillsynsbegäran.docx", "A 11710-2025")</f>
        <v/>
      </c>
      <c r="Y24">
        <f>HYPERLINK("https://klasma.github.io/Logging_2081/tillsynsmail/A 11710-2025 tillsynsbegäran mail.docx", "A 11710-2025")</f>
        <v/>
      </c>
    </row>
    <row r="25" ht="15" customHeight="1">
      <c r="A25" t="inlineStr">
        <is>
          <t>A 66569-2019</t>
        </is>
      </c>
      <c r="B25" s="1" t="n">
        <v>43781</v>
      </c>
      <c r="C25" s="1" t="n">
        <v>45739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Kopparspindling
Strimspindling
Svavelriska</t>
        </is>
      </c>
      <c r="S25">
        <f>HYPERLINK("https://klasma.github.io/Logging_2081/artfynd/A 66569-2019 artfynd.xlsx", "A 66569-2019")</f>
        <v/>
      </c>
      <c r="T25">
        <f>HYPERLINK("https://klasma.github.io/Logging_2081/kartor/A 66569-2019 karta.png", "A 66569-2019")</f>
        <v/>
      </c>
      <c r="V25">
        <f>HYPERLINK("https://klasma.github.io/Logging_2081/klagomål/A 66569-2019 FSC-klagomål.docx", "A 66569-2019")</f>
        <v/>
      </c>
      <c r="W25">
        <f>HYPERLINK("https://klasma.github.io/Logging_2081/klagomålsmail/A 66569-2019 FSC-klagomål mail.docx", "A 66569-2019")</f>
        <v/>
      </c>
      <c r="X25">
        <f>HYPERLINK("https://klasma.github.io/Logging_2081/tillsyn/A 66569-2019 tillsynsbegäran.docx", "A 66569-2019")</f>
        <v/>
      </c>
      <c r="Y25">
        <f>HYPERLINK("https://klasma.github.io/Logging_2081/tillsynsmail/A 66569-2019 tillsynsbegäran mail.docx", "A 66569-2019")</f>
        <v/>
      </c>
    </row>
    <row r="26" ht="15" customHeight="1">
      <c r="A26" t="inlineStr">
        <is>
          <t>A 6094-2022</t>
        </is>
      </c>
      <c r="B26" s="1" t="n">
        <v>44599</v>
      </c>
      <c r="C26" s="1" t="n">
        <v>45739</v>
      </c>
      <c r="D26" t="inlineStr">
        <is>
          <t>DALARNAS LÄN</t>
        </is>
      </c>
      <c r="E26" t="inlineStr">
        <is>
          <t>BORLÄNGE</t>
        </is>
      </c>
      <c r="G26" t="n">
        <v>19.7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Bronshjon
Rödgul trumpetsvamp</t>
        </is>
      </c>
      <c r="S26">
        <f>HYPERLINK("https://klasma.github.io/Logging_2081/artfynd/A 6094-2022 artfynd.xlsx", "A 6094-2022")</f>
        <v/>
      </c>
      <c r="T26">
        <f>HYPERLINK("https://klasma.github.io/Logging_2081/kartor/A 6094-2022 karta.png", "A 6094-2022")</f>
        <v/>
      </c>
      <c r="V26">
        <f>HYPERLINK("https://klasma.github.io/Logging_2081/klagomål/A 6094-2022 FSC-klagomål.docx", "A 6094-2022")</f>
        <v/>
      </c>
      <c r="W26">
        <f>HYPERLINK("https://klasma.github.io/Logging_2081/klagomålsmail/A 6094-2022 FSC-klagomål mail.docx", "A 6094-2022")</f>
        <v/>
      </c>
      <c r="X26">
        <f>HYPERLINK("https://klasma.github.io/Logging_2081/tillsyn/A 6094-2022 tillsynsbegäran.docx", "A 6094-2022")</f>
        <v/>
      </c>
      <c r="Y26">
        <f>HYPERLINK("https://klasma.github.io/Logging_2081/tillsynsmail/A 6094-2022 tillsynsbegäran mail.docx", "A 6094-2022")</f>
        <v/>
      </c>
    </row>
    <row r="27" ht="15" customHeight="1">
      <c r="A27" t="inlineStr">
        <is>
          <t>A 6972-2022</t>
        </is>
      </c>
      <c r="B27" s="1" t="n">
        <v>44603</v>
      </c>
      <c r="C27" s="1" t="n">
        <v>45739</v>
      </c>
      <c r="D27" t="inlineStr">
        <is>
          <t>DALARNAS LÄN</t>
        </is>
      </c>
      <c r="E27" t="inlineStr">
        <is>
          <t>BORLÄNGE</t>
        </is>
      </c>
      <c r="G27" t="n">
        <v>3.5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Leptoporus mollis
Talltita
Mattlummer</t>
        </is>
      </c>
      <c r="S27">
        <f>HYPERLINK("https://klasma.github.io/Logging_2081/artfynd/A 6972-2022 artfynd.xlsx", "A 6972-2022")</f>
        <v/>
      </c>
      <c r="T27">
        <f>HYPERLINK("https://klasma.github.io/Logging_2081/kartor/A 6972-2022 karta.png", "A 6972-2022")</f>
        <v/>
      </c>
      <c r="V27">
        <f>HYPERLINK("https://klasma.github.io/Logging_2081/klagomål/A 6972-2022 FSC-klagomål.docx", "A 6972-2022")</f>
        <v/>
      </c>
      <c r="W27">
        <f>HYPERLINK("https://klasma.github.io/Logging_2081/klagomålsmail/A 6972-2022 FSC-klagomål mail.docx", "A 6972-2022")</f>
        <v/>
      </c>
      <c r="X27">
        <f>HYPERLINK("https://klasma.github.io/Logging_2081/tillsyn/A 6972-2022 tillsynsbegäran.docx", "A 6972-2022")</f>
        <v/>
      </c>
      <c r="Y27">
        <f>HYPERLINK("https://klasma.github.io/Logging_2081/tillsynsmail/A 6972-2022 tillsynsbegäran mail.docx", "A 6972-2022")</f>
        <v/>
      </c>
      <c r="Z27">
        <f>HYPERLINK("https://klasma.github.io/Logging_2081/fåglar/A 6972-2022 prioriterade fågelarter.docx", "A 6972-2022")</f>
        <v/>
      </c>
    </row>
    <row r="28" ht="15" customHeight="1">
      <c r="A28" t="inlineStr">
        <is>
          <t>A 59665-2022</t>
        </is>
      </c>
      <c r="B28" s="1" t="n">
        <v>44908</v>
      </c>
      <c r="C28" s="1" t="n">
        <v>45739</v>
      </c>
      <c r="D28" t="inlineStr">
        <is>
          <t>DALARNAS LÄN</t>
        </is>
      </c>
      <c r="E28" t="inlineStr">
        <is>
          <t>BORLÄNGE</t>
        </is>
      </c>
      <c r="G28" t="n">
        <v>16.1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Tjäder
Fläcknycklar</t>
        </is>
      </c>
      <c r="S28">
        <f>HYPERLINK("https://klasma.github.io/Logging_2081/artfynd/A 59665-2022 artfynd.xlsx", "A 59665-2022")</f>
        <v/>
      </c>
      <c r="T28">
        <f>HYPERLINK("https://klasma.github.io/Logging_2081/kartor/A 59665-2022 karta.png", "A 59665-2022")</f>
        <v/>
      </c>
      <c r="U28">
        <f>HYPERLINK("https://klasma.github.io/Logging_2081/knärot/A 59665-2022 karta knärot.png", "A 59665-2022")</f>
        <v/>
      </c>
      <c r="V28">
        <f>HYPERLINK("https://klasma.github.io/Logging_2081/klagomål/A 59665-2022 FSC-klagomål.docx", "A 59665-2022")</f>
        <v/>
      </c>
      <c r="W28">
        <f>HYPERLINK("https://klasma.github.io/Logging_2081/klagomålsmail/A 59665-2022 FSC-klagomål mail.docx", "A 59665-2022")</f>
        <v/>
      </c>
      <c r="X28">
        <f>HYPERLINK("https://klasma.github.io/Logging_2081/tillsyn/A 59665-2022 tillsynsbegäran.docx", "A 59665-2022")</f>
        <v/>
      </c>
      <c r="Y28">
        <f>HYPERLINK("https://klasma.github.io/Logging_2081/tillsynsmail/A 59665-2022 tillsynsbegäran mail.docx", "A 59665-2022")</f>
        <v/>
      </c>
      <c r="Z28">
        <f>HYPERLINK("https://klasma.github.io/Logging_2081/fåglar/A 59665-2022 prioriterade fågelarter.docx", "A 59665-2022")</f>
        <v/>
      </c>
    </row>
    <row r="29" ht="15" customHeight="1">
      <c r="A29" t="inlineStr">
        <is>
          <t>A 22913-2023</t>
        </is>
      </c>
      <c r="B29" s="1" t="n">
        <v>45072</v>
      </c>
      <c r="C29" s="1" t="n">
        <v>45739</v>
      </c>
      <c r="D29" t="inlineStr">
        <is>
          <t>DALARNAS LÄN</t>
        </is>
      </c>
      <c r="E29" t="inlineStr">
        <is>
          <t>BORLÄNGE</t>
        </is>
      </c>
      <c r="G29" t="n">
        <v>3.2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Ullticka</t>
        </is>
      </c>
      <c r="S29">
        <f>HYPERLINK("https://klasma.github.io/Logging_2081/artfynd/A 22913-2023 artfynd.xlsx", "A 22913-2023")</f>
        <v/>
      </c>
      <c r="T29">
        <f>HYPERLINK("https://klasma.github.io/Logging_2081/kartor/A 22913-2023 karta.png", "A 22913-2023")</f>
        <v/>
      </c>
      <c r="U29">
        <f>HYPERLINK("https://klasma.github.io/Logging_2081/knärot/A 22913-2023 karta knärot.png", "A 22913-2023")</f>
        <v/>
      </c>
      <c r="V29">
        <f>HYPERLINK("https://klasma.github.io/Logging_2081/klagomål/A 22913-2023 FSC-klagomål.docx", "A 22913-2023")</f>
        <v/>
      </c>
      <c r="W29">
        <f>HYPERLINK("https://klasma.github.io/Logging_2081/klagomålsmail/A 22913-2023 FSC-klagomål mail.docx", "A 22913-2023")</f>
        <v/>
      </c>
      <c r="X29">
        <f>HYPERLINK("https://klasma.github.io/Logging_2081/tillsyn/A 22913-2023 tillsynsbegäran.docx", "A 22913-2023")</f>
        <v/>
      </c>
      <c r="Y29">
        <f>HYPERLINK("https://klasma.github.io/Logging_2081/tillsynsmail/A 22913-2023 tillsynsbegäran mail.docx", "A 22913-2023")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45739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1737-2024</t>
        </is>
      </c>
      <c r="B31" s="1" t="n">
        <v>45307</v>
      </c>
      <c r="C31" s="1" t="n">
        <v>45739</v>
      </c>
      <c r="D31" t="inlineStr">
        <is>
          <t>DALARNAS LÄN</t>
        </is>
      </c>
      <c r="E31" t="inlineStr">
        <is>
          <t>BORLÄNGE</t>
        </is>
      </c>
      <c r="G31" t="n">
        <v>2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Ullticka
Blodticka</t>
        </is>
      </c>
      <c r="S31">
        <f>HYPERLINK("https://klasma.github.io/Logging_2081/artfynd/A 1737-2024 artfynd.xlsx", "A 1737-2024")</f>
        <v/>
      </c>
      <c r="T31">
        <f>HYPERLINK("https://klasma.github.io/Logging_2081/kartor/A 1737-2024 karta.png", "A 1737-2024")</f>
        <v/>
      </c>
      <c r="V31">
        <f>HYPERLINK("https://klasma.github.io/Logging_2081/klagomål/A 1737-2024 FSC-klagomål.docx", "A 1737-2024")</f>
        <v/>
      </c>
      <c r="W31">
        <f>HYPERLINK("https://klasma.github.io/Logging_2081/klagomålsmail/A 1737-2024 FSC-klagomål mail.docx", "A 1737-2024")</f>
        <v/>
      </c>
      <c r="X31">
        <f>HYPERLINK("https://klasma.github.io/Logging_2081/tillsyn/A 1737-2024 tillsynsbegäran.docx", "A 1737-2024")</f>
        <v/>
      </c>
      <c r="Y31">
        <f>HYPERLINK("https://klasma.github.io/Logging_2081/tillsynsmail/A 1737-2024 tillsynsbegäran mail.docx", "A 1737-2024")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45739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45739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3087-2025</t>
        </is>
      </c>
      <c r="B34" s="1" t="n">
        <v>45678</v>
      </c>
      <c r="C34" s="1" t="n">
        <v>45739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10.8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Blåsippa</t>
        </is>
      </c>
      <c r="S34">
        <f>HYPERLINK("https://klasma.github.io/Logging_2081/artfynd/A 3087-2025 artfynd.xlsx", "A 3087-2025")</f>
        <v/>
      </c>
      <c r="T34">
        <f>HYPERLINK("https://klasma.github.io/Logging_2081/kartor/A 3087-2025 karta.png", "A 3087-2025")</f>
        <v/>
      </c>
      <c r="V34">
        <f>HYPERLINK("https://klasma.github.io/Logging_2081/klagomål/A 3087-2025 FSC-klagomål.docx", "A 3087-2025")</f>
        <v/>
      </c>
      <c r="W34">
        <f>HYPERLINK("https://klasma.github.io/Logging_2081/klagomålsmail/A 3087-2025 FSC-klagomål mail.docx", "A 3087-2025")</f>
        <v/>
      </c>
      <c r="X34">
        <f>HYPERLINK("https://klasma.github.io/Logging_2081/tillsyn/A 3087-2025 tillsynsbegäran.docx", "A 3087-2025")</f>
        <v/>
      </c>
      <c r="Y34">
        <f>HYPERLINK("https://klasma.github.io/Logging_2081/tillsynsmail/A 3087-2025 tillsynsbegäran mail.docx", "A 3087-2025")</f>
        <v/>
      </c>
    </row>
    <row r="35" ht="15" customHeight="1">
      <c r="A35" t="inlineStr">
        <is>
          <t>A 3067-2025</t>
        </is>
      </c>
      <c r="B35" s="1" t="n">
        <v>45678</v>
      </c>
      <c r="C35" s="1" t="n">
        <v>45739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8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Vedticka</t>
        </is>
      </c>
      <c r="S35">
        <f>HYPERLINK("https://klasma.github.io/Logging_2081/artfynd/A 3067-2025 artfynd.xlsx", "A 3067-2025")</f>
        <v/>
      </c>
      <c r="T35">
        <f>HYPERLINK("https://klasma.github.io/Logging_2081/kartor/A 3067-2025 karta.png", "A 3067-2025")</f>
        <v/>
      </c>
      <c r="U35">
        <f>HYPERLINK("https://klasma.github.io/Logging_2081/knärot/A 3067-2025 karta knärot.png", "A 3067-2025")</f>
        <v/>
      </c>
      <c r="V35">
        <f>HYPERLINK("https://klasma.github.io/Logging_2081/klagomål/A 3067-2025 FSC-klagomål.docx", "A 3067-2025")</f>
        <v/>
      </c>
      <c r="W35">
        <f>HYPERLINK("https://klasma.github.io/Logging_2081/klagomålsmail/A 3067-2025 FSC-klagomål mail.docx", "A 3067-2025")</f>
        <v/>
      </c>
      <c r="X35">
        <f>HYPERLINK("https://klasma.github.io/Logging_2081/tillsyn/A 3067-2025 tillsynsbegäran.docx", "A 3067-2025")</f>
        <v/>
      </c>
      <c r="Y35">
        <f>HYPERLINK("https://klasma.github.io/Logging_2081/tillsynsmail/A 3067-2025 tillsynsbegäran mail.docx", "A 3067-2025")</f>
        <v/>
      </c>
    </row>
    <row r="36" ht="15" customHeight="1">
      <c r="A36" t="inlineStr">
        <is>
          <t>A 67989-2019</t>
        </is>
      </c>
      <c r="B36" s="1" t="n">
        <v>43811</v>
      </c>
      <c r="C36" s="1" t="n">
        <v>45739</v>
      </c>
      <c r="D36" t="inlineStr">
        <is>
          <t>DALARNAS LÄN</t>
        </is>
      </c>
      <c r="E36" t="inlineStr">
        <is>
          <t>BORLÄNGE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Blåsippa</t>
        </is>
      </c>
      <c r="S36">
        <f>HYPERLINK("https://klasma.github.io/Logging_2081/artfynd/A 67989-2019 artfynd.xlsx", "A 67989-2019")</f>
        <v/>
      </c>
      <c r="T36">
        <f>HYPERLINK("https://klasma.github.io/Logging_2081/kartor/A 67989-2019 karta.png", "A 67989-2019")</f>
        <v/>
      </c>
      <c r="V36">
        <f>HYPERLINK("https://klasma.github.io/Logging_2081/klagomål/A 67989-2019 FSC-klagomål.docx", "A 67989-2019")</f>
        <v/>
      </c>
      <c r="W36">
        <f>HYPERLINK("https://klasma.github.io/Logging_2081/klagomålsmail/A 67989-2019 FSC-klagomål mail.docx", "A 67989-2019")</f>
        <v/>
      </c>
      <c r="X36">
        <f>HYPERLINK("https://klasma.github.io/Logging_2081/tillsyn/A 67989-2019 tillsynsbegäran.docx", "A 67989-2019")</f>
        <v/>
      </c>
      <c r="Y36">
        <f>HYPERLINK("https://klasma.github.io/Logging_2081/tillsynsmail/A 67989-2019 tillsynsbegäran mail.docx", "A 67989-2019")</f>
        <v/>
      </c>
    </row>
    <row r="37" ht="15" customHeight="1">
      <c r="A37" t="inlineStr">
        <is>
          <t>A 29908-2021</t>
        </is>
      </c>
      <c r="B37" s="1" t="n">
        <v>44362</v>
      </c>
      <c r="C37" s="1" t="n">
        <v>45739</v>
      </c>
      <c r="D37" t="inlineStr">
        <is>
          <t>DALARNAS LÄN</t>
        </is>
      </c>
      <c r="E37" t="inlineStr">
        <is>
          <t>BORLÄNGE</t>
        </is>
      </c>
      <c r="G37" t="n">
        <v>4.6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Violettgrå tagellav
Dropptaggsvamp</t>
        </is>
      </c>
      <c r="S37">
        <f>HYPERLINK("https://klasma.github.io/Logging_2081/artfynd/A 29908-2021 artfynd.xlsx", "A 29908-2021")</f>
        <v/>
      </c>
      <c r="T37">
        <f>HYPERLINK("https://klasma.github.io/Logging_2081/kartor/A 29908-2021 karta.png", "A 29908-2021")</f>
        <v/>
      </c>
      <c r="V37">
        <f>HYPERLINK("https://klasma.github.io/Logging_2081/klagomål/A 29908-2021 FSC-klagomål.docx", "A 29908-2021")</f>
        <v/>
      </c>
      <c r="W37">
        <f>HYPERLINK("https://klasma.github.io/Logging_2081/klagomålsmail/A 29908-2021 FSC-klagomål mail.docx", "A 29908-2021")</f>
        <v/>
      </c>
      <c r="X37">
        <f>HYPERLINK("https://klasma.github.io/Logging_2081/tillsyn/A 29908-2021 tillsynsbegäran.docx", "A 29908-2021")</f>
        <v/>
      </c>
      <c r="Y37">
        <f>HYPERLINK("https://klasma.github.io/Logging_2081/tillsynsmail/A 29908-2021 tillsynsbegäran mail.docx", "A 29908-2021")</f>
        <v/>
      </c>
    </row>
    <row r="38" ht="15" customHeight="1">
      <c r="A38" t="inlineStr">
        <is>
          <t>A 40578-2021</t>
        </is>
      </c>
      <c r="B38" s="1" t="n">
        <v>44420</v>
      </c>
      <c r="C38" s="1" t="n">
        <v>45739</v>
      </c>
      <c r="D38" t="inlineStr">
        <is>
          <t>DALARNAS LÄN</t>
        </is>
      </c>
      <c r="E38" t="inlineStr">
        <is>
          <t>BORLÄNGE</t>
        </is>
      </c>
      <c r="G38" t="n">
        <v>3.8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HYPERLINK("https://klasma.github.io/Logging_2081/artfynd/A 40578-2021 artfynd.xlsx", "A 40578-2021")</f>
        <v/>
      </c>
      <c r="T38">
        <f>HYPERLINK("https://klasma.github.io/Logging_2081/kartor/A 40578-2021 karta.png", "A 40578-2021")</f>
        <v/>
      </c>
      <c r="U38">
        <f>HYPERLINK("https://klasma.github.io/Logging_2081/knärot/A 40578-2021 karta knärot.png", "A 40578-2021")</f>
        <v/>
      </c>
      <c r="V38">
        <f>HYPERLINK("https://klasma.github.io/Logging_2081/klagomål/A 40578-2021 FSC-klagomål.docx", "A 40578-2021")</f>
        <v/>
      </c>
      <c r="W38">
        <f>HYPERLINK("https://klasma.github.io/Logging_2081/klagomålsmail/A 40578-2021 FSC-klagomål mail.docx", "A 40578-2021")</f>
        <v/>
      </c>
      <c r="X38">
        <f>HYPERLINK("https://klasma.github.io/Logging_2081/tillsyn/A 40578-2021 tillsynsbegäran.docx", "A 40578-2021")</f>
        <v/>
      </c>
      <c r="Y38">
        <f>HYPERLINK("https://klasma.github.io/Logging_2081/tillsynsmail/A 40578-2021 tillsynsbegäran mail.docx", "A 40578-2021")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45739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51992-2021</t>
        </is>
      </c>
      <c r="B40" s="1" t="n">
        <v>44463</v>
      </c>
      <c r="C40" s="1" t="n">
        <v>45739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Rödgul trumpetsvamp</t>
        </is>
      </c>
      <c r="S40">
        <f>HYPERLINK("https://klasma.github.io/Logging_2081/artfynd/A 51992-2021 artfynd.xlsx", "A 51992-2021")</f>
        <v/>
      </c>
      <c r="T40">
        <f>HYPERLINK("https://klasma.github.io/Logging_2081/kartor/A 51992-2021 karta.png", "A 51992-2021")</f>
        <v/>
      </c>
      <c r="V40">
        <f>HYPERLINK("https://klasma.github.io/Logging_2081/klagomål/A 51992-2021 FSC-klagomål.docx", "A 51992-2021")</f>
        <v/>
      </c>
      <c r="W40">
        <f>HYPERLINK("https://klasma.github.io/Logging_2081/klagomålsmail/A 51992-2021 FSC-klagomål mail.docx", "A 51992-2021")</f>
        <v/>
      </c>
      <c r="X40">
        <f>HYPERLINK("https://klasma.github.io/Logging_2081/tillsyn/A 51992-2021 tillsynsbegäran.docx", "A 51992-2021")</f>
        <v/>
      </c>
      <c r="Y40">
        <f>HYPERLINK("https://klasma.github.io/Logging_2081/tillsynsmail/A 51992-2021 tillsynsbegäran mail.docx", "A 51992-2021")</f>
        <v/>
      </c>
    </row>
    <row r="41" ht="15" customHeight="1">
      <c r="A41" t="inlineStr">
        <is>
          <t>A 58556-2021</t>
        </is>
      </c>
      <c r="B41" s="1" t="n">
        <v>44488</v>
      </c>
      <c r="C41" s="1" t="n">
        <v>45739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58556-2021 artfynd.xlsx", "A 58556-2021")</f>
        <v/>
      </c>
      <c r="T41">
        <f>HYPERLINK("https://klasma.github.io/Logging_2081/kartor/A 58556-2021 karta.png", "A 58556-2021")</f>
        <v/>
      </c>
      <c r="V41">
        <f>HYPERLINK("https://klasma.github.io/Logging_2081/klagomål/A 58556-2021 FSC-klagomål.docx", "A 58556-2021")</f>
        <v/>
      </c>
      <c r="W41">
        <f>HYPERLINK("https://klasma.github.io/Logging_2081/klagomålsmail/A 58556-2021 FSC-klagomål mail.docx", "A 58556-2021")</f>
        <v/>
      </c>
      <c r="X41">
        <f>HYPERLINK("https://klasma.github.io/Logging_2081/tillsyn/A 58556-2021 tillsynsbegäran.docx", "A 58556-2021")</f>
        <v/>
      </c>
      <c r="Y41">
        <f>HYPERLINK("https://klasma.github.io/Logging_2081/tillsynsmail/A 58556-2021 tillsynsbegäran mail.docx", "A 58556-2021")</f>
        <v/>
      </c>
      <c r="Z41">
        <f>HYPERLINK("https://klasma.github.io/Logging_2081/fåglar/A 58556-2021 prioriterade fågelarter.docx", "A 58556-2021")</f>
        <v/>
      </c>
    </row>
    <row r="42" ht="15" customHeight="1">
      <c r="A42" t="inlineStr">
        <is>
          <t>A 59701-2021</t>
        </is>
      </c>
      <c r="B42" s="1" t="n">
        <v>44494</v>
      </c>
      <c r="C42" s="1" t="n">
        <v>45739</v>
      </c>
      <c r="D42" t="inlineStr">
        <is>
          <t>DALARNAS LÄN</t>
        </is>
      </c>
      <c r="E42" t="inlineStr">
        <is>
          <t>BORLÄNGE</t>
        </is>
      </c>
      <c r="G42" t="n">
        <v>3.9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Svavelriska</t>
        </is>
      </c>
      <c r="S42">
        <f>HYPERLINK("https://klasma.github.io/Logging_2081/artfynd/A 59701-2021 artfynd.xlsx", "A 59701-2021")</f>
        <v/>
      </c>
      <c r="T42">
        <f>HYPERLINK("https://klasma.github.io/Logging_2081/kartor/A 59701-2021 karta.png", "A 59701-2021")</f>
        <v/>
      </c>
      <c r="V42">
        <f>HYPERLINK("https://klasma.github.io/Logging_2081/klagomål/A 59701-2021 FSC-klagomål.docx", "A 59701-2021")</f>
        <v/>
      </c>
      <c r="W42">
        <f>HYPERLINK("https://klasma.github.io/Logging_2081/klagomålsmail/A 59701-2021 FSC-klagomål mail.docx", "A 59701-2021")</f>
        <v/>
      </c>
      <c r="X42">
        <f>HYPERLINK("https://klasma.github.io/Logging_2081/tillsyn/A 59701-2021 tillsynsbegäran.docx", "A 59701-2021")</f>
        <v/>
      </c>
      <c r="Y42">
        <f>HYPERLINK("https://klasma.github.io/Logging_2081/tillsynsmail/A 59701-2021 tillsynsbegäran mail.docx", "A 59701-2021")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45739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45739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45739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12444-2023</t>
        </is>
      </c>
      <c r="B46" s="1" t="n">
        <v>44999</v>
      </c>
      <c r="C46" s="1" t="n">
        <v>45739</v>
      </c>
      <c r="D46" t="inlineStr">
        <is>
          <t>DALARNAS LÄN</t>
        </is>
      </c>
      <c r="E46" t="inlineStr">
        <is>
          <t>BORLÄNGE</t>
        </is>
      </c>
      <c r="G46" t="n">
        <v>7.5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Talltita</t>
        </is>
      </c>
      <c r="S46">
        <f>HYPERLINK("https://klasma.github.io/Logging_2081/artfynd/A 12444-2023 artfynd.xlsx", "A 12444-2023")</f>
        <v/>
      </c>
      <c r="T46">
        <f>HYPERLINK("https://klasma.github.io/Logging_2081/kartor/A 12444-2023 karta.png", "A 12444-2023")</f>
        <v/>
      </c>
      <c r="V46">
        <f>HYPERLINK("https://klasma.github.io/Logging_2081/klagomål/A 12444-2023 FSC-klagomål.docx", "A 12444-2023")</f>
        <v/>
      </c>
      <c r="W46">
        <f>HYPERLINK("https://klasma.github.io/Logging_2081/klagomålsmail/A 12444-2023 FSC-klagomål mail.docx", "A 12444-2023")</f>
        <v/>
      </c>
      <c r="X46">
        <f>HYPERLINK("https://klasma.github.io/Logging_2081/tillsyn/A 12444-2023 tillsynsbegäran.docx", "A 12444-2023")</f>
        <v/>
      </c>
      <c r="Y46">
        <f>HYPERLINK("https://klasma.github.io/Logging_2081/tillsynsmail/A 12444-2023 tillsynsbegäran mail.docx", "A 12444-2023")</f>
        <v/>
      </c>
      <c r="Z46">
        <f>HYPERLINK("https://klasma.github.io/Logging_2081/fåglar/A 12444-2023 prioriterade fågelarter.docx", "A 12444-2023")</f>
        <v/>
      </c>
    </row>
    <row r="47" ht="15" customHeight="1">
      <c r="A47" t="inlineStr">
        <is>
          <t>A 14651-2023</t>
        </is>
      </c>
      <c r="B47" s="1" t="n">
        <v>45013</v>
      </c>
      <c r="C47" s="1" t="n">
        <v>45739</v>
      </c>
      <c r="D47" t="inlineStr">
        <is>
          <t>DALARNAS LÄN</t>
        </is>
      </c>
      <c r="E47" t="inlineStr">
        <is>
          <t>BORLÄNGE</t>
        </is>
      </c>
      <c r="G47" t="n">
        <v>16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Tallticka</t>
        </is>
      </c>
      <c r="S47">
        <f>HYPERLINK("https://klasma.github.io/Logging_2081/artfynd/A 14651-2023 artfynd.xlsx", "A 14651-2023")</f>
        <v/>
      </c>
      <c r="T47">
        <f>HYPERLINK("https://klasma.github.io/Logging_2081/kartor/A 14651-2023 karta.png", "A 14651-2023")</f>
        <v/>
      </c>
      <c r="U47">
        <f>HYPERLINK("https://klasma.github.io/Logging_2081/knärot/A 14651-2023 karta knärot.png", "A 14651-2023")</f>
        <v/>
      </c>
      <c r="V47">
        <f>HYPERLINK("https://klasma.github.io/Logging_2081/klagomål/A 14651-2023 FSC-klagomål.docx", "A 14651-2023")</f>
        <v/>
      </c>
      <c r="W47">
        <f>HYPERLINK("https://klasma.github.io/Logging_2081/klagomålsmail/A 14651-2023 FSC-klagomål mail.docx", "A 14651-2023")</f>
        <v/>
      </c>
      <c r="X47">
        <f>HYPERLINK("https://klasma.github.io/Logging_2081/tillsyn/A 14651-2023 tillsynsbegäran.docx", "A 14651-2023")</f>
        <v/>
      </c>
      <c r="Y47">
        <f>HYPERLINK("https://klasma.github.io/Logging_2081/tillsynsmail/A 14651-2023 tillsynsbegäran mail.docx", "A 14651-2023")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45739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45739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31680-2023</t>
        </is>
      </c>
      <c r="B50" s="1" t="n">
        <v>45117</v>
      </c>
      <c r="C50" s="1" t="n">
        <v>45739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Vågbandad barkbock
Blåsippa</t>
        </is>
      </c>
      <c r="S50">
        <f>HYPERLINK("https://klasma.github.io/Logging_2081/artfynd/A 31680-2023 artfynd.xlsx", "A 31680-2023")</f>
        <v/>
      </c>
      <c r="T50">
        <f>HYPERLINK("https://klasma.github.io/Logging_2081/kartor/A 31680-2023 karta.png", "A 31680-2023")</f>
        <v/>
      </c>
      <c r="U50">
        <f>HYPERLINK("https://klasma.github.io/Logging_2081/knärot/A 31680-2023 karta knärot.png", "A 31680-2023")</f>
        <v/>
      </c>
      <c r="V50">
        <f>HYPERLINK("https://klasma.github.io/Logging_2081/klagomål/A 31680-2023 FSC-klagomål.docx", "A 31680-2023")</f>
        <v/>
      </c>
      <c r="W50">
        <f>HYPERLINK("https://klasma.github.io/Logging_2081/klagomålsmail/A 31680-2023 FSC-klagomål mail.docx", "A 31680-2023")</f>
        <v/>
      </c>
      <c r="X50">
        <f>HYPERLINK("https://klasma.github.io/Logging_2081/tillsyn/A 31680-2023 tillsynsbegäran.docx", "A 31680-2023")</f>
        <v/>
      </c>
      <c r="Y50">
        <f>HYPERLINK("https://klasma.github.io/Logging_2081/tillsynsmail/A 31680-2023 tillsynsbegäran mail.docx", "A 31680-2023")</f>
        <v/>
      </c>
    </row>
    <row r="51" ht="15" customHeight="1">
      <c r="A51" t="inlineStr">
        <is>
          <t>A 54154-2023</t>
        </is>
      </c>
      <c r="B51" s="1" t="n">
        <v>45232</v>
      </c>
      <c r="C51" s="1" t="n">
        <v>45739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45739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1750-2024</t>
        </is>
      </c>
      <c r="B53" s="1" t="n">
        <v>45307</v>
      </c>
      <c r="C53" s="1" t="n">
        <v>45739</v>
      </c>
      <c r="D53" t="inlineStr">
        <is>
          <t>DALARNAS LÄN</t>
        </is>
      </c>
      <c r="E53" t="inlineStr">
        <is>
          <t>BORLÄNGE</t>
        </is>
      </c>
      <c r="G53" t="n">
        <v>2.9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HYPERLINK("https://klasma.github.io/Logging_2081/artfynd/A 1750-2024 artfynd.xlsx", "A 1750-2024")</f>
        <v/>
      </c>
      <c r="T53">
        <f>HYPERLINK("https://klasma.github.io/Logging_2081/kartor/A 1750-2024 karta.png", "A 1750-2024")</f>
        <v/>
      </c>
      <c r="V53">
        <f>HYPERLINK("https://klasma.github.io/Logging_2081/klagomål/A 1750-2024 FSC-klagomål.docx", "A 1750-2024")</f>
        <v/>
      </c>
      <c r="W53">
        <f>HYPERLINK("https://klasma.github.io/Logging_2081/klagomålsmail/A 1750-2024 FSC-klagomål mail.docx", "A 1750-2024")</f>
        <v/>
      </c>
      <c r="X53">
        <f>HYPERLINK("https://klasma.github.io/Logging_2081/tillsyn/A 1750-2024 tillsynsbegäran.docx", "A 1750-2024")</f>
        <v/>
      </c>
      <c r="Y53">
        <f>HYPERLINK("https://klasma.github.io/Logging_2081/tillsynsmail/A 1750-2024 tillsynsbegäran mail.docx", "A 1750-2024")</f>
        <v/>
      </c>
    </row>
    <row r="54" ht="15" customHeight="1">
      <c r="A54" t="inlineStr">
        <is>
          <t>A 10740-2024</t>
        </is>
      </c>
      <c r="B54" s="1" t="n">
        <v>45369</v>
      </c>
      <c r="C54" s="1" t="n">
        <v>45739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19650-2024</t>
        </is>
      </c>
      <c r="B55" s="1" t="n">
        <v>45432</v>
      </c>
      <c r="C55" s="1" t="n">
        <v>45739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36739-2024</t>
        </is>
      </c>
      <c r="B56" s="1" t="n">
        <v>45538</v>
      </c>
      <c r="C56" s="1" t="n">
        <v>45739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9.5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Ullticka</t>
        </is>
      </c>
      <c r="S56">
        <f>HYPERLINK("https://klasma.github.io/Logging_2081/artfynd/A 36739-2024 artfynd.xlsx", "A 36739-2024")</f>
        <v/>
      </c>
      <c r="T56">
        <f>HYPERLINK("https://klasma.github.io/Logging_2081/kartor/A 36739-2024 karta.png", "A 36739-2024")</f>
        <v/>
      </c>
      <c r="U56">
        <f>HYPERLINK("https://klasma.github.io/Logging_2081/knärot/A 36739-2024 karta knärot.png", "A 36739-2024")</f>
        <v/>
      </c>
      <c r="V56">
        <f>HYPERLINK("https://klasma.github.io/Logging_2081/klagomål/A 36739-2024 FSC-klagomål.docx", "A 36739-2024")</f>
        <v/>
      </c>
      <c r="W56">
        <f>HYPERLINK("https://klasma.github.io/Logging_2081/klagomålsmail/A 36739-2024 FSC-klagomål mail.docx", "A 36739-2024")</f>
        <v/>
      </c>
      <c r="X56">
        <f>HYPERLINK("https://klasma.github.io/Logging_2081/tillsyn/A 36739-2024 tillsynsbegäran.docx", "A 36739-2024")</f>
        <v/>
      </c>
      <c r="Y56">
        <f>HYPERLINK("https://klasma.github.io/Logging_2081/tillsynsmail/A 36739-2024 tillsynsbegäran mail.docx", "A 36739-2024")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45739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45739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45739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45739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45739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45739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45739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45739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45739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45739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45739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45739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45739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45739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45739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45739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45739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45739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45739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45739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45739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45739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45739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45739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45739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45739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45739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45739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45739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45739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45739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45739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45739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45739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45739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45739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45739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45739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17996-2019</t>
        </is>
      </c>
      <c r="B95" s="1" t="n">
        <v>43556</v>
      </c>
      <c r="C95" s="1" t="n">
        <v>45739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21707-2019</t>
        </is>
      </c>
      <c r="B96" s="1" t="n">
        <v>43581</v>
      </c>
      <c r="C96" s="1" t="n">
        <v>45739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24586-2019</t>
        </is>
      </c>
      <c r="B97" s="1" t="n">
        <v>43601</v>
      </c>
      <c r="C97" s="1" t="n">
        <v>45739</v>
      </c>
      <c r="D97" t="inlineStr">
        <is>
          <t>DALARNAS LÄN</t>
        </is>
      </c>
      <c r="E97" t="inlineStr">
        <is>
          <t>BORLÄNGE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25421-2019</t>
        </is>
      </c>
      <c r="B98" s="1" t="n">
        <v>43606</v>
      </c>
      <c r="C98" s="1" t="n">
        <v>45739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26874-2019</t>
        </is>
      </c>
      <c r="B99" s="1" t="n">
        <v>43613</v>
      </c>
      <c r="C99" s="1" t="n">
        <v>45739</v>
      </c>
      <c r="D99" t="inlineStr">
        <is>
          <t>DALARNAS LÄN</t>
        </is>
      </c>
      <c r="E99" t="inlineStr">
        <is>
          <t>BORLÄNGE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27062-2019</t>
        </is>
      </c>
      <c r="B100" s="1" t="n">
        <v>43614</v>
      </c>
      <c r="C100" s="1" t="n">
        <v>45739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27009-2019</t>
        </is>
      </c>
      <c r="B101" s="1" t="n">
        <v>43614</v>
      </c>
      <c r="C101" s="1" t="n">
        <v>45739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27008-2019</t>
        </is>
      </c>
      <c r="B102" s="1" t="n">
        <v>43614</v>
      </c>
      <c r="C102" s="1" t="n">
        <v>45739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29697-2019</t>
        </is>
      </c>
      <c r="B103" s="1" t="n">
        <v>43630</v>
      </c>
      <c r="C103" s="1" t="n">
        <v>45739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31833-2019</t>
        </is>
      </c>
      <c r="B104" s="1" t="n">
        <v>43642</v>
      </c>
      <c r="C104" s="1" t="n">
        <v>45739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32826-2019</t>
        </is>
      </c>
      <c r="B105" s="1" t="n">
        <v>43648</v>
      </c>
      <c r="C105" s="1" t="n">
        <v>45739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33003-2019</t>
        </is>
      </c>
      <c r="B106" s="1" t="n">
        <v>43649</v>
      </c>
      <c r="C106" s="1" t="n">
        <v>45739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34992-2019</t>
        </is>
      </c>
      <c r="B107" s="1" t="n">
        <v>43660</v>
      </c>
      <c r="C107" s="1" t="n">
        <v>45739</v>
      </c>
      <c r="D107" t="inlineStr">
        <is>
          <t>DALARNAS LÄN</t>
        </is>
      </c>
      <c r="E107" t="inlineStr">
        <is>
          <t>BORLÄNGE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42531-2019</t>
        </is>
      </c>
      <c r="B108" s="1" t="n">
        <v>43704</v>
      </c>
      <c r="C108" s="1" t="n">
        <v>45739</v>
      </c>
      <c r="D108" t="inlineStr">
        <is>
          <t>DALARNAS LÄN</t>
        </is>
      </c>
      <c r="E108" t="inlineStr">
        <is>
          <t>BORLÄNGE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42540-2019</t>
        </is>
      </c>
      <c r="B109" s="1" t="n">
        <v>43704</v>
      </c>
      <c r="C109" s="1" t="n">
        <v>45739</v>
      </c>
      <c r="D109" t="inlineStr">
        <is>
          <t>DALARNAS LÄN</t>
        </is>
      </c>
      <c r="E109" t="inlineStr">
        <is>
          <t>BORLÄNGE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43835-2019</t>
        </is>
      </c>
      <c r="B110" s="1" t="n">
        <v>43707</v>
      </c>
      <c r="C110" s="1" t="n">
        <v>45739</v>
      </c>
      <c r="D110" t="inlineStr">
        <is>
          <t>DALARNAS LÄN</t>
        </is>
      </c>
      <c r="E110" t="inlineStr">
        <is>
          <t>BORLÄNGE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51019-2019</t>
        </is>
      </c>
      <c r="B111" s="1" t="n">
        <v>43739</v>
      </c>
      <c r="C111" s="1" t="n">
        <v>45739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57297-2019</t>
        </is>
      </c>
      <c r="B112" s="1" t="n">
        <v>43767</v>
      </c>
      <c r="C112" s="1" t="n">
        <v>45739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57618-2019</t>
        </is>
      </c>
      <c r="B113" s="1" t="n">
        <v>43768</v>
      </c>
      <c r="C113" s="1" t="n">
        <v>45739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61107-2019</t>
        </is>
      </c>
      <c r="B114" s="1" t="n">
        <v>43782</v>
      </c>
      <c r="C114" s="1" t="n">
        <v>45739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61288-2019</t>
        </is>
      </c>
      <c r="B115" s="1" t="n">
        <v>43783</v>
      </c>
      <c r="C115" s="1" t="n">
        <v>45739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66563-2019</t>
        </is>
      </c>
      <c r="B116" s="1" t="n">
        <v>43803</v>
      </c>
      <c r="C116" s="1" t="n">
        <v>45739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66159-2019</t>
        </is>
      </c>
      <c r="B117" s="1" t="n">
        <v>43808</v>
      </c>
      <c r="C117" s="1" t="n">
        <v>45739</v>
      </c>
      <c r="D117" t="inlineStr">
        <is>
          <t>DALARNAS LÄN</t>
        </is>
      </c>
      <c r="E117" t="inlineStr">
        <is>
          <t>BORLÄNGE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67435-2019</t>
        </is>
      </c>
      <c r="B118" s="1" t="n">
        <v>43812</v>
      </c>
      <c r="C118" s="1" t="n">
        <v>45739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9309-2020</t>
        </is>
      </c>
      <c r="B119" s="1" t="n">
        <v>43880</v>
      </c>
      <c r="C119" s="1" t="n">
        <v>45739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11590-2020</t>
        </is>
      </c>
      <c r="B120" s="1" t="n">
        <v>43893</v>
      </c>
      <c r="C120" s="1" t="n">
        <v>45739</v>
      </c>
      <c r="D120" t="inlineStr">
        <is>
          <t>DALARNAS LÄN</t>
        </is>
      </c>
      <c r="E120" t="inlineStr">
        <is>
          <t>BORLÄNGE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13404-2020</t>
        </is>
      </c>
      <c r="B121" s="1" t="n">
        <v>43902</v>
      </c>
      <c r="C121" s="1" t="n">
        <v>45739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14736-2020</t>
        </is>
      </c>
      <c r="B122" s="1" t="n">
        <v>43909</v>
      </c>
      <c r="C122" s="1" t="n">
        <v>45739</v>
      </c>
      <c r="D122" t="inlineStr">
        <is>
          <t>DALARNAS LÄN</t>
        </is>
      </c>
      <c r="E122" t="inlineStr">
        <is>
          <t>BORLÄNGE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15089-2020</t>
        </is>
      </c>
      <c r="B123" s="1" t="n">
        <v>43910</v>
      </c>
      <c r="C123" s="1" t="n">
        <v>45739</v>
      </c>
      <c r="D123" t="inlineStr">
        <is>
          <t>DALARNAS LÄN</t>
        </is>
      </c>
      <c r="E123" t="inlineStr">
        <is>
          <t>BORLÄNGE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16404-2020</t>
        </is>
      </c>
      <c r="B124" s="1" t="n">
        <v>43918</v>
      </c>
      <c r="C124" s="1" t="n">
        <v>45739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18108-2020</t>
        </is>
      </c>
      <c r="B125" s="1" t="n">
        <v>43927</v>
      </c>
      <c r="C125" s="1" t="n">
        <v>45739</v>
      </c>
      <c r="D125" t="inlineStr">
        <is>
          <t>DALARNAS LÄN</t>
        </is>
      </c>
      <c r="E125" t="inlineStr">
        <is>
          <t>BORLÄNGE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19446-2020</t>
        </is>
      </c>
      <c r="B126" s="1" t="n">
        <v>43938</v>
      </c>
      <c r="C126" s="1" t="n">
        <v>45739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19667-2020</t>
        </is>
      </c>
      <c r="B127" s="1" t="n">
        <v>43941</v>
      </c>
      <c r="C127" s="1" t="n">
        <v>45739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20501-2020</t>
        </is>
      </c>
      <c r="B128" s="1" t="n">
        <v>43948</v>
      </c>
      <c r="C128" s="1" t="n">
        <v>45739</v>
      </c>
      <c r="D128" t="inlineStr">
        <is>
          <t>DALARNAS LÄN</t>
        </is>
      </c>
      <c r="E128" t="inlineStr">
        <is>
          <t>BORLÄNGE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21684-2020</t>
        </is>
      </c>
      <c r="B129" s="1" t="n">
        <v>43957</v>
      </c>
      <c r="C129" s="1" t="n">
        <v>45739</v>
      </c>
      <c r="D129" t="inlineStr">
        <is>
          <t>DALARNAS LÄN</t>
        </is>
      </c>
      <c r="E129" t="inlineStr">
        <is>
          <t>BORLÄNGE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23998-2020</t>
        </is>
      </c>
      <c r="B130" s="1" t="n">
        <v>43971</v>
      </c>
      <c r="C130" s="1" t="n">
        <v>45739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27064-2020</t>
        </is>
      </c>
      <c r="B131" s="1" t="n">
        <v>43991</v>
      </c>
      <c r="C131" s="1" t="n">
        <v>45739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39449-2020</t>
        </is>
      </c>
      <c r="B132" s="1" t="n">
        <v>44064</v>
      </c>
      <c r="C132" s="1" t="n">
        <v>45739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44111-2020</t>
        </is>
      </c>
      <c r="B133" s="1" t="n">
        <v>44083</v>
      </c>
      <c r="C133" s="1" t="n">
        <v>45739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44118-2020</t>
        </is>
      </c>
      <c r="B134" s="1" t="n">
        <v>44083</v>
      </c>
      <c r="C134" s="1" t="n">
        <v>45739</v>
      </c>
      <c r="D134" t="inlineStr">
        <is>
          <t>DALARNAS LÄN</t>
        </is>
      </c>
      <c r="E134" t="inlineStr">
        <is>
          <t>BORLÄNGE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50164-2020</t>
        </is>
      </c>
      <c r="B135" s="1" t="n">
        <v>44104</v>
      </c>
      <c r="C135" s="1" t="n">
        <v>45739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49348-2020</t>
        </is>
      </c>
      <c r="B136" s="1" t="n">
        <v>44105</v>
      </c>
      <c r="C136" s="1" t="n">
        <v>45739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50459-2020</t>
        </is>
      </c>
      <c r="B137" s="1" t="n">
        <v>44110</v>
      </c>
      <c r="C137" s="1" t="n">
        <v>45739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50437-2020</t>
        </is>
      </c>
      <c r="B138" s="1" t="n">
        <v>44110</v>
      </c>
      <c r="C138" s="1" t="n">
        <v>45739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50496-2020</t>
        </is>
      </c>
      <c r="B139" s="1" t="n">
        <v>44110</v>
      </c>
      <c r="C139" s="1" t="n">
        <v>45739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50441-2020</t>
        </is>
      </c>
      <c r="B140" s="1" t="n">
        <v>44110</v>
      </c>
      <c r="C140" s="1" t="n">
        <v>45739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52515-2020</t>
        </is>
      </c>
      <c r="B141" s="1" t="n">
        <v>44118</v>
      </c>
      <c r="C141" s="1" t="n">
        <v>45739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52957-2020</t>
        </is>
      </c>
      <c r="B142" s="1" t="n">
        <v>44120</v>
      </c>
      <c r="C142" s="1" t="n">
        <v>45739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45739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45739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45739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45739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45739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45739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45739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45739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45739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45739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45739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45739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45739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45739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45739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45739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45739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45739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45739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45739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45739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45739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45739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45739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45739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45739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45739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45739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45739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45739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45739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45739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45739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45739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45739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45739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45739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45739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45739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45739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45739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45739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45739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45739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45739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45739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45739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45739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45739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45739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45739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45739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45739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45739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45739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45739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45739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45739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45739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45739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45739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45739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45739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45739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45739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45739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45739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45739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45739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45739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45739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45739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45739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45739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45739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45739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45739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45739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45739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45739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45739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45739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45739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45739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45739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45739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45739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45739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45739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45739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45739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45739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45739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45739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45739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45739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45739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45739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45739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45739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45739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45739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45739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45739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45739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45739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45739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45739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45739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45739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45739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45739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45739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45739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45739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45739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45739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45739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45739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45739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45739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45739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45739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45739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45739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45739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45739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45739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45739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45739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45739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45739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45739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45739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45739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45739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45739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45739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45739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45739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45739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45739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45739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45739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45739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45739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45739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45739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45739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45739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45739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45739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45739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45739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45739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45739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45739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45739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45739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45739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45739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45739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45739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45739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45739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45739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45739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45739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45739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45739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45739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45739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45739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45739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45739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45739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45739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45739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45739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45739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45739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45739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45739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45739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45739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45739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45739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45739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45739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45739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45739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45739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45739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45739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45739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45739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45739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45739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45739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45739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45739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45739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45739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45739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45739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45739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45739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45739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45739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45739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45739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45739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45739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45739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45739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45739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45739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45739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45739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45739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45739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45739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45739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45739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45739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45739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45739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45739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45739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45739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45739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45739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45739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45739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45739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45739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45739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45739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45739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45739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45739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45739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45739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45739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45739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45739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45739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45739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45739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45739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45739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45739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45739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45739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45739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45739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45739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45739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45739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45739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45739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45739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45739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45739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45739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45739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45739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45739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45739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45739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45739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45739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45739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45739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45739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45739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45739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45739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45739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45739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45739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45739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45739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45739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45739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45739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45739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45739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45739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45739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45739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45739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45739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45739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45739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45739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45739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45739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45739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45739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45739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45739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45739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45739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45739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45739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45739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45739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45739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45739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45739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45739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45739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45739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45739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45739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45739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45739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45739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45739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45739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45739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45739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45739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45739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45739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45739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45739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45739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45739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45739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45739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45739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45739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45739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45739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45739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45739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45739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45739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45739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45739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45739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45739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45739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45739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45739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45739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45739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45739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45739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45739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45739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45739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45739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45739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45739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45739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45739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45739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45739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45739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45739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45739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45739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45739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45739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45739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45739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45739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45739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45739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45739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45739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45739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45739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45739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45739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45739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45739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45739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45739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45739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45739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45739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45739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45739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45739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45739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45739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45739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45739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45739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45739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45739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45739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45739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45739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45739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45739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45739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45739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45739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45739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45739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45739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45739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45739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45739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45739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45739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45739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45739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45739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45739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45739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45739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45739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45739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45739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45739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45739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45739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45739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45739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45739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45739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45739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45739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45739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45739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45739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45739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45739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45739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45739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45739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45739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45739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45739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45739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45739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45739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45739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45739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45739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45739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45739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45739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45739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45739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45739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45739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45739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45739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45739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45739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45739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45739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45739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45739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45739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45739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45739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45739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45739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45739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45739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45739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45739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45739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45739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45739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45739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45739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45739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45739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45739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45739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45739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45739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45739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45739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45739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45739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45739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45739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45739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45739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45739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45739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45739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45739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45739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45739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45739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45739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45739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45739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45739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45739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45739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45739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45739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45739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45739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45739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45739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45739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45739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45739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45739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45739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45739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45739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45739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45739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45739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45739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45739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45739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45739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45739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45739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45739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8489-2025</t>
        </is>
      </c>
      <c r="B668" s="1" t="n">
        <v>45709</v>
      </c>
      <c r="C668" s="1" t="n">
        <v>45739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45739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8504-2025</t>
        </is>
      </c>
      <c r="B670" s="1" t="n">
        <v>45709</v>
      </c>
      <c r="C670" s="1" t="n">
        <v>45739</v>
      </c>
      <c r="D670" t="inlineStr">
        <is>
          <t>DALARNAS LÄN</t>
        </is>
      </c>
      <c r="E670" t="inlineStr">
        <is>
          <t>BORLÄNGE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10156-2025</t>
        </is>
      </c>
      <c r="B671" s="1" t="n">
        <v>45719</v>
      </c>
      <c r="C671" s="1" t="n">
        <v>45739</v>
      </c>
      <c r="D671" t="inlineStr">
        <is>
          <t>DALARNAS LÄN</t>
        </is>
      </c>
      <c r="E671" t="inlineStr">
        <is>
          <t>BORLÄNGE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45739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10712-2025</t>
        </is>
      </c>
      <c r="B673" s="1" t="n">
        <v>45722</v>
      </c>
      <c r="C673" s="1" t="n">
        <v>45739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13539-2025</t>
        </is>
      </c>
      <c r="B674" s="1" t="n">
        <v>45736</v>
      </c>
      <c r="C674" s="1" t="n">
        <v>45739</v>
      </c>
      <c r="D674" t="inlineStr">
        <is>
          <t>DALARNAS LÄN</t>
        </is>
      </c>
      <c r="E674" t="inlineStr">
        <is>
          <t>BORLÄNGE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13528-2025</t>
        </is>
      </c>
      <c r="B675" s="1" t="n">
        <v>45736</v>
      </c>
      <c r="C675" s="1" t="n">
        <v>45739</v>
      </c>
      <c r="D675" t="inlineStr">
        <is>
          <t>DALARNAS LÄN</t>
        </is>
      </c>
      <c r="E675" t="inlineStr">
        <is>
          <t>BORLÄNGE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2025-03-23T17:27:05Z</dcterms:created>
  <dcterms:modified xmlns:dcterms="http://purl.org/dc/terms/" xmlns:xsi="http://www.w3.org/2001/XMLSchema-instance" xsi:type="dcterms:W3CDTF">2025-03-23T17:27:06Z</dcterms:modified>
</cp:coreProperties>
</file>