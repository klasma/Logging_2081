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45984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45984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45984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45984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45984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45984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45984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45984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45984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45984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45984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45984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45984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45984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45984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45984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45984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45984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45984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45984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24594-2025</t>
        </is>
      </c>
      <c r="B29" s="1" t="n">
        <v>45798</v>
      </c>
      <c r="C29" s="1" t="n">
        <v>45984</v>
      </c>
      <c r="D29" t="inlineStr">
        <is>
          <t>DALARNAS LÄN</t>
        </is>
      </c>
      <c r="E29" t="inlineStr">
        <is>
          <t>BORLÄNGE</t>
        </is>
      </c>
      <c r="G29" t="n">
        <v>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Granticka
Ullticka
Rödgul trumpetsvamp</t>
        </is>
      </c>
      <c r="S29">
        <f>HYPERLINK("https://klasma.github.io/Logging_2081/artfynd/A 24594-2025 artfynd.xlsx", "A 24594-2025")</f>
        <v/>
      </c>
      <c r="T29">
        <f>HYPERLINK("https://klasma.github.io/Logging_2081/kartor/A 24594-2025 karta.png", "A 24594-2025")</f>
        <v/>
      </c>
      <c r="V29">
        <f>HYPERLINK("https://klasma.github.io/Logging_2081/klagomål/A 24594-2025 FSC-klagomål.docx", "A 24594-2025")</f>
        <v/>
      </c>
      <c r="W29">
        <f>HYPERLINK("https://klasma.github.io/Logging_2081/klagomålsmail/A 24594-2025 FSC-klagomål mail.docx", "A 24594-2025")</f>
        <v/>
      </c>
      <c r="X29">
        <f>HYPERLINK("https://klasma.github.io/Logging_2081/tillsyn/A 24594-2025 tillsynsbegäran.docx", "A 24594-2025")</f>
        <v/>
      </c>
      <c r="Y29">
        <f>HYPERLINK("https://klasma.github.io/Logging_2081/tillsynsmail/A 24594-2025 tillsynsbegäran mail.docx", "A 24594-2025")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45984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45984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45984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45984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45984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45984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45984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53145-2023</t>
        </is>
      </c>
      <c r="B37" s="1" t="n">
        <v>45229</v>
      </c>
      <c r="C37" s="1" t="n">
        <v>45984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3.5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Talltita
Kungsfågel</t>
        </is>
      </c>
      <c r="S37">
        <f>HYPERLINK("https://klasma.github.io/Logging_2081/artfynd/A 53145-2023 artfynd.xlsx", "A 53145-2023")</f>
        <v/>
      </c>
      <c r="T37">
        <f>HYPERLINK("https://klasma.github.io/Logging_2081/kartor/A 53145-2023 karta.png", "A 53145-2023")</f>
        <v/>
      </c>
      <c r="V37">
        <f>HYPERLINK("https://klasma.github.io/Logging_2081/klagomål/A 53145-2023 FSC-klagomål.docx", "A 53145-2023")</f>
        <v/>
      </c>
      <c r="W37">
        <f>HYPERLINK("https://klasma.github.io/Logging_2081/klagomålsmail/A 53145-2023 FSC-klagomål mail.docx", "A 53145-2023")</f>
        <v/>
      </c>
      <c r="X37">
        <f>HYPERLINK("https://klasma.github.io/Logging_2081/tillsyn/A 53145-2023 tillsynsbegäran.docx", "A 53145-2023")</f>
        <v/>
      </c>
      <c r="Y37">
        <f>HYPERLINK("https://klasma.github.io/Logging_2081/tillsynsmail/A 53145-2023 tillsynsbegäran mail.docx", "A 53145-2023")</f>
        <v/>
      </c>
      <c r="Z37">
        <f>HYPERLINK("https://klasma.github.io/Logging_2081/fåglar/A 53145-2023 prioriterade fågelarter.docx", "A 53145-2023")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45984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45984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37723-2024</t>
        </is>
      </c>
      <c r="B40" s="1" t="n">
        <v>45541.64898148148</v>
      </c>
      <c r="C40" s="1" t="n">
        <v>45984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HYPERLINK("https://klasma.github.io/Logging_2081/artfynd/A 37723-2024 artfynd.xlsx", "A 37723-2024")</f>
        <v/>
      </c>
      <c r="T40">
        <f>HYPERLINK("https://klasma.github.io/Logging_2081/kartor/A 37723-2024 karta.png", "A 37723-2024")</f>
        <v/>
      </c>
      <c r="V40">
        <f>HYPERLINK("https://klasma.github.io/Logging_2081/klagomål/A 37723-2024 FSC-klagomål.docx", "A 37723-2024")</f>
        <v/>
      </c>
      <c r="W40">
        <f>HYPERLINK("https://klasma.github.io/Logging_2081/klagomålsmail/A 37723-2024 FSC-klagomål mail.docx", "A 37723-2024")</f>
        <v/>
      </c>
      <c r="X40">
        <f>HYPERLINK("https://klasma.github.io/Logging_2081/tillsyn/A 37723-2024 tillsynsbegäran.docx", "A 37723-2024")</f>
        <v/>
      </c>
      <c r="Y40">
        <f>HYPERLINK("https://klasma.github.io/Logging_2081/tillsynsmail/A 37723-2024 tillsynsbegäran mail.docx", "A 37723-2024")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45984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45984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45984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45984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45984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45984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45984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45984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45984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45984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45984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45984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45984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45984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45984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45984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45984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45984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45984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45984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51417-2025</t>
        </is>
      </c>
      <c r="B62" s="1" t="n">
        <v>45950.51105324074</v>
      </c>
      <c r="C62" s="1" t="n">
        <v>45984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Dolkstekelsglasvinge</t>
        </is>
      </c>
      <c r="S62">
        <f>HYPERLINK("https://klasma.github.io/Logging_2081/artfynd/A 51417-2025 artfynd.xlsx", "A 51417-2025")</f>
        <v/>
      </c>
      <c r="T62">
        <f>HYPERLINK("https://klasma.github.io/Logging_2081/kartor/A 51417-2025 karta.png", "A 51417-2025")</f>
        <v/>
      </c>
      <c r="V62">
        <f>HYPERLINK("https://klasma.github.io/Logging_2081/klagomål/A 51417-2025 FSC-klagomål.docx", "A 51417-2025")</f>
        <v/>
      </c>
      <c r="W62">
        <f>HYPERLINK("https://klasma.github.io/Logging_2081/klagomålsmail/A 51417-2025 FSC-klagomål mail.docx", "A 51417-2025")</f>
        <v/>
      </c>
      <c r="X62">
        <f>HYPERLINK("https://klasma.github.io/Logging_2081/tillsyn/A 51417-2025 tillsynsbegäran.docx", "A 51417-2025")</f>
        <v/>
      </c>
      <c r="Y62">
        <f>HYPERLINK("https://klasma.github.io/Logging_2081/tillsynsmail/A 51417-2025 tillsynsbegäran mail.docx", "A 51417-2025")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45984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52613-2025</t>
        </is>
      </c>
      <c r="B64" s="1" t="n">
        <v>45954.67348379629</v>
      </c>
      <c r="C64" s="1" t="n">
        <v>45984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52613-2025 artfynd.xlsx", "A 52613-2025")</f>
        <v/>
      </c>
      <c r="T64">
        <f>HYPERLINK("https://klasma.github.io/Logging_2081/kartor/A 52613-2025 karta.png", "A 52613-2025")</f>
        <v/>
      </c>
      <c r="U64">
        <f>HYPERLINK("https://klasma.github.io/Logging_2081/knärot/A 52613-2025 karta knärot.png", "A 52613-2025")</f>
        <v/>
      </c>
      <c r="V64">
        <f>HYPERLINK("https://klasma.github.io/Logging_2081/klagomål/A 52613-2025 FSC-klagomål.docx", "A 52613-2025")</f>
        <v/>
      </c>
      <c r="W64">
        <f>HYPERLINK("https://klasma.github.io/Logging_2081/klagomålsmail/A 52613-2025 FSC-klagomål mail.docx", "A 52613-2025")</f>
        <v/>
      </c>
      <c r="X64">
        <f>HYPERLINK("https://klasma.github.io/Logging_2081/tillsyn/A 52613-2025 tillsynsbegäran.docx", "A 52613-2025")</f>
        <v/>
      </c>
      <c r="Y64">
        <f>HYPERLINK("https://klasma.github.io/Logging_2081/tillsynsmail/A 52613-2025 tillsynsbegäran mail.docx", "A 52613-2025")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45984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55056-2025</t>
        </is>
      </c>
      <c r="B66" s="1" t="n">
        <v>45967.67916666667</v>
      </c>
      <c r="C66" s="1" t="n">
        <v>45984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HYPERLINK("https://klasma.github.io/Logging_2081/artfynd/A 55056-2025 artfynd.xlsx", "A 55056-2025")</f>
        <v/>
      </c>
      <c r="T66">
        <f>HYPERLINK("https://klasma.github.io/Logging_2081/kartor/A 55056-2025 karta.png", "A 55056-2025")</f>
        <v/>
      </c>
      <c r="V66">
        <f>HYPERLINK("https://klasma.github.io/Logging_2081/klagomål/A 55056-2025 FSC-klagomål.docx", "A 55056-2025")</f>
        <v/>
      </c>
      <c r="W66">
        <f>HYPERLINK("https://klasma.github.io/Logging_2081/klagomålsmail/A 55056-2025 FSC-klagomål mail.docx", "A 55056-2025")</f>
        <v/>
      </c>
      <c r="X66">
        <f>HYPERLINK("https://klasma.github.io/Logging_2081/tillsyn/A 55056-2025 tillsynsbegäran.docx", "A 55056-2025")</f>
        <v/>
      </c>
      <c r="Y66">
        <f>HYPERLINK("https://klasma.github.io/Logging_2081/tillsynsmail/A 55056-2025 tillsynsbegäran mail.docx", "A 55056-2025")</f>
        <v/>
      </c>
      <c r="Z66">
        <f>HYPERLINK("https://klasma.github.io/Logging_2081/fåglar/A 55056-2025 prioriterade fågelarter.docx", "A 55056-2025")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45984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45984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45984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45984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45984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45984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45984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45984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45984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14724-2025</t>
        </is>
      </c>
      <c r="B76" s="1" t="n">
        <v>45742.62967592593</v>
      </c>
      <c r="C76" s="1" t="n">
        <v>45984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HYPERLINK("https://klasma.github.io/Logging_2081/artfynd/A 14724-2025 artfynd.xlsx", "A 14724-2025")</f>
        <v/>
      </c>
      <c r="T76">
        <f>HYPERLINK("https://klasma.github.io/Logging_2081/kartor/A 14724-2025 karta.png", "A 14724-2025")</f>
        <v/>
      </c>
      <c r="V76">
        <f>HYPERLINK("https://klasma.github.io/Logging_2081/klagomål/A 14724-2025 FSC-klagomål.docx", "A 14724-2025")</f>
        <v/>
      </c>
      <c r="W76">
        <f>HYPERLINK("https://klasma.github.io/Logging_2081/klagomålsmail/A 14724-2025 FSC-klagomål mail.docx", "A 14724-2025")</f>
        <v/>
      </c>
      <c r="X76">
        <f>HYPERLINK("https://klasma.github.io/Logging_2081/tillsyn/A 14724-2025 tillsynsbegäran.docx", "A 14724-2025")</f>
        <v/>
      </c>
      <c r="Y76">
        <f>HYPERLINK("https://klasma.github.io/Logging_2081/tillsynsmail/A 14724-2025 tillsynsbegäran mail.docx", "A 14724-2025")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45984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45984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45984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45984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45984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45984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45984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45984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45984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45984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45984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45984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45984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45984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45984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45984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45984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45984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45984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45984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45984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45984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45984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45984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45984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45984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45984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45984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45984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45984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45984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45984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45984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45984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45984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45984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45984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45984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45984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45984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45984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45984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45984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45984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45984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45984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45984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45984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45984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45984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45984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45984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45984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45984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45984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45984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45984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45984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45984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45984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45984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45984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45984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45984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45984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45984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45984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45984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45984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45984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45984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45984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45984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45984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45984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45984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45984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45984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32428-2024</t>
        </is>
      </c>
      <c r="B156" s="1" t="n">
        <v>45512.80895833333</v>
      </c>
      <c r="C156" s="1" t="n">
        <v>45984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24284-2021</t>
        </is>
      </c>
      <c r="B157" s="1" t="n">
        <v>44337.31189814815</v>
      </c>
      <c r="C157" s="1" t="n">
        <v>45984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45984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44294.6346412037</v>
      </c>
      <c r="C159" s="1" t="n">
        <v>45984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45984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45984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45984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45984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37708-2024</t>
        </is>
      </c>
      <c r="B164" s="1" t="n">
        <v>45541.62574074074</v>
      </c>
      <c r="C164" s="1" t="n">
        <v>45984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37722-2024</t>
        </is>
      </c>
      <c r="B165" s="1" t="n">
        <v>45541.64743055555</v>
      </c>
      <c r="C165" s="1" t="n">
        <v>45984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16883-2024</t>
        </is>
      </c>
      <c r="B166" s="1" t="n">
        <v>45411.59621527778</v>
      </c>
      <c r="C166" s="1" t="n">
        <v>45984</v>
      </c>
      <c r="D166" t="inlineStr">
        <is>
          <t>DALARNAS LÄN</t>
        </is>
      </c>
      <c r="E166" t="inlineStr">
        <is>
          <t>BORLÄNGE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45984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38375-2025</t>
        </is>
      </c>
      <c r="B168" s="1" t="n">
        <v>45883.57024305555</v>
      </c>
      <c r="C168" s="1" t="n">
        <v>45984</v>
      </c>
      <c r="D168" t="inlineStr">
        <is>
          <t>DALARNAS LÄN</t>
        </is>
      </c>
      <c r="E168" t="inlineStr">
        <is>
          <t>BORLÄNGE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21928-2023</t>
        </is>
      </c>
      <c r="B169" s="1" t="n">
        <v>45068</v>
      </c>
      <c r="C169" s="1" t="n">
        <v>45984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36863-2021</t>
        </is>
      </c>
      <c r="B170" s="1" t="n">
        <v>44393</v>
      </c>
      <c r="C170" s="1" t="n">
        <v>45984</v>
      </c>
      <c r="D170" t="inlineStr">
        <is>
          <t>DALARNAS LÄN</t>
        </is>
      </c>
      <c r="E170" t="inlineStr">
        <is>
          <t>BORLÄNGE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51675-2024</t>
        </is>
      </c>
      <c r="B171" s="1" t="n">
        <v>45607.29688657408</v>
      </c>
      <c r="C171" s="1" t="n">
        <v>45984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13528-2025</t>
        </is>
      </c>
      <c r="B172" s="1" t="n">
        <v>45736.5049537037</v>
      </c>
      <c r="C172" s="1" t="n">
        <v>45984</v>
      </c>
      <c r="D172" t="inlineStr">
        <is>
          <t>DALARNAS LÄN</t>
        </is>
      </c>
      <c r="E172" t="inlineStr">
        <is>
          <t>BORLÄNGE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20005-2023</t>
        </is>
      </c>
      <c r="B173" s="1" t="n">
        <v>45054.62554398148</v>
      </c>
      <c r="C173" s="1" t="n">
        <v>45984</v>
      </c>
      <c r="D173" t="inlineStr">
        <is>
          <t>DALARNAS LÄN</t>
        </is>
      </c>
      <c r="E173" t="inlineStr">
        <is>
          <t>BORLÄNGE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31679-2023</t>
        </is>
      </c>
      <c r="B174" s="1" t="n">
        <v>45117</v>
      </c>
      <c r="C174" s="1" t="n">
        <v>45984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45984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45984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43497-2024</t>
        </is>
      </c>
      <c r="B177" s="1" t="n">
        <v>45568</v>
      </c>
      <c r="C177" s="1" t="n">
        <v>45984</v>
      </c>
      <c r="D177" t="inlineStr">
        <is>
          <t>DALARNAS LÄN</t>
        </is>
      </c>
      <c r="E177" t="inlineStr">
        <is>
          <t>BORLÄNGE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58283-2024</t>
        </is>
      </c>
      <c r="B178" s="1" t="n">
        <v>45632.5812962963</v>
      </c>
      <c r="C178" s="1" t="n">
        <v>45984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57530-2023</t>
        </is>
      </c>
      <c r="B179" s="1" t="n">
        <v>45246</v>
      </c>
      <c r="C179" s="1" t="n">
        <v>45984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39520-2025</t>
        </is>
      </c>
      <c r="B180" s="1" t="n">
        <v>45890.43620370371</v>
      </c>
      <c r="C180" s="1" t="n">
        <v>45984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24019-2025</t>
        </is>
      </c>
      <c r="B181" s="1" t="n">
        <v>45796.44989583334</v>
      </c>
      <c r="C181" s="1" t="n">
        <v>45984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34334-2023</t>
        </is>
      </c>
      <c r="B182" s="1" t="n">
        <v>45139</v>
      </c>
      <c r="C182" s="1" t="n">
        <v>45984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60072-2023</t>
        </is>
      </c>
      <c r="B183" s="1" t="n">
        <v>45258</v>
      </c>
      <c r="C183" s="1" t="n">
        <v>45984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59772-2021</t>
        </is>
      </c>
      <c r="B184" s="1" t="n">
        <v>44494</v>
      </c>
      <c r="C184" s="1" t="n">
        <v>45984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39740-2025</t>
        </is>
      </c>
      <c r="B185" s="1" t="n">
        <v>45891</v>
      </c>
      <c r="C185" s="1" t="n">
        <v>45984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24641-2025</t>
        </is>
      </c>
      <c r="B186" s="1" t="n">
        <v>45798</v>
      </c>
      <c r="C186" s="1" t="n">
        <v>45984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30248-2023</t>
        </is>
      </c>
      <c r="B187" s="1" t="n">
        <v>45110</v>
      </c>
      <c r="C187" s="1" t="n">
        <v>45984</v>
      </c>
      <c r="D187" t="inlineStr">
        <is>
          <t>DALARNAS LÄN</t>
        </is>
      </c>
      <c r="E187" t="inlineStr">
        <is>
          <t>BORLÄNGE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39734-2025</t>
        </is>
      </c>
      <c r="B188" s="1" t="n">
        <v>45891.36770833333</v>
      </c>
      <c r="C188" s="1" t="n">
        <v>45984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19468-2025</t>
        </is>
      </c>
      <c r="B189" s="1" t="n">
        <v>45770</v>
      </c>
      <c r="C189" s="1" t="n">
        <v>45984</v>
      </c>
      <c r="D189" t="inlineStr">
        <is>
          <t>DALARNAS LÄN</t>
        </is>
      </c>
      <c r="E189" t="inlineStr">
        <is>
          <t>BORLÄNGE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24643-2025</t>
        </is>
      </c>
      <c r="B190" s="1" t="n">
        <v>45798</v>
      </c>
      <c r="C190" s="1" t="n">
        <v>45984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24645-2025</t>
        </is>
      </c>
      <c r="B191" s="1" t="n">
        <v>45798</v>
      </c>
      <c r="C191" s="1" t="n">
        <v>45984</v>
      </c>
      <c r="D191" t="inlineStr">
        <is>
          <t>DALARNAS LÄN</t>
        </is>
      </c>
      <c r="E191" t="inlineStr">
        <is>
          <t>BORLÄNGE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128-2024</t>
        </is>
      </c>
      <c r="B192" s="1" t="n">
        <v>45294.41001157407</v>
      </c>
      <c r="C192" s="1" t="n">
        <v>45984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2182-2023</t>
        </is>
      </c>
      <c r="B193" s="1" t="n">
        <v>44942.31047453704</v>
      </c>
      <c r="C193" s="1" t="n">
        <v>45984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24764-2025</t>
        </is>
      </c>
      <c r="B194" s="1" t="n">
        <v>45799</v>
      </c>
      <c r="C194" s="1" t="n">
        <v>45984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29854-2024</t>
        </is>
      </c>
      <c r="B195" s="1" t="n">
        <v>45485.66295138889</v>
      </c>
      <c r="C195" s="1" t="n">
        <v>45984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29861-2024</t>
        </is>
      </c>
      <c r="B196" s="1" t="n">
        <v>45485.71377314815</v>
      </c>
      <c r="C196" s="1" t="n">
        <v>45984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25611-2025</t>
        </is>
      </c>
      <c r="B197" s="1" t="n">
        <v>45803</v>
      </c>
      <c r="C197" s="1" t="n">
        <v>45984</v>
      </c>
      <c r="D197" t="inlineStr">
        <is>
          <t>DALARNAS LÄN</t>
        </is>
      </c>
      <c r="E197" t="inlineStr">
        <is>
          <t>BORLÄNGE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30162-2024</t>
        </is>
      </c>
      <c r="B198" s="1" t="n">
        <v>45489.65583333333</v>
      </c>
      <c r="C198" s="1" t="n">
        <v>45984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8504-2025</t>
        </is>
      </c>
      <c r="B199" s="1" t="n">
        <v>45709</v>
      </c>
      <c r="C199" s="1" t="n">
        <v>45984</v>
      </c>
      <c r="D199" t="inlineStr">
        <is>
          <t>DALARNAS LÄN</t>
        </is>
      </c>
      <c r="E199" t="inlineStr">
        <is>
          <t>BORLÄNGE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9442-2023</t>
        </is>
      </c>
      <c r="B200" s="1" t="n">
        <v>44981</v>
      </c>
      <c r="C200" s="1" t="n">
        <v>45984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25932-2025</t>
        </is>
      </c>
      <c r="B201" s="1" t="n">
        <v>45804.5856712963</v>
      </c>
      <c r="C201" s="1" t="n">
        <v>45984</v>
      </c>
      <c r="D201" t="inlineStr">
        <is>
          <t>DALARNAS LÄN</t>
        </is>
      </c>
      <c r="E201" t="inlineStr">
        <is>
          <t>BORLÄNGE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58650-2024</t>
        </is>
      </c>
      <c r="B202" s="1" t="n">
        <v>45632</v>
      </c>
      <c r="C202" s="1" t="n">
        <v>45984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43713-2024</t>
        </is>
      </c>
      <c r="B203" s="1" t="n">
        <v>45569.60569444444</v>
      </c>
      <c r="C203" s="1" t="n">
        <v>45984</v>
      </c>
      <c r="D203" t="inlineStr">
        <is>
          <t>DALARNAS LÄN</t>
        </is>
      </c>
      <c r="E203" t="inlineStr">
        <is>
          <t>BORLÄNGE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8556-2023</t>
        </is>
      </c>
      <c r="B204" s="1" t="n">
        <v>44977</v>
      </c>
      <c r="C204" s="1" t="n">
        <v>45984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42013-2025</t>
        </is>
      </c>
      <c r="B205" s="1" t="n">
        <v>45903.5753125</v>
      </c>
      <c r="C205" s="1" t="n">
        <v>45984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39377-2024</t>
        </is>
      </c>
      <c r="B206" s="1" t="n">
        <v>45551.4868287037</v>
      </c>
      <c r="C206" s="1" t="n">
        <v>45984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27717-2024</t>
        </is>
      </c>
      <c r="B207" s="1" t="n">
        <v>45475.38892361111</v>
      </c>
      <c r="C207" s="1" t="n">
        <v>45984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50721-2025</t>
        </is>
      </c>
      <c r="B208" s="1" t="n">
        <v>45946.34670138889</v>
      </c>
      <c r="C208" s="1" t="n">
        <v>45984</v>
      </c>
      <c r="D208" t="inlineStr">
        <is>
          <t>DALARNAS LÄN</t>
        </is>
      </c>
      <c r="E208" t="inlineStr">
        <is>
          <t>BORLÄNGE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27032-2025</t>
        </is>
      </c>
      <c r="B209" s="1" t="n">
        <v>45811.58952546296</v>
      </c>
      <c r="C209" s="1" t="n">
        <v>45984</v>
      </c>
      <c r="D209" t="inlineStr">
        <is>
          <t>DALARNAS LÄN</t>
        </is>
      </c>
      <c r="E209" t="inlineStr">
        <is>
          <t>BORLÄNGE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27233-2025</t>
        </is>
      </c>
      <c r="B210" s="1" t="n">
        <v>45812.44297453704</v>
      </c>
      <c r="C210" s="1" t="n">
        <v>45984</v>
      </c>
      <c r="D210" t="inlineStr">
        <is>
          <t>DALARNAS LÄN</t>
        </is>
      </c>
      <c r="E210" t="inlineStr">
        <is>
          <t>BORLÄNGE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51458-2025</t>
        </is>
      </c>
      <c r="B211" s="1" t="n">
        <v>45950.59743055556</v>
      </c>
      <c r="C211" s="1" t="n">
        <v>45984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27670-2025</t>
        </is>
      </c>
      <c r="B212" s="1" t="n">
        <v>45813.62518518518</v>
      </c>
      <c r="C212" s="1" t="n">
        <v>45984</v>
      </c>
      <c r="D212" t="inlineStr">
        <is>
          <t>DALARNAS LÄN</t>
        </is>
      </c>
      <c r="E212" t="inlineStr">
        <is>
          <t>BORLÄNGE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27713-2025</t>
        </is>
      </c>
      <c r="B213" s="1" t="n">
        <v>45813</v>
      </c>
      <c r="C213" s="1" t="n">
        <v>45984</v>
      </c>
      <c r="D213" t="inlineStr">
        <is>
          <t>DALARNAS LÄN</t>
        </is>
      </c>
      <c r="E213" t="inlineStr">
        <is>
          <t>BORLÄNGE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27714-2025</t>
        </is>
      </c>
      <c r="B214" s="1" t="n">
        <v>45813.91087962963</v>
      </c>
      <c r="C214" s="1" t="n">
        <v>45984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55910-2022</t>
        </is>
      </c>
      <c r="B215" s="1" t="n">
        <v>44889</v>
      </c>
      <c r="C215" s="1" t="n">
        <v>45984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51474-2025</t>
        </is>
      </c>
      <c r="B216" s="1" t="n">
        <v>45950.61881944445</v>
      </c>
      <c r="C216" s="1" t="n">
        <v>45984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34882-2024</t>
        </is>
      </c>
      <c r="B217" s="1" t="n">
        <v>45527.35987268519</v>
      </c>
      <c r="C217" s="1" t="n">
        <v>45984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26886-2024</t>
        </is>
      </c>
      <c r="B218" s="1" t="n">
        <v>45470</v>
      </c>
      <c r="C218" s="1" t="n">
        <v>45984</v>
      </c>
      <c r="D218" t="inlineStr">
        <is>
          <t>DALARNAS LÄN</t>
        </is>
      </c>
      <c r="E218" t="inlineStr">
        <is>
          <t>BORLÄNGE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HYPERLINK("https://klasma.github.io/Logging_2081/knärot/A 26886-2024 karta knärot.png", "A 26886-2024")</f>
        <v/>
      </c>
      <c r="V218">
        <f>HYPERLINK("https://klasma.github.io/Logging_2081/klagomål/A 26886-2024 FSC-klagomål.docx", "A 26886-2024")</f>
        <v/>
      </c>
      <c r="W218">
        <f>HYPERLINK("https://klasma.github.io/Logging_2081/klagomålsmail/A 26886-2024 FSC-klagomål mail.docx", "A 26886-2024")</f>
        <v/>
      </c>
      <c r="X218">
        <f>HYPERLINK("https://klasma.github.io/Logging_2081/tillsyn/A 26886-2024 tillsynsbegäran.docx", "A 26886-2024")</f>
        <v/>
      </c>
      <c r="Y218">
        <f>HYPERLINK("https://klasma.github.io/Logging_2081/tillsynsmail/A 26886-2024 tillsynsbegäran mail.docx", "A 26886-2024")</f>
        <v/>
      </c>
    </row>
    <row r="219" ht="15" customHeight="1">
      <c r="A219" t="inlineStr">
        <is>
          <t>A 28891-2025</t>
        </is>
      </c>
      <c r="B219" s="1" t="n">
        <v>45820.6316087963</v>
      </c>
      <c r="C219" s="1" t="n">
        <v>45984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52086-2025</t>
        </is>
      </c>
      <c r="B220" s="1" t="n">
        <v>45952.67065972222</v>
      </c>
      <c r="C220" s="1" t="n">
        <v>45984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43918-2024</t>
        </is>
      </c>
      <c r="B221" s="1" t="n">
        <v>45572.44064814815</v>
      </c>
      <c r="C221" s="1" t="n">
        <v>45984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52443-2025</t>
        </is>
      </c>
      <c r="B222" s="1" t="n">
        <v>45954.41559027778</v>
      </c>
      <c r="C222" s="1" t="n">
        <v>45984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52464-2025</t>
        </is>
      </c>
      <c r="B223" s="1" t="n">
        <v>45954.44155092593</v>
      </c>
      <c r="C223" s="1" t="n">
        <v>45984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11138-2023</t>
        </is>
      </c>
      <c r="B224" s="1" t="n">
        <v>44992</v>
      </c>
      <c r="C224" s="1" t="n">
        <v>45984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28039-2023</t>
        </is>
      </c>
      <c r="B225" s="1" t="n">
        <v>45099</v>
      </c>
      <c r="C225" s="1" t="n">
        <v>45984</v>
      </c>
      <c r="D225" t="inlineStr">
        <is>
          <t>DALARNAS LÄN</t>
        </is>
      </c>
      <c r="E225" t="inlineStr">
        <is>
          <t>BORLÄNGE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52563-2025</t>
        </is>
      </c>
      <c r="B226" s="1" t="n">
        <v>45954.57519675926</v>
      </c>
      <c r="C226" s="1" t="n">
        <v>45984</v>
      </c>
      <c r="D226" t="inlineStr">
        <is>
          <t>DALARNAS LÄN</t>
        </is>
      </c>
      <c r="E226" t="inlineStr">
        <is>
          <t>BORLÄNGE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10774-2024</t>
        </is>
      </c>
      <c r="B227" s="1" t="n">
        <v>45369.58125</v>
      </c>
      <c r="C227" s="1" t="n">
        <v>45984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45984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47109-2024</t>
        </is>
      </c>
      <c r="B229" s="1" t="n">
        <v>45586.55450231482</v>
      </c>
      <c r="C229" s="1" t="n">
        <v>45984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47318-2023</t>
        </is>
      </c>
      <c r="B230" s="1" t="n">
        <v>45202</v>
      </c>
      <c r="C230" s="1" t="n">
        <v>45984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53162-2025</t>
        </is>
      </c>
      <c r="B231" s="1" t="n">
        <v>45958.49377314815</v>
      </c>
      <c r="C231" s="1" t="n">
        <v>45984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44244-2025</t>
        </is>
      </c>
      <c r="B232" s="1" t="n">
        <v>45915</v>
      </c>
      <c r="C232" s="1" t="n">
        <v>45984</v>
      </c>
      <c r="D232" t="inlineStr">
        <is>
          <t>DALARNAS LÄN</t>
        </is>
      </c>
      <c r="E232" t="inlineStr">
        <is>
          <t>BORLÄNGE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51152-2025</t>
        </is>
      </c>
      <c r="B233" s="1" t="n">
        <v>45947</v>
      </c>
      <c r="C233" s="1" t="n">
        <v>45984</v>
      </c>
      <c r="D233" t="inlineStr">
        <is>
          <t>DALARNAS LÄN</t>
        </is>
      </c>
      <c r="E233" t="inlineStr">
        <is>
          <t>BORLÄNGE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49888-2023</t>
        </is>
      </c>
      <c r="B234" s="1" t="n">
        <v>45213</v>
      </c>
      <c r="C234" s="1" t="n">
        <v>45984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61195-2023</t>
        </is>
      </c>
      <c r="B235" s="1" t="n">
        <v>45264.36013888889</v>
      </c>
      <c r="C235" s="1" t="n">
        <v>45984</v>
      </c>
      <c r="D235" t="inlineStr">
        <is>
          <t>DALARNAS LÄN</t>
        </is>
      </c>
      <c r="E235" t="inlineStr">
        <is>
          <t>BORLÄNGE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52750-2025</t>
        </is>
      </c>
      <c r="B236" s="1" t="n">
        <v>45957.38642361111</v>
      </c>
      <c r="C236" s="1" t="n">
        <v>45984</v>
      </c>
      <c r="D236" t="inlineStr">
        <is>
          <t>DALARNAS LÄN</t>
        </is>
      </c>
      <c r="E236" t="inlineStr">
        <is>
          <t>BORLÄNGE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31589-2025</t>
        </is>
      </c>
      <c r="B237" s="1" t="n">
        <v>45833.69518518518</v>
      </c>
      <c r="C237" s="1" t="n">
        <v>45984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12787-2024</t>
        </is>
      </c>
      <c r="B238" s="1" t="n">
        <v>45384.61032407408</v>
      </c>
      <c r="C238" s="1" t="n">
        <v>45984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8554-2023</t>
        </is>
      </c>
      <c r="B239" s="1" t="n">
        <v>44977</v>
      </c>
      <c r="C239" s="1" t="n">
        <v>45984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53166-2025</t>
        </is>
      </c>
      <c r="B240" s="1" t="n">
        <v>45958.50596064814</v>
      </c>
      <c r="C240" s="1" t="n">
        <v>45984</v>
      </c>
      <c r="D240" t="inlineStr">
        <is>
          <t>DALARNAS LÄN</t>
        </is>
      </c>
      <c r="E240" t="inlineStr">
        <is>
          <t>BORLÄNGE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29810-2022</t>
        </is>
      </c>
      <c r="B241" s="1" t="n">
        <v>44755</v>
      </c>
      <c r="C241" s="1" t="n">
        <v>45984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26216-2023</t>
        </is>
      </c>
      <c r="B242" s="1" t="n">
        <v>45091.55979166667</v>
      </c>
      <c r="C242" s="1" t="n">
        <v>45984</v>
      </c>
      <c r="D242" t="inlineStr">
        <is>
          <t>DALARNAS LÄN</t>
        </is>
      </c>
      <c r="E242" t="inlineStr">
        <is>
          <t>BORLÄNGE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32703-2025</t>
        </is>
      </c>
      <c r="B243" s="1" t="n">
        <v>45839.35089120371</v>
      </c>
      <c r="C243" s="1" t="n">
        <v>45984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21026-2022</t>
        </is>
      </c>
      <c r="B244" s="1" t="n">
        <v>44704.390625</v>
      </c>
      <c r="C244" s="1" t="n">
        <v>45984</v>
      </c>
      <c r="D244" t="inlineStr">
        <is>
          <t>DALARNAS LÄN</t>
        </is>
      </c>
      <c r="E244" t="inlineStr">
        <is>
          <t>BORLÄNGE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58640-2023</t>
        </is>
      </c>
      <c r="B245" s="1" t="n">
        <v>45251.58048611111</v>
      </c>
      <c r="C245" s="1" t="n">
        <v>45984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41257-2024</t>
        </is>
      </c>
      <c r="B246" s="1" t="n">
        <v>45559.58381944444</v>
      </c>
      <c r="C246" s="1" t="n">
        <v>45984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41276-2024</t>
        </is>
      </c>
      <c r="B247" s="1" t="n">
        <v>45559.59444444445</v>
      </c>
      <c r="C247" s="1" t="n">
        <v>45984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14995-2023</t>
        </is>
      </c>
      <c r="B248" s="1" t="n">
        <v>45015</v>
      </c>
      <c r="C248" s="1" t="n">
        <v>45984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21992-2023</t>
        </is>
      </c>
      <c r="B249" s="1" t="n">
        <v>45068.77065972222</v>
      </c>
      <c r="C249" s="1" t="n">
        <v>45984</v>
      </c>
      <c r="D249" t="inlineStr">
        <is>
          <t>DALARNAS LÄN</t>
        </is>
      </c>
      <c r="E249" t="inlineStr">
        <is>
          <t>BORLÄNGE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32941-2024</t>
        </is>
      </c>
      <c r="B250" s="1" t="n">
        <v>45517.33768518519</v>
      </c>
      <c r="C250" s="1" t="n">
        <v>45984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25389-2022</t>
        </is>
      </c>
      <c r="B251" s="1" t="n">
        <v>44732.41245370371</v>
      </c>
      <c r="C251" s="1" t="n">
        <v>45984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54841-2025</t>
        </is>
      </c>
      <c r="B252" s="1" t="n">
        <v>45966.68452546297</v>
      </c>
      <c r="C252" s="1" t="n">
        <v>45984</v>
      </c>
      <c r="D252" t="inlineStr">
        <is>
          <t>DALARNAS LÄN</t>
        </is>
      </c>
      <c r="E252" t="inlineStr">
        <is>
          <t>BORLÄNGE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33163-2022</t>
        </is>
      </c>
      <c r="B253" s="1" t="n">
        <v>44785.59181712963</v>
      </c>
      <c r="C253" s="1" t="n">
        <v>45984</v>
      </c>
      <c r="D253" t="inlineStr">
        <is>
          <t>DALARNAS LÄN</t>
        </is>
      </c>
      <c r="E253" t="inlineStr">
        <is>
          <t>BORLÄNGE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43515-2024</t>
        </is>
      </c>
      <c r="B254" s="1" t="n">
        <v>45569.32403935185</v>
      </c>
      <c r="C254" s="1" t="n">
        <v>45984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45959-2024</t>
        </is>
      </c>
      <c r="B255" s="1" t="n">
        <v>45580.56954861111</v>
      </c>
      <c r="C255" s="1" t="n">
        <v>45984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59771-2021</t>
        </is>
      </c>
      <c r="B256" s="1" t="n">
        <v>44494.46709490741</v>
      </c>
      <c r="C256" s="1" t="n">
        <v>45984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54052-2025</t>
        </is>
      </c>
      <c r="B257" s="1" t="n">
        <v>45963</v>
      </c>
      <c r="C257" s="1" t="n">
        <v>45984</v>
      </c>
      <c r="D257" t="inlineStr">
        <is>
          <t>DALARNAS LÄN</t>
        </is>
      </c>
      <c r="E257" t="inlineStr">
        <is>
          <t>BORLÄNGE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13702-2021</t>
        </is>
      </c>
      <c r="B258" s="1" t="n">
        <v>44274</v>
      </c>
      <c r="C258" s="1" t="n">
        <v>45984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35789-2025</t>
        </is>
      </c>
      <c r="B259" s="1" t="n">
        <v>45861.33846064815</v>
      </c>
      <c r="C259" s="1" t="n">
        <v>45984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15393-2023</t>
        </is>
      </c>
      <c r="B260" s="1" t="n">
        <v>45016</v>
      </c>
      <c r="C260" s="1" t="n">
        <v>45984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35816-2025</t>
        </is>
      </c>
      <c r="B261" s="1" t="n">
        <v>45861.44006944444</v>
      </c>
      <c r="C261" s="1" t="n">
        <v>45984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11087-2023</t>
        </is>
      </c>
      <c r="B262" s="1" t="n">
        <v>44992.38239583333</v>
      </c>
      <c r="C262" s="1" t="n">
        <v>45984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55298-2023</t>
        </is>
      </c>
      <c r="B263" s="1" t="n">
        <v>45237</v>
      </c>
      <c r="C263" s="1" t="n">
        <v>45984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1167-2025</t>
        </is>
      </c>
      <c r="B264" s="1" t="n">
        <v>45666.96104166667</v>
      </c>
      <c r="C264" s="1" t="n">
        <v>45984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47001-2025</t>
        </is>
      </c>
      <c r="B265" s="1" t="n">
        <v>45929.55321759259</v>
      </c>
      <c r="C265" s="1" t="n">
        <v>45984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47006-2025</t>
        </is>
      </c>
      <c r="B266" s="1" t="n">
        <v>45929.56319444445</v>
      </c>
      <c r="C266" s="1" t="n">
        <v>45984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8017-2025</t>
        </is>
      </c>
      <c r="B267" s="1" t="n">
        <v>45707.56586805556</v>
      </c>
      <c r="C267" s="1" t="n">
        <v>45984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47697-2025</t>
        </is>
      </c>
      <c r="B268" s="1" t="n">
        <v>45931.59987268518</v>
      </c>
      <c r="C268" s="1" t="n">
        <v>45984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36679-2025</t>
        </is>
      </c>
      <c r="B269" s="1" t="n">
        <v>45873.39715277778</v>
      </c>
      <c r="C269" s="1" t="n">
        <v>45984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57898-2024</t>
        </is>
      </c>
      <c r="B270" s="1" t="n">
        <v>45631.47834490741</v>
      </c>
      <c r="C270" s="1" t="n">
        <v>45984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36696-2025</t>
        </is>
      </c>
      <c r="B271" s="1" t="n">
        <v>45873.43974537037</v>
      </c>
      <c r="C271" s="1" t="n">
        <v>45984</v>
      </c>
      <c r="D271" t="inlineStr">
        <is>
          <t>DALARNAS LÄN</t>
        </is>
      </c>
      <c r="E271" t="inlineStr">
        <is>
          <t>BORLÄNGE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36675-2025</t>
        </is>
      </c>
      <c r="B272" s="1" t="n">
        <v>45873.39479166667</v>
      </c>
      <c r="C272" s="1" t="n">
        <v>45984</v>
      </c>
      <c r="D272" t="inlineStr">
        <is>
          <t>DALARNAS LÄN</t>
        </is>
      </c>
      <c r="E272" t="inlineStr">
        <is>
          <t>BORLÄNGE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37221-2025</t>
        </is>
      </c>
      <c r="B273" s="1" t="n">
        <v>45875.92728009259</v>
      </c>
      <c r="C273" s="1" t="n">
        <v>45984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37223-2025</t>
        </is>
      </c>
      <c r="B274" s="1" t="n">
        <v>45875.93337962963</v>
      </c>
      <c r="C274" s="1" t="n">
        <v>45984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37222-2025</t>
        </is>
      </c>
      <c r="B275" s="1" t="n">
        <v>45875.93008101852</v>
      </c>
      <c r="C275" s="1" t="n">
        <v>45984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56200-2025</t>
        </is>
      </c>
      <c r="B276" s="1" t="n">
        <v>45974.45929398148</v>
      </c>
      <c r="C276" s="1" t="n">
        <v>45984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19096-2021</t>
        </is>
      </c>
      <c r="B277" s="1" t="n">
        <v>44308</v>
      </c>
      <c r="C277" s="1" t="n">
        <v>45984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37034-2025</t>
        </is>
      </c>
      <c r="B278" s="1" t="n">
        <v>45874</v>
      </c>
      <c r="C278" s="1" t="n">
        <v>45984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37440-2025</t>
        </is>
      </c>
      <c r="B279" s="1" t="n">
        <v>45877.53936342592</v>
      </c>
      <c r="C279" s="1" t="n">
        <v>45984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37741-2025</t>
        </is>
      </c>
      <c r="B280" s="1" t="n">
        <v>45880.65695601852</v>
      </c>
      <c r="C280" s="1" t="n">
        <v>45984</v>
      </c>
      <c r="D280" t="inlineStr">
        <is>
          <t>DALARNAS LÄN</t>
        </is>
      </c>
      <c r="E280" t="inlineStr">
        <is>
          <t>BORLÄNGE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37743-2025</t>
        </is>
      </c>
      <c r="B281" s="1" t="n">
        <v>45880.65918981482</v>
      </c>
      <c r="C281" s="1" t="n">
        <v>45984</v>
      </c>
      <c r="D281" t="inlineStr">
        <is>
          <t>DALARNAS LÄN</t>
        </is>
      </c>
      <c r="E281" t="inlineStr">
        <is>
          <t>BORLÄNGE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37739-2025</t>
        </is>
      </c>
      <c r="B282" s="1" t="n">
        <v>45880.64846064815</v>
      </c>
      <c r="C282" s="1" t="n">
        <v>45984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38137-2025</t>
        </is>
      </c>
      <c r="B283" s="1" t="n">
        <v>45882.56737268518</v>
      </c>
      <c r="C283" s="1" t="n">
        <v>45984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36214-2024</t>
        </is>
      </c>
      <c r="B284" s="1" t="n">
        <v>45534.46560185185</v>
      </c>
      <c r="C284" s="1" t="n">
        <v>45984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36217-2024</t>
        </is>
      </c>
      <c r="B285" s="1" t="n">
        <v>45534.46862268518</v>
      </c>
      <c r="C285" s="1" t="n">
        <v>45984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56875-2025</t>
        </is>
      </c>
      <c r="B286" s="1" t="n">
        <v>45978.53640046297</v>
      </c>
      <c r="C286" s="1" t="n">
        <v>45984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5260-2025</t>
        </is>
      </c>
      <c r="B287" s="1" t="n">
        <v>45692.36865740741</v>
      </c>
      <c r="C287" s="1" t="n">
        <v>45984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28321-2024</t>
        </is>
      </c>
      <c r="B288" s="1" t="n">
        <v>45477.50732638889</v>
      </c>
      <c r="C288" s="1" t="n">
        <v>45984</v>
      </c>
      <c r="D288" t="inlineStr">
        <is>
          <t>DALARNAS LÄN</t>
        </is>
      </c>
      <c r="E288" t="inlineStr">
        <is>
          <t>BORLÄNGE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62080-2024</t>
        </is>
      </c>
      <c r="B289" s="1" t="n">
        <v>45656.42575231481</v>
      </c>
      <c r="C289" s="1" t="n">
        <v>45984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17560-2025</t>
        </is>
      </c>
      <c r="B290" s="1" t="n">
        <v>45757.63572916666</v>
      </c>
      <c r="C290" s="1" t="n">
        <v>45984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49938-2023</t>
        </is>
      </c>
      <c r="B291" s="1" t="n">
        <v>45215</v>
      </c>
      <c r="C291" s="1" t="n">
        <v>45984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58002-2025</t>
        </is>
      </c>
      <c r="B292" s="1" t="n">
        <v>45982.43648148148</v>
      </c>
      <c r="C292" s="1" t="n">
        <v>45984</v>
      </c>
      <c r="D292" t="inlineStr">
        <is>
          <t>DALARNAS LÄN</t>
        </is>
      </c>
      <c r="E292" t="inlineStr">
        <is>
          <t>BORLÄNGE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15168-2025</t>
        </is>
      </c>
      <c r="B293" s="1" t="n">
        <v>45744.49254629629</v>
      </c>
      <c r="C293" s="1" t="n">
        <v>45984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57662-2025</t>
        </is>
      </c>
      <c r="B294" s="1" t="n">
        <v>45981.42233796296</v>
      </c>
      <c r="C294" s="1" t="n">
        <v>45984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57664-2025</t>
        </is>
      </c>
      <c r="B295" s="1" t="n">
        <v>45981.42581018519</v>
      </c>
      <c r="C295" s="1" t="n">
        <v>45984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40922-2021</t>
        </is>
      </c>
      <c r="B296" s="1" t="n">
        <v>44421.50993055556</v>
      </c>
      <c r="C296" s="1" t="n">
        <v>45984</v>
      </c>
      <c r="D296" t="inlineStr">
        <is>
          <t>DALARNAS LÄN</t>
        </is>
      </c>
      <c r="E296" t="inlineStr">
        <is>
          <t>BORLÄNGE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1492-2025</t>
        </is>
      </c>
      <c r="B297" s="1" t="n">
        <v>45670.40074074074</v>
      </c>
      <c r="C297" s="1" t="n">
        <v>45984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49462-2025</t>
        </is>
      </c>
      <c r="B298" s="1" t="n">
        <v>45939.32263888889</v>
      </c>
      <c r="C298" s="1" t="n">
        <v>45984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4785-2025</t>
        </is>
      </c>
      <c r="B299" s="1" t="n">
        <v>45688</v>
      </c>
      <c r="C299" s="1" t="n">
        <v>45984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43944-2021</t>
        </is>
      </c>
      <c r="B300" s="1" t="n">
        <v>44434</v>
      </c>
      <c r="C300" s="1" t="n">
        <v>45984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60908-2023</t>
        </is>
      </c>
      <c r="B301" s="1" t="n">
        <v>45261</v>
      </c>
      <c r="C301" s="1" t="n">
        <v>45984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422-2023</t>
        </is>
      </c>
      <c r="B302" s="1" t="n">
        <v>44929.6525</v>
      </c>
      <c r="C302" s="1" t="n">
        <v>45984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12448-2023</t>
        </is>
      </c>
      <c r="B303" s="1" t="n">
        <v>44999</v>
      </c>
      <c r="C303" s="1" t="n">
        <v>45984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43650-2022</t>
        </is>
      </c>
      <c r="B304" s="1" t="n">
        <v>44837.57366898148</v>
      </c>
      <c r="C304" s="1" t="n">
        <v>45984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53455-2021</t>
        </is>
      </c>
      <c r="B305" s="1" t="n">
        <v>44468</v>
      </c>
      <c r="C305" s="1" t="n">
        <v>45984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61809-2022</t>
        </is>
      </c>
      <c r="B306" s="1" t="n">
        <v>44917.57221064815</v>
      </c>
      <c r="C306" s="1" t="n">
        <v>45984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24181-2023</t>
        </is>
      </c>
      <c r="B307" s="1" t="n">
        <v>45079</v>
      </c>
      <c r="C307" s="1" t="n">
        <v>45984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17572-2021</t>
        </is>
      </c>
      <c r="B308" s="1" t="n">
        <v>44299</v>
      </c>
      <c r="C308" s="1" t="n">
        <v>45984</v>
      </c>
      <c r="D308" t="inlineStr">
        <is>
          <t>DALARNAS LÄN</t>
        </is>
      </c>
      <c r="E308" t="inlineStr">
        <is>
          <t>BORLÄNGE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15989-2024</t>
        </is>
      </c>
      <c r="B309" s="1" t="n">
        <v>45405.60082175926</v>
      </c>
      <c r="C309" s="1" t="n">
        <v>45984</v>
      </c>
      <c r="D309" t="inlineStr">
        <is>
          <t>DALARNAS LÄN</t>
        </is>
      </c>
      <c r="E309" t="inlineStr">
        <is>
          <t>BORLÄNGE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6798-2024</t>
        </is>
      </c>
      <c r="B310" s="1" t="n">
        <v>45342.56981481481</v>
      </c>
      <c r="C310" s="1" t="n">
        <v>45984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6803-2024</t>
        </is>
      </c>
      <c r="B311" s="1" t="n">
        <v>45342</v>
      </c>
      <c r="C311" s="1" t="n">
        <v>45984</v>
      </c>
      <c r="D311" t="inlineStr">
        <is>
          <t>DALARNAS LÄN</t>
        </is>
      </c>
      <c r="E311" t="inlineStr">
        <is>
          <t>BORLÄNGE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36422-2024</t>
        </is>
      </c>
      <c r="B312" s="1" t="n">
        <v>45536.65696759259</v>
      </c>
      <c r="C312" s="1" t="n">
        <v>45984</v>
      </c>
      <c r="D312" t="inlineStr">
        <is>
          <t>DALARNAS LÄN</t>
        </is>
      </c>
      <c r="E312" t="inlineStr">
        <is>
          <t>BORLÄNGE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37785-2024</t>
        </is>
      </c>
      <c r="B313" s="1" t="n">
        <v>45542.82690972222</v>
      </c>
      <c r="C313" s="1" t="n">
        <v>45984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61396-2021</t>
        </is>
      </c>
      <c r="B314" s="1" t="n">
        <v>44500</v>
      </c>
      <c r="C314" s="1" t="n">
        <v>45984</v>
      </c>
      <c r="D314" t="inlineStr">
        <is>
          <t>DALARNAS LÄN</t>
        </is>
      </c>
      <c r="E314" t="inlineStr">
        <is>
          <t>BORLÄNGE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466-2025</t>
        </is>
      </c>
      <c r="B315" s="1" t="n">
        <v>45664.41989583334</v>
      </c>
      <c r="C315" s="1" t="n">
        <v>45984</v>
      </c>
      <c r="D315" t="inlineStr">
        <is>
          <t>DALARNAS LÄN</t>
        </is>
      </c>
      <c r="E315" t="inlineStr">
        <is>
          <t>BORLÄNGE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30253-2023</t>
        </is>
      </c>
      <c r="B316" s="1" t="n">
        <v>45110</v>
      </c>
      <c r="C316" s="1" t="n">
        <v>45984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3964-2021</t>
        </is>
      </c>
      <c r="B317" s="1" t="n">
        <v>44222</v>
      </c>
      <c r="C317" s="1" t="n">
        <v>45984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11105-2023</t>
        </is>
      </c>
      <c r="B318" s="1" t="n">
        <v>44992</v>
      </c>
      <c r="C318" s="1" t="n">
        <v>45984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44896-2024</t>
        </is>
      </c>
      <c r="B319" s="1" t="n">
        <v>45575.36628472222</v>
      </c>
      <c r="C319" s="1" t="n">
        <v>45984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13983-2024</t>
        </is>
      </c>
      <c r="B320" s="1" t="n">
        <v>45392.40825231482</v>
      </c>
      <c r="C320" s="1" t="n">
        <v>45984</v>
      </c>
      <c r="D320" t="inlineStr">
        <is>
          <t>DALARNAS LÄN</t>
        </is>
      </c>
      <c r="E320" t="inlineStr">
        <is>
          <t>BORLÄNGE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36423-2024</t>
        </is>
      </c>
      <c r="B321" s="1" t="n">
        <v>45536.66635416666</v>
      </c>
      <c r="C321" s="1" t="n">
        <v>45984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60625-2023</t>
        </is>
      </c>
      <c r="B322" s="1" t="n">
        <v>45260.38826388889</v>
      </c>
      <c r="C322" s="1" t="n">
        <v>45984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42668-2024</t>
        </is>
      </c>
      <c r="B323" s="1" t="n">
        <v>45566.36052083333</v>
      </c>
      <c r="C323" s="1" t="n">
        <v>45984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558-2025</t>
        </is>
      </c>
      <c r="B324" s="1" t="n">
        <v>45664.53787037037</v>
      </c>
      <c r="C324" s="1" t="n">
        <v>45984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15495-2024</t>
        </is>
      </c>
      <c r="B325" s="1" t="n">
        <v>45401.53269675926</v>
      </c>
      <c r="C325" s="1" t="n">
        <v>45984</v>
      </c>
      <c r="D325" t="inlineStr">
        <is>
          <t>DALARNAS LÄN</t>
        </is>
      </c>
      <c r="E325" t="inlineStr">
        <is>
          <t>BORLÄNGE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45984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38863-2023</t>
        </is>
      </c>
      <c r="B327" s="1" t="n">
        <v>45163</v>
      </c>
      <c r="C327" s="1" t="n">
        <v>45984</v>
      </c>
      <c r="D327" t="inlineStr">
        <is>
          <t>DALARNAS LÄN</t>
        </is>
      </c>
      <c r="E327" t="inlineStr">
        <is>
          <t>BORLÄNGE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38868-2023</t>
        </is>
      </c>
      <c r="B328" s="1" t="n">
        <v>45163</v>
      </c>
      <c r="C328" s="1" t="n">
        <v>45984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59633-2021</t>
        </is>
      </c>
      <c r="B329" s="1" t="n">
        <v>44493</v>
      </c>
      <c r="C329" s="1" t="n">
        <v>45984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5802-2025</t>
        </is>
      </c>
      <c r="B330" s="1" t="n">
        <v>45694.67778935185</v>
      </c>
      <c r="C330" s="1" t="n">
        <v>45984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16878-2024</t>
        </is>
      </c>
      <c r="B331" s="1" t="n">
        <v>45411.58637731482</v>
      </c>
      <c r="C331" s="1" t="n">
        <v>45984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7332-2022</t>
        </is>
      </c>
      <c r="B332" s="1" t="n">
        <v>44606.54209490741</v>
      </c>
      <c r="C332" s="1" t="n">
        <v>45984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51859-2023</t>
        </is>
      </c>
      <c r="B333" s="1" t="n">
        <v>45223.35689814815</v>
      </c>
      <c r="C333" s="1" t="n">
        <v>45984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60740-2024</t>
        </is>
      </c>
      <c r="B334" s="1" t="n">
        <v>45644</v>
      </c>
      <c r="C334" s="1" t="n">
        <v>45984</v>
      </c>
      <c r="D334" t="inlineStr">
        <is>
          <t>DALARNAS LÄN</t>
        </is>
      </c>
      <c r="E334" t="inlineStr">
        <is>
          <t>BORLÄNGE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44240-2023</t>
        </is>
      </c>
      <c r="B335" s="1" t="n">
        <v>45188</v>
      </c>
      <c r="C335" s="1" t="n">
        <v>45984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6654-2024</t>
        </is>
      </c>
      <c r="B336" s="1" t="n">
        <v>45341.68972222223</v>
      </c>
      <c r="C336" s="1" t="n">
        <v>45984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43957-2024</t>
        </is>
      </c>
      <c r="B337" s="1" t="n">
        <v>45572.47766203704</v>
      </c>
      <c r="C337" s="1" t="n">
        <v>45984</v>
      </c>
      <c r="D337" t="inlineStr">
        <is>
          <t>DALARNAS LÄN</t>
        </is>
      </c>
      <c r="E337" t="inlineStr">
        <is>
          <t>BORLÄNGE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73002-2021</t>
        </is>
      </c>
      <c r="B338" s="1" t="n">
        <v>44550.27520833333</v>
      </c>
      <c r="C338" s="1" t="n">
        <v>45984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8473-2022</t>
        </is>
      </c>
      <c r="B339" s="1" t="n">
        <v>44613.34505787037</v>
      </c>
      <c r="C339" s="1" t="n">
        <v>45984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60301-2024</t>
        </is>
      </c>
      <c r="B340" s="1" t="n">
        <v>45643.32780092592</v>
      </c>
      <c r="C340" s="1" t="n">
        <v>45984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20008-2023</t>
        </is>
      </c>
      <c r="B341" s="1" t="n">
        <v>45054.62822916666</v>
      </c>
      <c r="C341" s="1" t="n">
        <v>45984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56350-2024</t>
        </is>
      </c>
      <c r="B342" s="1" t="n">
        <v>45624.90174768519</v>
      </c>
      <c r="C342" s="1" t="n">
        <v>45984</v>
      </c>
      <c r="D342" t="inlineStr">
        <is>
          <t>DALARNAS LÄN</t>
        </is>
      </c>
      <c r="E342" t="inlineStr">
        <is>
          <t>BORLÄNGE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23416-2023</t>
        </is>
      </c>
      <c r="B343" s="1" t="n">
        <v>45076.51174768519</v>
      </c>
      <c r="C343" s="1" t="n">
        <v>45984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51858-2023</t>
        </is>
      </c>
      <c r="B344" s="1" t="n">
        <v>45223</v>
      </c>
      <c r="C344" s="1" t="n">
        <v>45984</v>
      </c>
      <c r="D344" t="inlineStr">
        <is>
          <t>DALARNAS LÄN</t>
        </is>
      </c>
      <c r="E344" t="inlineStr">
        <is>
          <t>BORLÄNGE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54420-2024</t>
        </is>
      </c>
      <c r="B345" s="1" t="n">
        <v>45617.48462962963</v>
      </c>
      <c r="C345" s="1" t="n">
        <v>45984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8309-2022</t>
        </is>
      </c>
      <c r="B346" s="1" t="n">
        <v>44610</v>
      </c>
      <c r="C346" s="1" t="n">
        <v>45984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2166-2025</t>
        </is>
      </c>
      <c r="B347" s="1" t="n">
        <v>45672</v>
      </c>
      <c r="C347" s="1" t="n">
        <v>45984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48606-2023</t>
        </is>
      </c>
      <c r="B348" s="1" t="n">
        <v>45208.53342592593</v>
      </c>
      <c r="C348" s="1" t="n">
        <v>45984</v>
      </c>
      <c r="D348" t="inlineStr">
        <is>
          <t>DALARNAS LÄN</t>
        </is>
      </c>
      <c r="E348" t="inlineStr">
        <is>
          <t>BORLÄNGE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54414-2024</t>
        </is>
      </c>
      <c r="B349" s="1" t="n">
        <v>45617</v>
      </c>
      <c r="C349" s="1" t="n">
        <v>45984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1166-2025</t>
        </is>
      </c>
      <c r="B350" s="1" t="n">
        <v>45666.93782407408</v>
      </c>
      <c r="C350" s="1" t="n">
        <v>45984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49056-2023</t>
        </is>
      </c>
      <c r="B351" s="1" t="n">
        <v>45210.33983796297</v>
      </c>
      <c r="C351" s="1" t="n">
        <v>45984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38754-2023</t>
        </is>
      </c>
      <c r="B352" s="1" t="n">
        <v>45163</v>
      </c>
      <c r="C352" s="1" t="n">
        <v>45984</v>
      </c>
      <c r="D352" t="inlineStr">
        <is>
          <t>DALARNAS LÄN</t>
        </is>
      </c>
      <c r="E352" t="inlineStr">
        <is>
          <t>BORLÄNGE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34674-2023</t>
        </is>
      </c>
      <c r="B353" s="1" t="n">
        <v>45140</v>
      </c>
      <c r="C353" s="1" t="n">
        <v>45984</v>
      </c>
      <c r="D353" t="inlineStr">
        <is>
          <t>DALARNAS LÄN</t>
        </is>
      </c>
      <c r="E353" t="inlineStr">
        <is>
          <t>BORLÄNGE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34783-2024</t>
        </is>
      </c>
      <c r="B354" s="1" t="n">
        <v>45526</v>
      </c>
      <c r="C354" s="1" t="n">
        <v>45984</v>
      </c>
      <c r="D354" t="inlineStr">
        <is>
          <t>DALARNAS LÄN</t>
        </is>
      </c>
      <c r="E354" t="inlineStr">
        <is>
          <t>BORLÄNGE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17510-2022</t>
        </is>
      </c>
      <c r="B355" s="1" t="n">
        <v>44679.54954861111</v>
      </c>
      <c r="C355" s="1" t="n">
        <v>45984</v>
      </c>
      <c r="D355" t="inlineStr">
        <is>
          <t>DALARNAS LÄN</t>
        </is>
      </c>
      <c r="E355" t="inlineStr">
        <is>
          <t>BORLÄNGE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40654-2022</t>
        </is>
      </c>
      <c r="B356" s="1" t="n">
        <v>44824.35642361111</v>
      </c>
      <c r="C356" s="1" t="n">
        <v>45984</v>
      </c>
      <c r="D356" t="inlineStr">
        <is>
          <t>DALARNAS LÄN</t>
        </is>
      </c>
      <c r="E356" t="inlineStr">
        <is>
          <t>BORLÄNGE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10173-2025</t>
        </is>
      </c>
      <c r="B357" s="1" t="n">
        <v>45719.65857638889</v>
      </c>
      <c r="C357" s="1" t="n">
        <v>45984</v>
      </c>
      <c r="D357" t="inlineStr">
        <is>
          <t>DALARNAS LÄN</t>
        </is>
      </c>
      <c r="E357" t="inlineStr">
        <is>
          <t>BORLÄNGE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63192-2023</t>
        </is>
      </c>
      <c r="B358" s="1" t="n">
        <v>45273.60155092592</v>
      </c>
      <c r="C358" s="1" t="n">
        <v>45984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27720-2024</t>
        </is>
      </c>
      <c r="B359" s="1" t="n">
        <v>45475.39222222222</v>
      </c>
      <c r="C359" s="1" t="n">
        <v>45984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57533-2023</t>
        </is>
      </c>
      <c r="B360" s="1" t="n">
        <v>45246</v>
      </c>
      <c r="C360" s="1" t="n">
        <v>45984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55735-2023</t>
        </is>
      </c>
      <c r="B361" s="1" t="n">
        <v>45239.43166666666</v>
      </c>
      <c r="C361" s="1" t="n">
        <v>45984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619-2024</t>
        </is>
      </c>
      <c r="B362" s="1" t="n">
        <v>45299.66493055555</v>
      </c>
      <c r="C362" s="1" t="n">
        <v>45984</v>
      </c>
      <c r="D362" t="inlineStr">
        <is>
          <t>DALARNAS LÄN</t>
        </is>
      </c>
      <c r="E362" t="inlineStr">
        <is>
          <t>BORLÄNGE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43012-2023</t>
        </is>
      </c>
      <c r="B363" s="1" t="n">
        <v>45182.63990740741</v>
      </c>
      <c r="C363" s="1" t="n">
        <v>45984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10689-2024</t>
        </is>
      </c>
      <c r="B364" s="1" t="n">
        <v>45369.40248842593</v>
      </c>
      <c r="C364" s="1" t="n">
        <v>45984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36356-2021</t>
        </is>
      </c>
      <c r="B365" s="1" t="n">
        <v>44384</v>
      </c>
      <c r="C365" s="1" t="n">
        <v>45984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60518-2023</t>
        </is>
      </c>
      <c r="B366" s="1" t="n">
        <v>45259</v>
      </c>
      <c r="C366" s="1" t="n">
        <v>45984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60060-2023</t>
        </is>
      </c>
      <c r="B367" s="1" t="n">
        <v>45258.38181712963</v>
      </c>
      <c r="C367" s="1" t="n">
        <v>45984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43516-2023</t>
        </is>
      </c>
      <c r="B368" s="1" t="n">
        <v>45184</v>
      </c>
      <c r="C368" s="1" t="n">
        <v>45984</v>
      </c>
      <c r="D368" t="inlineStr">
        <is>
          <t>DALARNAS LÄN</t>
        </is>
      </c>
      <c r="E368" t="inlineStr">
        <is>
          <t>BORLÄNGE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35501-2023</t>
        </is>
      </c>
      <c r="B369" s="1" t="n">
        <v>45146</v>
      </c>
      <c r="C369" s="1" t="n">
        <v>45984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35594-2022</t>
        </is>
      </c>
      <c r="B370" s="1" t="n">
        <v>44799</v>
      </c>
      <c r="C370" s="1" t="n">
        <v>45984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70621-2021</t>
        </is>
      </c>
      <c r="B371" s="1" t="n">
        <v>44537.4658449074</v>
      </c>
      <c r="C371" s="1" t="n">
        <v>45984</v>
      </c>
      <c r="D371" t="inlineStr">
        <is>
          <t>DALARNAS LÄN</t>
        </is>
      </c>
      <c r="E371" t="inlineStr">
        <is>
          <t>BORLÄNGE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51849-2022</t>
        </is>
      </c>
      <c r="B372" s="1" t="n">
        <v>44867</v>
      </c>
      <c r="C372" s="1" t="n">
        <v>45984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68085-2021</t>
        </is>
      </c>
      <c r="B373" s="1" t="n">
        <v>44526.3409375</v>
      </c>
      <c r="C373" s="1" t="n">
        <v>45984</v>
      </c>
      <c r="D373" t="inlineStr">
        <is>
          <t>DALARNAS LÄN</t>
        </is>
      </c>
      <c r="E373" t="inlineStr">
        <is>
          <t>BORLÄNGE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36424-2024</t>
        </is>
      </c>
      <c r="B374" s="1" t="n">
        <v>45536.67121527778</v>
      </c>
      <c r="C374" s="1" t="n">
        <v>45984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45083-2021</t>
        </is>
      </c>
      <c r="B375" s="1" t="n">
        <v>44438</v>
      </c>
      <c r="C375" s="1" t="n">
        <v>45984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67422-2021</t>
        </is>
      </c>
      <c r="B376" s="1" t="n">
        <v>44524</v>
      </c>
      <c r="C376" s="1" t="n">
        <v>45984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11568-2021</t>
        </is>
      </c>
      <c r="B377" s="1" t="n">
        <v>44264.51380787037</v>
      </c>
      <c r="C377" s="1" t="n">
        <v>45984</v>
      </c>
      <c r="D377" t="inlineStr">
        <is>
          <t>DALARNAS LÄN</t>
        </is>
      </c>
      <c r="E377" t="inlineStr">
        <is>
          <t>BORLÄNGE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50325-2021</t>
        </is>
      </c>
      <c r="B378" s="1" t="n">
        <v>44438</v>
      </c>
      <c r="C378" s="1" t="n">
        <v>45984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45488-2023</t>
        </is>
      </c>
      <c r="B379" s="1" t="n">
        <v>45194</v>
      </c>
      <c r="C379" s="1" t="n">
        <v>45984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45984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20581-2024</t>
        </is>
      </c>
      <c r="B381" s="1" t="n">
        <v>45436</v>
      </c>
      <c r="C381" s="1" t="n">
        <v>45984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599-2021</t>
        </is>
      </c>
      <c r="B382" s="1" t="n">
        <v>44203</v>
      </c>
      <c r="C382" s="1" t="n">
        <v>45984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22652-2024</t>
        </is>
      </c>
      <c r="B383" s="1" t="n">
        <v>45447.90041666666</v>
      </c>
      <c r="C383" s="1" t="n">
        <v>45984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1966-2024</t>
        </is>
      </c>
      <c r="B384" s="1" t="n">
        <v>45308</v>
      </c>
      <c r="C384" s="1" t="n">
        <v>45984</v>
      </c>
      <c r="D384" t="inlineStr">
        <is>
          <t>DALARNAS LÄN</t>
        </is>
      </c>
      <c r="E384" t="inlineStr">
        <is>
          <t>BORLÄNGE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383-2022</t>
        </is>
      </c>
      <c r="B385" s="1" t="n">
        <v>44565</v>
      </c>
      <c r="C385" s="1" t="n">
        <v>45984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28312-2022</t>
        </is>
      </c>
      <c r="B386" s="1" t="n">
        <v>44747.36041666667</v>
      </c>
      <c r="C386" s="1" t="n">
        <v>45984</v>
      </c>
      <c r="D386" t="inlineStr">
        <is>
          <t>DALARNAS LÄN</t>
        </is>
      </c>
      <c r="E386" t="inlineStr">
        <is>
          <t>BORLÄNGE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18529-2024</t>
        </is>
      </c>
      <c r="B387" s="1" t="n">
        <v>45425</v>
      </c>
      <c r="C387" s="1" t="n">
        <v>45984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53092-2021</t>
        </is>
      </c>
      <c r="B388" s="1" t="n">
        <v>44467</v>
      </c>
      <c r="C388" s="1" t="n">
        <v>45984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28324-2024</t>
        </is>
      </c>
      <c r="B389" s="1" t="n">
        <v>45477.51149305556</v>
      </c>
      <c r="C389" s="1" t="n">
        <v>45984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59674-2021</t>
        </is>
      </c>
      <c r="B390" s="1" t="n">
        <v>44494</v>
      </c>
      <c r="C390" s="1" t="n">
        <v>45984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HYPERLINK("https://klasma.github.io/Logging_2081/knärot/A 59674-2021 karta knärot.png", "A 59674-2021")</f>
        <v/>
      </c>
      <c r="V390">
        <f>HYPERLINK("https://klasma.github.io/Logging_2081/klagomål/A 59674-2021 FSC-klagomål.docx", "A 59674-2021")</f>
        <v/>
      </c>
      <c r="W390">
        <f>HYPERLINK("https://klasma.github.io/Logging_2081/klagomålsmail/A 59674-2021 FSC-klagomål mail.docx", "A 59674-2021")</f>
        <v/>
      </c>
      <c r="X390">
        <f>HYPERLINK("https://klasma.github.io/Logging_2081/tillsyn/A 59674-2021 tillsynsbegäran.docx", "A 59674-2021")</f>
        <v/>
      </c>
      <c r="Y390">
        <f>HYPERLINK("https://klasma.github.io/Logging_2081/tillsynsmail/A 59674-2021 tillsynsbegäran mail.docx", "A 59674-2021")</f>
        <v/>
      </c>
    </row>
    <row r="391" ht="15" customHeight="1">
      <c r="A391" t="inlineStr">
        <is>
          <t>A 20814-2024</t>
        </is>
      </c>
      <c r="B391" s="1" t="n">
        <v>45439.35818287037</v>
      </c>
      <c r="C391" s="1" t="n">
        <v>45984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4682-2025</t>
        </is>
      </c>
      <c r="B392" s="1" t="n">
        <v>45687.86734953704</v>
      </c>
      <c r="C392" s="1" t="n">
        <v>45984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6436-2022</t>
        </is>
      </c>
      <c r="B393" s="1" t="n">
        <v>44601</v>
      </c>
      <c r="C393" s="1" t="n">
        <v>45984</v>
      </c>
      <c r="D393" t="inlineStr">
        <is>
          <t>DALARNAS LÄN</t>
        </is>
      </c>
      <c r="E393" t="inlineStr">
        <is>
          <t>BORLÄNGE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5384-2025</t>
        </is>
      </c>
      <c r="B394" s="1" t="n">
        <v>45692.61747685185</v>
      </c>
      <c r="C394" s="1" t="n">
        <v>45984</v>
      </c>
      <c r="D394" t="inlineStr">
        <is>
          <t>DALARNAS LÄN</t>
        </is>
      </c>
      <c r="E394" t="inlineStr">
        <is>
          <t>BORLÄNGE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14753-2025</t>
        </is>
      </c>
      <c r="B395" s="1" t="n">
        <v>45742.66197916667</v>
      </c>
      <c r="C395" s="1" t="n">
        <v>45984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43662-2022</t>
        </is>
      </c>
      <c r="B396" s="1" t="n">
        <v>44837</v>
      </c>
      <c r="C396" s="1" t="n">
        <v>45984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64688-2023</t>
        </is>
      </c>
      <c r="B397" s="1" t="n">
        <v>45281</v>
      </c>
      <c r="C397" s="1" t="n">
        <v>45984</v>
      </c>
      <c r="D397" t="inlineStr">
        <is>
          <t>DALARNAS LÄN</t>
        </is>
      </c>
      <c r="E397" t="inlineStr">
        <is>
          <t>BORLÄNGE</t>
        </is>
      </c>
      <c r="F397" t="inlineStr">
        <is>
          <t>Kyrkan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14691-2021</t>
        </is>
      </c>
      <c r="B398" s="1" t="n">
        <v>44280</v>
      </c>
      <c r="C398" s="1" t="n">
        <v>45984</v>
      </c>
      <c r="D398" t="inlineStr">
        <is>
          <t>DALARNAS LÄN</t>
        </is>
      </c>
      <c r="E398" t="inlineStr">
        <is>
          <t>BORLÄNGE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68735-2021</t>
        </is>
      </c>
      <c r="B399" s="1" t="n">
        <v>44529</v>
      </c>
      <c r="C399" s="1" t="n">
        <v>45984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7588-2023</t>
        </is>
      </c>
      <c r="B400" s="1" t="n">
        <v>44972</v>
      </c>
      <c r="C400" s="1" t="n">
        <v>45984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61288-2021</t>
        </is>
      </c>
      <c r="B401" s="1" t="n">
        <v>44498.61825231482</v>
      </c>
      <c r="C401" s="1" t="n">
        <v>45984</v>
      </c>
      <c r="D401" t="inlineStr">
        <is>
          <t>DALARNAS LÄN</t>
        </is>
      </c>
      <c r="E401" t="inlineStr">
        <is>
          <t>BORLÄNGE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5529-2025</t>
        </is>
      </c>
      <c r="B402" s="1" t="n">
        <v>45693.43435185185</v>
      </c>
      <c r="C402" s="1" t="n">
        <v>45984</v>
      </c>
      <c r="D402" t="inlineStr">
        <is>
          <t>DALARNAS LÄN</t>
        </is>
      </c>
      <c r="E402" t="inlineStr">
        <is>
          <t>BORLÄNGE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10498-2023</t>
        </is>
      </c>
      <c r="B403" s="1" t="n">
        <v>44987</v>
      </c>
      <c r="C403" s="1" t="n">
        <v>45984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8489-2025</t>
        </is>
      </c>
      <c r="B404" s="1" t="n">
        <v>45709.50549768518</v>
      </c>
      <c r="C404" s="1" t="n">
        <v>45984</v>
      </c>
      <c r="D404" t="inlineStr">
        <is>
          <t>DALARNAS LÄN</t>
        </is>
      </c>
      <c r="E404" t="inlineStr">
        <is>
          <t>BORLÄNGE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53544-2022</t>
        </is>
      </c>
      <c r="B405" s="1" t="n">
        <v>44879</v>
      </c>
      <c r="C405" s="1" t="n">
        <v>45984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7194-2025</t>
        </is>
      </c>
      <c r="B406" s="1" t="n">
        <v>45702.44947916667</v>
      </c>
      <c r="C406" s="1" t="n">
        <v>45984</v>
      </c>
      <c r="D406" t="inlineStr">
        <is>
          <t>DALARNAS LÄN</t>
        </is>
      </c>
      <c r="E406" t="inlineStr">
        <is>
          <t>BORLÄNGE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8208-2021</t>
        </is>
      </c>
      <c r="B407" s="1" t="n">
        <v>44244</v>
      </c>
      <c r="C407" s="1" t="n">
        <v>45984</v>
      </c>
      <c r="D407" t="inlineStr">
        <is>
          <t>DALARNAS LÄN</t>
        </is>
      </c>
      <c r="E407" t="inlineStr">
        <is>
          <t>BORLÄNGE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13658-2024</t>
        </is>
      </c>
      <c r="B408" s="1" t="n">
        <v>45390.48613425926</v>
      </c>
      <c r="C408" s="1" t="n">
        <v>45984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60086-2023</t>
        </is>
      </c>
      <c r="B409" s="1" t="n">
        <v>45258</v>
      </c>
      <c r="C409" s="1" t="n">
        <v>45984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39574-2023</t>
        </is>
      </c>
      <c r="B410" s="1" t="n">
        <v>45167.4177199074</v>
      </c>
      <c r="C410" s="1" t="n">
        <v>45984</v>
      </c>
      <c r="D410" t="inlineStr">
        <is>
          <t>DALARNAS LÄN</t>
        </is>
      </c>
      <c r="E410" t="inlineStr">
        <is>
          <t>BORLÄNGE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10381-2023</t>
        </is>
      </c>
      <c r="B411" s="1" t="n">
        <v>44987.42900462963</v>
      </c>
      <c r="C411" s="1" t="n">
        <v>45984</v>
      </c>
      <c r="D411" t="inlineStr">
        <is>
          <t>DALARNAS LÄN</t>
        </is>
      </c>
      <c r="E411" t="inlineStr">
        <is>
          <t>BORLÄNGE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58903-2023</t>
        </is>
      </c>
      <c r="B412" s="1" t="n">
        <v>45252.50012731482</v>
      </c>
      <c r="C412" s="1" t="n">
        <v>45984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1088-2023</t>
        </is>
      </c>
      <c r="B413" s="1" t="n">
        <v>44935</v>
      </c>
      <c r="C413" s="1" t="n">
        <v>45984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20784-2024</t>
        </is>
      </c>
      <c r="B414" s="1" t="n">
        <v>45437.55819444444</v>
      </c>
      <c r="C414" s="1" t="n">
        <v>45984</v>
      </c>
      <c r="D414" t="inlineStr">
        <is>
          <t>DALARNAS LÄN</t>
        </is>
      </c>
      <c r="E414" t="inlineStr">
        <is>
          <t>BORLÄNGE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1723-2025</t>
        </is>
      </c>
      <c r="B415" s="1" t="n">
        <v>45671.34664351852</v>
      </c>
      <c r="C415" s="1" t="n">
        <v>45984</v>
      </c>
      <c r="D415" t="inlineStr">
        <is>
          <t>DALARNAS LÄN</t>
        </is>
      </c>
      <c r="E415" t="inlineStr">
        <is>
          <t>BORLÄNGE</t>
        </is>
      </c>
      <c r="G415" t="n">
        <v>24.5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51716-2024</t>
        </is>
      </c>
      <c r="B416" s="1" t="n">
        <v>45607.37652777778</v>
      </c>
      <c r="C416" s="1" t="n">
        <v>45984</v>
      </c>
      <c r="D416" t="inlineStr">
        <is>
          <t>DALARNAS LÄN</t>
        </is>
      </c>
      <c r="E416" t="inlineStr">
        <is>
          <t>BORLÄNGE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62214-2023</t>
        </is>
      </c>
      <c r="B417" s="1" t="n">
        <v>45267.50777777778</v>
      </c>
      <c r="C417" s="1" t="n">
        <v>45984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17569-2023</t>
        </is>
      </c>
      <c r="B418" s="1" t="n">
        <v>45036</v>
      </c>
      <c r="C418" s="1" t="n">
        <v>45984</v>
      </c>
      <c r="D418" t="inlineStr">
        <is>
          <t>DALARNAS LÄN</t>
        </is>
      </c>
      <c r="E418" t="inlineStr">
        <is>
          <t>BORLÄNGE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9295-2024</t>
        </is>
      </c>
      <c r="B419" s="1" t="n">
        <v>45358</v>
      </c>
      <c r="C419" s="1" t="n">
        <v>45984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29856-2024</t>
        </is>
      </c>
      <c r="B420" s="1" t="n">
        <v>45485.66964120371</v>
      </c>
      <c r="C420" s="1" t="n">
        <v>45984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43324-2023</t>
        </is>
      </c>
      <c r="B421" s="1" t="n">
        <v>45183.62677083333</v>
      </c>
      <c r="C421" s="1" t="n">
        <v>45984</v>
      </c>
      <c r="D421" t="inlineStr">
        <is>
          <t>DALARNAS LÄN</t>
        </is>
      </c>
      <c r="E421" t="inlineStr">
        <is>
          <t>BORLÄNGE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49936-2023</t>
        </is>
      </c>
      <c r="B422" s="1" t="n">
        <v>45215</v>
      </c>
      <c r="C422" s="1" t="n">
        <v>45984</v>
      </c>
      <c r="D422" t="inlineStr">
        <is>
          <t>DALARNAS LÄN</t>
        </is>
      </c>
      <c r="E422" t="inlineStr">
        <is>
          <t>BORLÄNGE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28572-2025</t>
        </is>
      </c>
      <c r="B423" s="1" t="n">
        <v>45819</v>
      </c>
      <c r="C423" s="1" t="n">
        <v>45984</v>
      </c>
      <c r="D423" t="inlineStr">
        <is>
          <t>DALARNAS LÄN</t>
        </is>
      </c>
      <c r="E423" t="inlineStr">
        <is>
          <t>BORLÄNGE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32940-2024</t>
        </is>
      </c>
      <c r="B424" s="1" t="n">
        <v>45517.33597222222</v>
      </c>
      <c r="C424" s="1" t="n">
        <v>45984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21828-2025</t>
        </is>
      </c>
      <c r="B425" s="1" t="n">
        <v>45783.91428240741</v>
      </c>
      <c r="C425" s="1" t="n">
        <v>45984</v>
      </c>
      <c r="D425" t="inlineStr">
        <is>
          <t>DALARNAS LÄN</t>
        </is>
      </c>
      <c r="E425" t="inlineStr">
        <is>
          <t>BORLÄNGE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8540-2025</t>
        </is>
      </c>
      <c r="B426" s="1" t="n">
        <v>45709.60369212963</v>
      </c>
      <c r="C426" s="1" t="n">
        <v>45984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61918-2024</t>
        </is>
      </c>
      <c r="B427" s="1" t="n">
        <v>45653.43668981481</v>
      </c>
      <c r="C427" s="1" t="n">
        <v>45984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2025-11-23T10:13:45Z</dcterms:created>
  <dcterms:modified xmlns:dcterms="http://purl.org/dc/terms/" xmlns:xsi="http://www.w3.org/2001/XMLSchema-instance" xsi:type="dcterms:W3CDTF">2025-11-23T10:13:46Z</dcterms:modified>
</cp:coreProperties>
</file>