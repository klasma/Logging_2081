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45474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45474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45474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45474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45474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45474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22181-2023</t>
        </is>
      </c>
      <c r="B8" s="1" t="n">
        <v>45069</v>
      </c>
      <c r="C8" s="1" t="n">
        <v>45474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Gammelgransskål
Garnlav
Bollvitmossa
Vedticka
Fläcknycklar</t>
        </is>
      </c>
      <c r="S8">
        <f>HYPERLINK("https://klasma.github.io/Logging_2081/artfynd/A 22181-2023 artfynd.xlsx", "A 22181-2023")</f>
        <v/>
      </c>
      <c r="T8">
        <f>HYPERLINK("https://klasma.github.io/Logging_2081/kartor/A 22181-2023 karta.png", "A 22181-2023")</f>
        <v/>
      </c>
      <c r="U8">
        <f>HYPERLINK("https://klasma.github.io/Logging_2081/knärot/A 22181-2023 karta knärot.png", "A 22181-2023")</f>
        <v/>
      </c>
      <c r="V8">
        <f>HYPERLINK("https://klasma.github.io/Logging_2081/klagomål/A 22181-2023 FSC-klagomål.docx", "A 22181-2023")</f>
        <v/>
      </c>
      <c r="W8">
        <f>HYPERLINK("https://klasma.github.io/Logging_2081/klagomålsmail/A 22181-2023 FSC-klagomål mail.docx", "A 22181-2023")</f>
        <v/>
      </c>
      <c r="X8">
        <f>HYPERLINK("https://klasma.github.io/Logging_2081/tillsyn/A 22181-2023 tillsynsbegäran.docx", "A 22181-2023")</f>
        <v/>
      </c>
      <c r="Y8">
        <f>HYPERLINK("https://klasma.github.io/Logging_2081/tillsynsmail/A 22181-2023 tillsynsbegäran mail.docx", "A 22181-2023")</f>
        <v/>
      </c>
    </row>
    <row r="9" ht="15" customHeight="1">
      <c r="A9" t="inlineStr">
        <is>
          <t>A 6823-2024</t>
        </is>
      </c>
      <c r="B9" s="1" t="n">
        <v>45342</v>
      </c>
      <c r="C9" s="1" t="n">
        <v>45474</v>
      </c>
      <c r="D9" t="inlineStr">
        <is>
          <t>DALARNAS LÄN</t>
        </is>
      </c>
      <c r="E9" t="inlineStr">
        <is>
          <t>BORLÄNGE</t>
        </is>
      </c>
      <c r="G9" t="n">
        <v>10.3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Ullticka
Dropptaggsvamp
Vedticka
Tjäder</t>
        </is>
      </c>
      <c r="S9">
        <f>HYPERLINK("https://klasma.github.io/Logging_2081/artfynd/A 6823-2024 artfynd.xlsx", "A 6823-2024")</f>
        <v/>
      </c>
      <c r="T9">
        <f>HYPERLINK("https://klasma.github.io/Logging_2081/kartor/A 6823-2024 karta.png", "A 6823-2024")</f>
        <v/>
      </c>
      <c r="V9">
        <f>HYPERLINK("https://klasma.github.io/Logging_2081/klagomål/A 6823-2024 FSC-klagomål.docx", "A 6823-2024")</f>
        <v/>
      </c>
      <c r="W9">
        <f>HYPERLINK("https://klasma.github.io/Logging_2081/klagomålsmail/A 6823-2024 FSC-klagomål mail.docx", "A 6823-2024")</f>
        <v/>
      </c>
      <c r="X9">
        <f>HYPERLINK("https://klasma.github.io/Logging_2081/tillsyn/A 6823-2024 tillsynsbegäran.docx", "A 6823-2024")</f>
        <v/>
      </c>
      <c r="Y9">
        <f>HYPERLINK("https://klasma.github.io/Logging_2081/tillsynsmail/A 6823-2024 tillsynsbegäran mail.docx", "A 6823-2024")</f>
        <v/>
      </c>
      <c r="Z9">
        <f>HYPERLINK("https://klasma.github.io/Logging_2081/fåglar/A 6823-2024 prioriterade fågelarter.docx", "A 6823-2024")</f>
        <v/>
      </c>
    </row>
    <row r="10" ht="15" customHeight="1">
      <c r="A10" t="inlineStr">
        <is>
          <t>A 10755-2024</t>
        </is>
      </c>
      <c r="B10" s="1" t="n">
        <v>45369</v>
      </c>
      <c r="C10" s="1" t="n">
        <v>45474</v>
      </c>
      <c r="D10" t="inlineStr">
        <is>
          <t>DALARNAS LÄN</t>
        </is>
      </c>
      <c r="E10" t="inlineStr">
        <is>
          <t>BORLÄNGE</t>
        </is>
      </c>
      <c r="G10" t="n">
        <v>2.9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Brandticka
Trådticka</t>
        </is>
      </c>
      <c r="S10">
        <f>HYPERLINK("https://klasma.github.io/Logging_2081/artfynd/A 10755-2024 artfynd.xlsx", "A 10755-2024")</f>
        <v/>
      </c>
      <c r="T10">
        <f>HYPERLINK("https://klasma.github.io/Logging_2081/kartor/A 10755-2024 karta.png", "A 10755-2024")</f>
        <v/>
      </c>
      <c r="V10">
        <f>HYPERLINK("https://klasma.github.io/Logging_2081/klagomål/A 10755-2024 FSC-klagomål.docx", "A 10755-2024")</f>
        <v/>
      </c>
      <c r="W10">
        <f>HYPERLINK("https://klasma.github.io/Logging_2081/klagomålsmail/A 10755-2024 FSC-klagomål mail.docx", "A 10755-2024")</f>
        <v/>
      </c>
      <c r="X10">
        <f>HYPERLINK("https://klasma.github.io/Logging_2081/tillsyn/A 10755-2024 tillsynsbegäran.docx", "A 10755-2024")</f>
        <v/>
      </c>
      <c r="Y10">
        <f>HYPERLINK("https://klasma.github.io/Logging_2081/tillsynsmail/A 10755-2024 tillsynsbegäran mail.docx", "A 10755-2024")</f>
        <v/>
      </c>
    </row>
    <row r="11" ht="15" customHeight="1">
      <c r="A11" t="inlineStr">
        <is>
          <t>A 13707-2021</t>
        </is>
      </c>
      <c r="B11" s="1" t="n">
        <v>44274</v>
      </c>
      <c r="C11" s="1" t="n">
        <v>45474</v>
      </c>
      <c r="D11" t="inlineStr">
        <is>
          <t>DALARNAS LÄN</t>
        </is>
      </c>
      <c r="E11" t="inlineStr">
        <is>
          <t>BORLÄNGE</t>
        </is>
      </c>
      <c r="G11" t="n">
        <v>5.7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Rosenticka
Ullticka
Bronshjon
Vedticka</t>
        </is>
      </c>
      <c r="S11">
        <f>HYPERLINK("https://klasma.github.io/Logging_2081/artfynd/A 13707-2021 artfynd.xlsx", "A 13707-2021")</f>
        <v/>
      </c>
      <c r="T11">
        <f>HYPERLINK("https://klasma.github.io/Logging_2081/kartor/A 13707-2021 karta.png", "A 13707-2021")</f>
        <v/>
      </c>
      <c r="V11">
        <f>HYPERLINK("https://klasma.github.io/Logging_2081/klagomål/A 13707-2021 FSC-klagomål.docx", "A 13707-2021")</f>
        <v/>
      </c>
      <c r="W11">
        <f>HYPERLINK("https://klasma.github.io/Logging_2081/klagomålsmail/A 13707-2021 FSC-klagomål mail.docx", "A 13707-2021")</f>
        <v/>
      </c>
      <c r="X11">
        <f>HYPERLINK("https://klasma.github.io/Logging_2081/tillsyn/A 13707-2021 tillsynsbegäran.docx", "A 13707-2021")</f>
        <v/>
      </c>
      <c r="Y11">
        <f>HYPERLINK("https://klasma.github.io/Logging_2081/tillsynsmail/A 13707-2021 tillsynsbegäran mail.docx", "A 13707-2021")</f>
        <v/>
      </c>
    </row>
    <row r="12" ht="15" customHeight="1">
      <c r="A12" t="inlineStr">
        <is>
          <t>A 40633-2022</t>
        </is>
      </c>
      <c r="B12" s="1" t="n">
        <v>44824</v>
      </c>
      <c r="C12" s="1" t="n">
        <v>45474</v>
      </c>
      <c r="D12" t="inlineStr">
        <is>
          <t>DALARNAS LÄN</t>
        </is>
      </c>
      <c r="E12" t="inlineStr">
        <is>
          <t>BORLÄNGE</t>
        </is>
      </c>
      <c r="G12" t="n">
        <v>0.9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Skuggblåslav</t>
        </is>
      </c>
      <c r="S12">
        <f>HYPERLINK("https://klasma.github.io/Logging_2081/artfynd/A 40633-2022 artfynd.xlsx", "A 40633-2022")</f>
        <v/>
      </c>
      <c r="T12">
        <f>HYPERLINK("https://klasma.github.io/Logging_2081/kartor/A 40633-2022 karta.png", "A 40633-2022")</f>
        <v/>
      </c>
      <c r="U12">
        <f>HYPERLINK("https://klasma.github.io/Logging_2081/knärot/A 40633-2022 karta knärot.png", "A 40633-2022")</f>
        <v/>
      </c>
      <c r="V12">
        <f>HYPERLINK("https://klasma.github.io/Logging_2081/klagomål/A 40633-2022 FSC-klagomål.docx", "A 40633-2022")</f>
        <v/>
      </c>
      <c r="W12">
        <f>HYPERLINK("https://klasma.github.io/Logging_2081/klagomålsmail/A 40633-2022 FSC-klagomål mail.docx", "A 40633-2022")</f>
        <v/>
      </c>
      <c r="X12">
        <f>HYPERLINK("https://klasma.github.io/Logging_2081/tillsyn/A 40633-2022 tillsynsbegäran.docx", "A 40633-2022")</f>
        <v/>
      </c>
      <c r="Y12">
        <f>HYPERLINK("https://klasma.github.io/Logging_2081/tillsynsmail/A 40633-2022 tillsynsbegäran mail.docx", "A 40633-2022")</f>
        <v/>
      </c>
      <c r="Z12">
        <f>HYPERLINK("https://klasma.github.io/Logging_2081/fåglar/A 40633-2022 prioriterade fågelarter.docx", "A 40633-2022")</f>
        <v/>
      </c>
    </row>
    <row r="13" ht="15" customHeight="1">
      <c r="A13" t="inlineStr">
        <is>
          <t>A 5108-2023</t>
        </is>
      </c>
      <c r="B13" s="1" t="n">
        <v>44958</v>
      </c>
      <c r="C13" s="1" t="n">
        <v>45474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17.7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Mindre hackspett
Spillkråka
Talltita
Kungsfågel</t>
        </is>
      </c>
      <c r="S13">
        <f>HYPERLINK("https://klasma.github.io/Logging_2081/artfynd/A 5108-2023 artfynd.xlsx", "A 5108-2023")</f>
        <v/>
      </c>
      <c r="T13">
        <f>HYPERLINK("https://klasma.github.io/Logging_2081/kartor/A 5108-2023 karta.png", "A 5108-2023")</f>
        <v/>
      </c>
      <c r="V13">
        <f>HYPERLINK("https://klasma.github.io/Logging_2081/klagomål/A 5108-2023 FSC-klagomål.docx", "A 5108-2023")</f>
        <v/>
      </c>
      <c r="W13">
        <f>HYPERLINK("https://klasma.github.io/Logging_2081/klagomålsmail/A 5108-2023 FSC-klagomål mail.docx", "A 5108-2023")</f>
        <v/>
      </c>
      <c r="X13">
        <f>HYPERLINK("https://klasma.github.io/Logging_2081/tillsyn/A 5108-2023 tillsynsbegäran.docx", "A 5108-2023")</f>
        <v/>
      </c>
      <c r="Y13">
        <f>HYPERLINK("https://klasma.github.io/Logging_2081/tillsynsmail/A 5108-2023 tillsynsbegäran mail.docx", "A 5108-2023")</f>
        <v/>
      </c>
      <c r="Z13">
        <f>HYPERLINK("https://klasma.github.io/Logging_2081/fåglar/A 5108-2023 prioriterade fågelarter.docx", "A 5108-2023")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45474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45474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45474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45474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45474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45474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45474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45474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45474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45474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45474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45474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45474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45474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45474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45474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45474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45474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45474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45474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45474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45474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45474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45474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45474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45474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45474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45474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45474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45474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45474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45474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45474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45474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45474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45474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45474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45474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45474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45474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45474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45474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45474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45474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45474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45474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45474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45474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45474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45474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45474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45474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45474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45474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45474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45474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17996-2019</t>
        </is>
      </c>
      <c r="B70" s="1" t="n">
        <v>43556</v>
      </c>
      <c r="C70" s="1" t="n">
        <v>45474</v>
      </c>
      <c r="D70" t="inlineStr">
        <is>
          <t>DALARNAS LÄN</t>
        </is>
      </c>
      <c r="E70" t="inlineStr">
        <is>
          <t>BORLÄNGE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21707-2019</t>
        </is>
      </c>
      <c r="B71" s="1" t="n">
        <v>43581</v>
      </c>
      <c r="C71" s="1" t="n">
        <v>45474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24586-2019</t>
        </is>
      </c>
      <c r="B72" s="1" t="n">
        <v>43601</v>
      </c>
      <c r="C72" s="1" t="n">
        <v>45474</v>
      </c>
      <c r="D72" t="inlineStr">
        <is>
          <t>DALARNAS LÄN</t>
        </is>
      </c>
      <c r="E72" t="inlineStr">
        <is>
          <t>BORLÄNGE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25421-2019</t>
        </is>
      </c>
      <c r="B73" s="1" t="n">
        <v>43606</v>
      </c>
      <c r="C73" s="1" t="n">
        <v>45474</v>
      </c>
      <c r="D73" t="inlineStr">
        <is>
          <t>DALARNAS LÄN</t>
        </is>
      </c>
      <c r="E73" t="inlineStr">
        <is>
          <t>BORLÄNGE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26874-2019</t>
        </is>
      </c>
      <c r="B74" s="1" t="n">
        <v>43613</v>
      </c>
      <c r="C74" s="1" t="n">
        <v>45474</v>
      </c>
      <c r="D74" t="inlineStr">
        <is>
          <t>DALARNAS LÄN</t>
        </is>
      </c>
      <c r="E74" t="inlineStr">
        <is>
          <t>BORLÄNGE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27062-2019</t>
        </is>
      </c>
      <c r="B75" s="1" t="n">
        <v>43614</v>
      </c>
      <c r="C75" s="1" t="n">
        <v>45474</v>
      </c>
      <c r="D75" t="inlineStr">
        <is>
          <t>DALARNAS LÄN</t>
        </is>
      </c>
      <c r="E75" t="inlineStr">
        <is>
          <t>BORLÄNGE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27009-2019</t>
        </is>
      </c>
      <c r="B76" s="1" t="n">
        <v>43614</v>
      </c>
      <c r="C76" s="1" t="n">
        <v>45474</v>
      </c>
      <c r="D76" t="inlineStr">
        <is>
          <t>DALARNAS LÄN</t>
        </is>
      </c>
      <c r="E76" t="inlineStr">
        <is>
          <t>BORLÄNGE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27008-2019</t>
        </is>
      </c>
      <c r="B77" s="1" t="n">
        <v>43614</v>
      </c>
      <c r="C77" s="1" t="n">
        <v>45474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29697-2019</t>
        </is>
      </c>
      <c r="B78" s="1" t="n">
        <v>43630</v>
      </c>
      <c r="C78" s="1" t="n">
        <v>45474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31833-2019</t>
        </is>
      </c>
      <c r="B79" s="1" t="n">
        <v>43642</v>
      </c>
      <c r="C79" s="1" t="n">
        <v>45474</v>
      </c>
      <c r="D79" t="inlineStr">
        <is>
          <t>DALARNAS LÄN</t>
        </is>
      </c>
      <c r="E79" t="inlineStr">
        <is>
          <t>BORLÄNGE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32826-2019</t>
        </is>
      </c>
      <c r="B80" s="1" t="n">
        <v>43648</v>
      </c>
      <c r="C80" s="1" t="n">
        <v>45474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33003-2019</t>
        </is>
      </c>
      <c r="B81" s="1" t="n">
        <v>43649</v>
      </c>
      <c r="C81" s="1" t="n">
        <v>45474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34992-2019</t>
        </is>
      </c>
      <c r="B82" s="1" t="n">
        <v>43660</v>
      </c>
      <c r="C82" s="1" t="n">
        <v>45474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42531-2019</t>
        </is>
      </c>
      <c r="B83" s="1" t="n">
        <v>43704</v>
      </c>
      <c r="C83" s="1" t="n">
        <v>45474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42540-2019</t>
        </is>
      </c>
      <c r="B84" s="1" t="n">
        <v>43704</v>
      </c>
      <c r="C84" s="1" t="n">
        <v>45474</v>
      </c>
      <c r="D84" t="inlineStr">
        <is>
          <t>DALARNAS LÄN</t>
        </is>
      </c>
      <c r="E84" t="inlineStr">
        <is>
          <t>BORLÄNGE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43835-2019</t>
        </is>
      </c>
      <c r="B85" s="1" t="n">
        <v>43707</v>
      </c>
      <c r="C85" s="1" t="n">
        <v>45474</v>
      </c>
      <c r="D85" t="inlineStr">
        <is>
          <t>DALARNAS LÄN</t>
        </is>
      </c>
      <c r="E85" t="inlineStr">
        <is>
          <t>BORLÄNGE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51019-2019</t>
        </is>
      </c>
      <c r="B86" s="1" t="n">
        <v>43739</v>
      </c>
      <c r="C86" s="1" t="n">
        <v>45474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57297-2019</t>
        </is>
      </c>
      <c r="B87" s="1" t="n">
        <v>43767</v>
      </c>
      <c r="C87" s="1" t="n">
        <v>45474</v>
      </c>
      <c r="D87" t="inlineStr">
        <is>
          <t>DALARNAS LÄN</t>
        </is>
      </c>
      <c r="E87" t="inlineStr">
        <is>
          <t>BORLÄNGE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57618-2019</t>
        </is>
      </c>
      <c r="B88" s="1" t="n">
        <v>43768</v>
      </c>
      <c r="C88" s="1" t="n">
        <v>45474</v>
      </c>
      <c r="D88" t="inlineStr">
        <is>
          <t>DALARNAS LÄN</t>
        </is>
      </c>
      <c r="E88" t="inlineStr">
        <is>
          <t>BORLÄNGE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61107-2019</t>
        </is>
      </c>
      <c r="B89" s="1" t="n">
        <v>43782</v>
      </c>
      <c r="C89" s="1" t="n">
        <v>45474</v>
      </c>
      <c r="D89" t="inlineStr">
        <is>
          <t>DALARNAS LÄN</t>
        </is>
      </c>
      <c r="E89" t="inlineStr">
        <is>
          <t>BORLÄNGE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61288-2019</t>
        </is>
      </c>
      <c r="B90" s="1" t="n">
        <v>43783</v>
      </c>
      <c r="C90" s="1" t="n">
        <v>45474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66563-2019</t>
        </is>
      </c>
      <c r="B91" s="1" t="n">
        <v>43803</v>
      </c>
      <c r="C91" s="1" t="n">
        <v>45474</v>
      </c>
      <c r="D91" t="inlineStr">
        <is>
          <t>DALARNAS LÄN</t>
        </is>
      </c>
      <c r="E91" t="inlineStr">
        <is>
          <t>BORLÄNGE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66159-2019</t>
        </is>
      </c>
      <c r="B92" s="1" t="n">
        <v>43808</v>
      </c>
      <c r="C92" s="1" t="n">
        <v>45474</v>
      </c>
      <c r="D92" t="inlineStr">
        <is>
          <t>DALARNAS LÄN</t>
        </is>
      </c>
      <c r="E92" t="inlineStr">
        <is>
          <t>BORLÄNGE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67435-2019</t>
        </is>
      </c>
      <c r="B93" s="1" t="n">
        <v>43812</v>
      </c>
      <c r="C93" s="1" t="n">
        <v>45474</v>
      </c>
      <c r="D93" t="inlineStr">
        <is>
          <t>DALARNAS LÄN</t>
        </is>
      </c>
      <c r="E93" t="inlineStr">
        <is>
          <t>BORLÄNGE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9309-2020</t>
        </is>
      </c>
      <c r="B94" s="1" t="n">
        <v>43880</v>
      </c>
      <c r="C94" s="1" t="n">
        <v>45474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11590-2020</t>
        </is>
      </c>
      <c r="B95" s="1" t="n">
        <v>43893</v>
      </c>
      <c r="C95" s="1" t="n">
        <v>45474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13404-2020</t>
        </is>
      </c>
      <c r="B96" s="1" t="n">
        <v>43902</v>
      </c>
      <c r="C96" s="1" t="n">
        <v>45474</v>
      </c>
      <c r="D96" t="inlineStr">
        <is>
          <t>DALARNAS LÄN</t>
        </is>
      </c>
      <c r="E96" t="inlineStr">
        <is>
          <t>BORLÄNGE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14736-2020</t>
        </is>
      </c>
      <c r="B97" s="1" t="n">
        <v>43909</v>
      </c>
      <c r="C97" s="1" t="n">
        <v>45474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15089-2020</t>
        </is>
      </c>
      <c r="B98" s="1" t="n">
        <v>43910</v>
      </c>
      <c r="C98" s="1" t="n">
        <v>45474</v>
      </c>
      <c r="D98" t="inlineStr">
        <is>
          <t>DALARNAS LÄN</t>
        </is>
      </c>
      <c r="E98" t="inlineStr">
        <is>
          <t>BORLÄNGE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16404-2020</t>
        </is>
      </c>
      <c r="B99" s="1" t="n">
        <v>43918</v>
      </c>
      <c r="C99" s="1" t="n">
        <v>45474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18108-2020</t>
        </is>
      </c>
      <c r="B100" s="1" t="n">
        <v>43927</v>
      </c>
      <c r="C100" s="1" t="n">
        <v>45474</v>
      </c>
      <c r="D100" t="inlineStr">
        <is>
          <t>DALARNAS LÄN</t>
        </is>
      </c>
      <c r="E100" t="inlineStr">
        <is>
          <t>BORLÄNGE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19446-2020</t>
        </is>
      </c>
      <c r="B101" s="1" t="n">
        <v>43938</v>
      </c>
      <c r="C101" s="1" t="n">
        <v>45474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19667-2020</t>
        </is>
      </c>
      <c r="B102" s="1" t="n">
        <v>43941</v>
      </c>
      <c r="C102" s="1" t="n">
        <v>45474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20501-2020</t>
        </is>
      </c>
      <c r="B103" s="1" t="n">
        <v>43948</v>
      </c>
      <c r="C103" s="1" t="n">
        <v>45474</v>
      </c>
      <c r="D103" t="inlineStr">
        <is>
          <t>DALARNAS LÄN</t>
        </is>
      </c>
      <c r="E103" t="inlineStr">
        <is>
          <t>BORLÄNGE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21684-2020</t>
        </is>
      </c>
      <c r="B104" s="1" t="n">
        <v>43957</v>
      </c>
      <c r="C104" s="1" t="n">
        <v>45474</v>
      </c>
      <c r="D104" t="inlineStr">
        <is>
          <t>DALARNAS LÄN</t>
        </is>
      </c>
      <c r="E104" t="inlineStr">
        <is>
          <t>BORLÄNGE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23998-2020</t>
        </is>
      </c>
      <c r="B105" s="1" t="n">
        <v>43971</v>
      </c>
      <c r="C105" s="1" t="n">
        <v>45474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27064-2020</t>
        </is>
      </c>
      <c r="B106" s="1" t="n">
        <v>43991</v>
      </c>
      <c r="C106" s="1" t="n">
        <v>45474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39449-2020</t>
        </is>
      </c>
      <c r="B107" s="1" t="n">
        <v>44064</v>
      </c>
      <c r="C107" s="1" t="n">
        <v>45474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44111-2020</t>
        </is>
      </c>
      <c r="B108" s="1" t="n">
        <v>44083</v>
      </c>
      <c r="C108" s="1" t="n">
        <v>45474</v>
      </c>
      <c r="D108" t="inlineStr">
        <is>
          <t>DALARNAS LÄN</t>
        </is>
      </c>
      <c r="E108" t="inlineStr">
        <is>
          <t>BORLÄNGE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44118-2020</t>
        </is>
      </c>
      <c r="B109" s="1" t="n">
        <v>44083</v>
      </c>
      <c r="C109" s="1" t="n">
        <v>45474</v>
      </c>
      <c r="D109" t="inlineStr">
        <is>
          <t>DALARNAS LÄN</t>
        </is>
      </c>
      <c r="E109" t="inlineStr">
        <is>
          <t>BORLÄNGE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50164-2020</t>
        </is>
      </c>
      <c r="B110" s="1" t="n">
        <v>44104</v>
      </c>
      <c r="C110" s="1" t="n">
        <v>45474</v>
      </c>
      <c r="D110" t="inlineStr">
        <is>
          <t>DALARNAS LÄN</t>
        </is>
      </c>
      <c r="E110" t="inlineStr">
        <is>
          <t>BORLÄNGE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49348-2020</t>
        </is>
      </c>
      <c r="B111" s="1" t="n">
        <v>44105</v>
      </c>
      <c r="C111" s="1" t="n">
        <v>45474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50459-2020</t>
        </is>
      </c>
      <c r="B112" s="1" t="n">
        <v>44110</v>
      </c>
      <c r="C112" s="1" t="n">
        <v>45474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50437-2020</t>
        </is>
      </c>
      <c r="B113" s="1" t="n">
        <v>44110</v>
      </c>
      <c r="C113" s="1" t="n">
        <v>45474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50496-2020</t>
        </is>
      </c>
      <c r="B114" s="1" t="n">
        <v>44110</v>
      </c>
      <c r="C114" s="1" t="n">
        <v>45474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50441-2020</t>
        </is>
      </c>
      <c r="B115" s="1" t="n">
        <v>44110</v>
      </c>
      <c r="C115" s="1" t="n">
        <v>45474</v>
      </c>
      <c r="D115" t="inlineStr">
        <is>
          <t>DALARNAS LÄN</t>
        </is>
      </c>
      <c r="E115" t="inlineStr">
        <is>
          <t>BORLÄNGE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52515-2020</t>
        </is>
      </c>
      <c r="B116" s="1" t="n">
        <v>44118</v>
      </c>
      <c r="C116" s="1" t="n">
        <v>45474</v>
      </c>
      <c r="D116" t="inlineStr">
        <is>
          <t>DALARNAS LÄN</t>
        </is>
      </c>
      <c r="E116" t="inlineStr">
        <is>
          <t>BORLÄNGE</t>
        </is>
      </c>
      <c r="F116" t="inlineStr">
        <is>
          <t>Bergvik skog väst AB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52957-2020</t>
        </is>
      </c>
      <c r="B117" s="1" t="n">
        <v>44120</v>
      </c>
      <c r="C117" s="1" t="n">
        <v>45474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52943-2020</t>
        </is>
      </c>
      <c r="B118" s="1" t="n">
        <v>44120</v>
      </c>
      <c r="C118" s="1" t="n">
        <v>45474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55730-2020</t>
        </is>
      </c>
      <c r="B119" s="1" t="n">
        <v>44132</v>
      </c>
      <c r="C119" s="1" t="n">
        <v>45474</v>
      </c>
      <c r="D119" t="inlineStr">
        <is>
          <t>DALARNAS LÄN</t>
        </is>
      </c>
      <c r="E119" t="inlineStr">
        <is>
          <t>BORLÄNGE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58625-2020</t>
        </is>
      </c>
      <c r="B120" s="1" t="n">
        <v>44145</v>
      </c>
      <c r="C120" s="1" t="n">
        <v>45474</v>
      </c>
      <c r="D120" t="inlineStr">
        <is>
          <t>DALARNAS LÄN</t>
        </is>
      </c>
      <c r="E120" t="inlineStr">
        <is>
          <t>BORLÄNGE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59228-2020</t>
        </is>
      </c>
      <c r="B121" s="1" t="n">
        <v>44147</v>
      </c>
      <c r="C121" s="1" t="n">
        <v>45474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60899-2020</t>
        </is>
      </c>
      <c r="B122" s="1" t="n">
        <v>44154</v>
      </c>
      <c r="C122" s="1" t="n">
        <v>45474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64036-2020</t>
        </is>
      </c>
      <c r="B123" s="1" t="n">
        <v>44167</v>
      </c>
      <c r="C123" s="1" t="n">
        <v>45474</v>
      </c>
      <c r="D123" t="inlineStr">
        <is>
          <t>DALARNAS LÄN</t>
        </is>
      </c>
      <c r="E123" t="inlineStr">
        <is>
          <t>BORLÄNGE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64051-2020</t>
        </is>
      </c>
      <c r="B124" s="1" t="n">
        <v>44167</v>
      </c>
      <c r="C124" s="1" t="n">
        <v>45474</v>
      </c>
      <c r="D124" t="inlineStr">
        <is>
          <t>DALARNAS LÄN</t>
        </is>
      </c>
      <c r="E124" t="inlineStr">
        <is>
          <t>BORLÄNGE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64260-2020</t>
        </is>
      </c>
      <c r="B125" s="1" t="n">
        <v>44168</v>
      </c>
      <c r="C125" s="1" t="n">
        <v>45474</v>
      </c>
      <c r="D125" t="inlineStr">
        <is>
          <t>DALARNAS LÄN</t>
        </is>
      </c>
      <c r="E125" t="inlineStr">
        <is>
          <t>BORLÄNGE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64934-2020</t>
        </is>
      </c>
      <c r="B126" s="1" t="n">
        <v>44172</v>
      </c>
      <c r="C126" s="1" t="n">
        <v>45474</v>
      </c>
      <c r="D126" t="inlineStr">
        <is>
          <t>DALARNAS LÄN</t>
        </is>
      </c>
      <c r="E126" t="inlineStr">
        <is>
          <t>BORLÄNGE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65908-2020</t>
        </is>
      </c>
      <c r="B127" s="1" t="n">
        <v>44174</v>
      </c>
      <c r="C127" s="1" t="n">
        <v>45474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599-2021</t>
        </is>
      </c>
      <c r="B128" s="1" t="n">
        <v>44203</v>
      </c>
      <c r="C128" s="1" t="n">
        <v>45474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3964-2021</t>
        </is>
      </c>
      <c r="B129" s="1" t="n">
        <v>44222</v>
      </c>
      <c r="C129" s="1" t="n">
        <v>45474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5058-2021</t>
        </is>
      </c>
      <c r="B130" s="1" t="n">
        <v>44228</v>
      </c>
      <c r="C130" s="1" t="n">
        <v>45474</v>
      </c>
      <c r="D130" t="inlineStr">
        <is>
          <t>DALARNAS LÄN</t>
        </is>
      </c>
      <c r="E130" t="inlineStr">
        <is>
          <t>BORLÄNGE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8208-2021</t>
        </is>
      </c>
      <c r="B131" s="1" t="n">
        <v>44244</v>
      </c>
      <c r="C131" s="1" t="n">
        <v>45474</v>
      </c>
      <c r="D131" t="inlineStr">
        <is>
          <t>DALARNAS LÄN</t>
        </is>
      </c>
      <c r="E131" t="inlineStr">
        <is>
          <t>BORLÄNGE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11568-2021</t>
        </is>
      </c>
      <c r="B132" s="1" t="n">
        <v>44264</v>
      </c>
      <c r="C132" s="1" t="n">
        <v>45474</v>
      </c>
      <c r="D132" t="inlineStr">
        <is>
          <t>DALARNAS LÄN</t>
        </is>
      </c>
      <c r="E132" t="inlineStr">
        <is>
          <t>BORLÄNGE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13421-2021</t>
        </is>
      </c>
      <c r="B133" s="1" t="n">
        <v>44273</v>
      </c>
      <c r="C133" s="1" t="n">
        <v>45474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13702-2021</t>
        </is>
      </c>
      <c r="B134" s="1" t="n">
        <v>44274</v>
      </c>
      <c r="C134" s="1" t="n">
        <v>45474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14432-2021</t>
        </is>
      </c>
      <c r="B135" s="1" t="n">
        <v>44279</v>
      </c>
      <c r="C135" s="1" t="n">
        <v>45474</v>
      </c>
      <c r="D135" t="inlineStr">
        <is>
          <t>DALARNAS LÄN</t>
        </is>
      </c>
      <c r="E135" t="inlineStr">
        <is>
          <t>BORLÄNGE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14691-2021</t>
        </is>
      </c>
      <c r="B136" s="1" t="n">
        <v>44280</v>
      </c>
      <c r="C136" s="1" t="n">
        <v>45474</v>
      </c>
      <c r="D136" t="inlineStr">
        <is>
          <t>DALARNAS LÄN</t>
        </is>
      </c>
      <c r="E136" t="inlineStr">
        <is>
          <t>BORLÄNGE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14622-2021</t>
        </is>
      </c>
      <c r="B137" s="1" t="n">
        <v>44280</v>
      </c>
      <c r="C137" s="1" t="n">
        <v>45474</v>
      </c>
      <c r="D137" t="inlineStr">
        <is>
          <t>DALARNAS LÄN</t>
        </is>
      </c>
      <c r="E137" t="inlineStr">
        <is>
          <t>BORLÄNGE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15786-2021</t>
        </is>
      </c>
      <c r="B138" s="1" t="n">
        <v>44286</v>
      </c>
      <c r="C138" s="1" t="n">
        <v>45474</v>
      </c>
      <c r="D138" t="inlineStr">
        <is>
          <t>DALARNAS LÄN</t>
        </is>
      </c>
      <c r="E138" t="inlineStr">
        <is>
          <t>BORLÄNGE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15979-2021</t>
        </is>
      </c>
      <c r="B139" s="1" t="n">
        <v>44287</v>
      </c>
      <c r="C139" s="1" t="n">
        <v>45474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16377-2021</t>
        </is>
      </c>
      <c r="B140" s="1" t="n">
        <v>44293</v>
      </c>
      <c r="C140" s="1" t="n">
        <v>45474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16413-2021</t>
        </is>
      </c>
      <c r="B141" s="1" t="n">
        <v>44293</v>
      </c>
      <c r="C141" s="1" t="n">
        <v>45474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16711-2021</t>
        </is>
      </c>
      <c r="B142" s="1" t="n">
        <v>44294</v>
      </c>
      <c r="C142" s="1" t="n">
        <v>45474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16706-2021</t>
        </is>
      </c>
      <c r="B143" s="1" t="n">
        <v>44294</v>
      </c>
      <c r="C143" s="1" t="n">
        <v>45474</v>
      </c>
      <c r="D143" t="inlineStr">
        <is>
          <t>DALARNAS LÄN</t>
        </is>
      </c>
      <c r="E143" t="inlineStr">
        <is>
          <t>BORLÄNGE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17204-2021</t>
        </is>
      </c>
      <c r="B144" s="1" t="n">
        <v>44298</v>
      </c>
      <c r="C144" s="1" t="n">
        <v>45474</v>
      </c>
      <c r="D144" t="inlineStr">
        <is>
          <t>DALARNAS LÄN</t>
        </is>
      </c>
      <c r="E144" t="inlineStr">
        <is>
          <t>BORLÄNGE</t>
        </is>
      </c>
      <c r="G144" t="n">
        <v>16.7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17572-2021</t>
        </is>
      </c>
      <c r="B145" s="1" t="n">
        <v>44299</v>
      </c>
      <c r="C145" s="1" t="n">
        <v>45474</v>
      </c>
      <c r="D145" t="inlineStr">
        <is>
          <t>DALARNAS LÄN</t>
        </is>
      </c>
      <c r="E145" t="inlineStr">
        <is>
          <t>BORLÄNGE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17887-2021</t>
        </is>
      </c>
      <c r="B146" s="1" t="n">
        <v>44301</v>
      </c>
      <c r="C146" s="1" t="n">
        <v>45474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18393-2021</t>
        </is>
      </c>
      <c r="B147" s="1" t="n">
        <v>44305</v>
      </c>
      <c r="C147" s="1" t="n">
        <v>45474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18481-2021</t>
        </is>
      </c>
      <c r="B148" s="1" t="n">
        <v>44306</v>
      </c>
      <c r="C148" s="1" t="n">
        <v>45474</v>
      </c>
      <c r="D148" t="inlineStr">
        <is>
          <t>DALARNAS LÄN</t>
        </is>
      </c>
      <c r="E148" t="inlineStr">
        <is>
          <t>BORLÄNGE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18715-2021</t>
        </is>
      </c>
      <c r="B149" s="1" t="n">
        <v>44307</v>
      </c>
      <c r="C149" s="1" t="n">
        <v>45474</v>
      </c>
      <c r="D149" t="inlineStr">
        <is>
          <t>DALARNAS LÄN</t>
        </is>
      </c>
      <c r="E149" t="inlineStr">
        <is>
          <t>BORLÄNGE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19096-2021</t>
        </is>
      </c>
      <c r="B150" s="1" t="n">
        <v>44308</v>
      </c>
      <c r="C150" s="1" t="n">
        <v>45474</v>
      </c>
      <c r="D150" t="inlineStr">
        <is>
          <t>DALARNAS LÄN</t>
        </is>
      </c>
      <c r="E150" t="inlineStr">
        <is>
          <t>BORLÄNGE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20052-2021</t>
        </is>
      </c>
      <c r="B151" s="1" t="n">
        <v>44314</v>
      </c>
      <c r="C151" s="1" t="n">
        <v>45474</v>
      </c>
      <c r="D151" t="inlineStr">
        <is>
          <t>DALARNAS LÄN</t>
        </is>
      </c>
      <c r="E151" t="inlineStr">
        <is>
          <t>BORLÄNGE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24317-2021</t>
        </is>
      </c>
      <c r="B152" s="1" t="n">
        <v>44337</v>
      </c>
      <c r="C152" s="1" t="n">
        <v>45474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24284-2021</t>
        </is>
      </c>
      <c r="B153" s="1" t="n">
        <v>44337</v>
      </c>
      <c r="C153" s="1" t="n">
        <v>45474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24438-2021</t>
        </is>
      </c>
      <c r="B154" s="1" t="n">
        <v>44337</v>
      </c>
      <c r="C154" s="1" t="n">
        <v>45474</v>
      </c>
      <c r="D154" t="inlineStr">
        <is>
          <t>DALARNAS LÄN</t>
        </is>
      </c>
      <c r="E154" t="inlineStr">
        <is>
          <t>BORLÄNGE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24426-2021</t>
        </is>
      </c>
      <c r="B155" s="1" t="n">
        <v>44337</v>
      </c>
      <c r="C155" s="1" t="n">
        <v>45474</v>
      </c>
      <c r="D155" t="inlineStr">
        <is>
          <t>DALARNAS LÄN</t>
        </is>
      </c>
      <c r="E155" t="inlineStr">
        <is>
          <t>BORLÄNGE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24961-2021</t>
        </is>
      </c>
      <c r="B156" s="1" t="n">
        <v>44341</v>
      </c>
      <c r="C156" s="1" t="n">
        <v>45474</v>
      </c>
      <c r="D156" t="inlineStr">
        <is>
          <t>DALARNAS LÄN</t>
        </is>
      </c>
      <c r="E156" t="inlineStr">
        <is>
          <t>BORLÄNGE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45474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24949-2021</t>
        </is>
      </c>
      <c r="B158" s="1" t="n">
        <v>44341</v>
      </c>
      <c r="C158" s="1" t="n">
        <v>45474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25296-2021</t>
        </is>
      </c>
      <c r="B159" s="1" t="n">
        <v>44342</v>
      </c>
      <c r="C159" s="1" t="n">
        <v>45474</v>
      </c>
      <c r="D159" t="inlineStr">
        <is>
          <t>DALARNAS LÄN</t>
        </is>
      </c>
      <c r="E159" t="inlineStr">
        <is>
          <t>BORLÄNGE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27853-2021</t>
        </is>
      </c>
      <c r="B160" s="1" t="n">
        <v>44354</v>
      </c>
      <c r="C160" s="1" t="n">
        <v>45474</v>
      </c>
      <c r="D160" t="inlineStr">
        <is>
          <t>DALARNAS LÄN</t>
        </is>
      </c>
      <c r="E160" t="inlineStr">
        <is>
          <t>BORLÄNGE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28395-2021</t>
        </is>
      </c>
      <c r="B161" s="1" t="n">
        <v>44356</v>
      </c>
      <c r="C161" s="1" t="n">
        <v>45474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29135-2021</t>
        </is>
      </c>
      <c r="B162" s="1" t="n">
        <v>44358</v>
      </c>
      <c r="C162" s="1" t="n">
        <v>45474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29305-2021</t>
        </is>
      </c>
      <c r="B163" s="1" t="n">
        <v>44361</v>
      </c>
      <c r="C163" s="1" t="n">
        <v>45474</v>
      </c>
      <c r="D163" t="inlineStr">
        <is>
          <t>DALARNAS LÄN</t>
        </is>
      </c>
      <c r="E163" t="inlineStr">
        <is>
          <t>BORLÄNGE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32181-2021</t>
        </is>
      </c>
      <c r="B164" s="1" t="n">
        <v>44371</v>
      </c>
      <c r="C164" s="1" t="n">
        <v>45474</v>
      </c>
      <c r="D164" t="inlineStr">
        <is>
          <t>DALARNAS LÄN</t>
        </is>
      </c>
      <c r="E164" t="inlineStr">
        <is>
          <t>BORLÄNGE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32206-2021</t>
        </is>
      </c>
      <c r="B165" s="1" t="n">
        <v>44371</v>
      </c>
      <c r="C165" s="1" t="n">
        <v>45474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32977-2021</t>
        </is>
      </c>
      <c r="B166" s="1" t="n">
        <v>44376</v>
      </c>
      <c r="C166" s="1" t="n">
        <v>45474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33460-2021</t>
        </is>
      </c>
      <c r="B167" s="1" t="n">
        <v>44377</v>
      </c>
      <c r="C167" s="1" t="n">
        <v>45474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34107-2021</t>
        </is>
      </c>
      <c r="B168" s="1" t="n">
        <v>44379</v>
      </c>
      <c r="C168" s="1" t="n">
        <v>45474</v>
      </c>
      <c r="D168" t="inlineStr">
        <is>
          <t>DALARNAS LÄN</t>
        </is>
      </c>
      <c r="E168" t="inlineStr">
        <is>
          <t>BORLÄNGE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34087-2021</t>
        </is>
      </c>
      <c r="B169" s="1" t="n">
        <v>44379</v>
      </c>
      <c r="C169" s="1" t="n">
        <v>45474</v>
      </c>
      <c r="D169" t="inlineStr">
        <is>
          <t>DALARNAS LÄN</t>
        </is>
      </c>
      <c r="E169" t="inlineStr">
        <is>
          <t>BORLÄNGE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35237-2021</t>
        </is>
      </c>
      <c r="B170" s="1" t="n">
        <v>44384</v>
      </c>
      <c r="C170" s="1" t="n">
        <v>45474</v>
      </c>
      <c r="D170" t="inlineStr">
        <is>
          <t>DALARNAS LÄN</t>
        </is>
      </c>
      <c r="E170" t="inlineStr">
        <is>
          <t>BORLÄNGE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36349-2021</t>
        </is>
      </c>
      <c r="B171" s="1" t="n">
        <v>44384</v>
      </c>
      <c r="C171" s="1" t="n">
        <v>45474</v>
      </c>
      <c r="D171" t="inlineStr">
        <is>
          <t>DALARNAS LÄN</t>
        </is>
      </c>
      <c r="E171" t="inlineStr">
        <is>
          <t>BORLÄNGE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36356-2021</t>
        </is>
      </c>
      <c r="B172" s="1" t="n">
        <v>44384</v>
      </c>
      <c r="C172" s="1" t="n">
        <v>45474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36269-2021</t>
        </is>
      </c>
      <c r="B173" s="1" t="n">
        <v>44389</v>
      </c>
      <c r="C173" s="1" t="n">
        <v>45474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36261-2021</t>
        </is>
      </c>
      <c r="B174" s="1" t="n">
        <v>44389</v>
      </c>
      <c r="C174" s="1" t="n">
        <v>45474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36863-2021</t>
        </is>
      </c>
      <c r="B175" s="1" t="n">
        <v>44393</v>
      </c>
      <c r="C175" s="1" t="n">
        <v>45474</v>
      </c>
      <c r="D175" t="inlineStr">
        <is>
          <t>DALARNAS LÄN</t>
        </is>
      </c>
      <c r="E175" t="inlineStr">
        <is>
          <t>BORLÄNGE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36860-2021</t>
        </is>
      </c>
      <c r="B176" s="1" t="n">
        <v>44393</v>
      </c>
      <c r="C176" s="1" t="n">
        <v>45474</v>
      </c>
      <c r="D176" t="inlineStr">
        <is>
          <t>DALARNAS LÄN</t>
        </is>
      </c>
      <c r="E176" t="inlineStr">
        <is>
          <t>BORLÄNGE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37534-2021</t>
        </is>
      </c>
      <c r="B177" s="1" t="n">
        <v>44399</v>
      </c>
      <c r="C177" s="1" t="n">
        <v>45474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37535-2021</t>
        </is>
      </c>
      <c r="B178" s="1" t="n">
        <v>44399</v>
      </c>
      <c r="C178" s="1" t="n">
        <v>45474</v>
      </c>
      <c r="D178" t="inlineStr">
        <is>
          <t>DALARNAS LÄN</t>
        </is>
      </c>
      <c r="E178" t="inlineStr">
        <is>
          <t>BORLÄNGE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39970-2021</t>
        </is>
      </c>
      <c r="B179" s="1" t="n">
        <v>44417</v>
      </c>
      <c r="C179" s="1" t="n">
        <v>45474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40570-2021</t>
        </is>
      </c>
      <c r="B180" s="1" t="n">
        <v>44420</v>
      </c>
      <c r="C180" s="1" t="n">
        <v>45474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40922-2021</t>
        </is>
      </c>
      <c r="B181" s="1" t="n">
        <v>44421</v>
      </c>
      <c r="C181" s="1" t="n">
        <v>45474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41636-2021</t>
        </is>
      </c>
      <c r="B182" s="1" t="n">
        <v>44425</v>
      </c>
      <c r="C182" s="1" t="n">
        <v>45474</v>
      </c>
      <c r="D182" t="inlineStr">
        <is>
          <t>DALARNAS LÄN</t>
        </is>
      </c>
      <c r="E182" t="inlineStr">
        <is>
          <t>BORLÄNGE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41705-2021</t>
        </is>
      </c>
      <c r="B183" s="1" t="n">
        <v>44425</v>
      </c>
      <c r="C183" s="1" t="n">
        <v>45474</v>
      </c>
      <c r="D183" t="inlineStr">
        <is>
          <t>DALARNAS LÄN</t>
        </is>
      </c>
      <c r="E183" t="inlineStr">
        <is>
          <t>BORLÄNGE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41857-2021</t>
        </is>
      </c>
      <c r="B184" s="1" t="n">
        <v>44426</v>
      </c>
      <c r="C184" s="1" t="n">
        <v>45474</v>
      </c>
      <c r="D184" t="inlineStr">
        <is>
          <t>DALARNAS LÄN</t>
        </is>
      </c>
      <c r="E184" t="inlineStr">
        <is>
          <t>BORLÄNGE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42117-2021</t>
        </is>
      </c>
      <c r="B185" s="1" t="n">
        <v>44426</v>
      </c>
      <c r="C185" s="1" t="n">
        <v>45474</v>
      </c>
      <c r="D185" t="inlineStr">
        <is>
          <t>DALARNAS LÄN</t>
        </is>
      </c>
      <c r="E185" t="inlineStr">
        <is>
          <t>BORLÄNGE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42478-2021</t>
        </is>
      </c>
      <c r="B186" s="1" t="n">
        <v>44427</v>
      </c>
      <c r="C186" s="1" t="n">
        <v>45474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43531-2021</t>
        </is>
      </c>
      <c r="B187" s="1" t="n">
        <v>44433</v>
      </c>
      <c r="C187" s="1" t="n">
        <v>45474</v>
      </c>
      <c r="D187" t="inlineStr">
        <is>
          <t>DALARNAS LÄN</t>
        </is>
      </c>
      <c r="E187" t="inlineStr">
        <is>
          <t>BORLÄNGE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43944-2021</t>
        </is>
      </c>
      <c r="B188" s="1" t="n">
        <v>44434</v>
      </c>
      <c r="C188" s="1" t="n">
        <v>45474</v>
      </c>
      <c r="D188" t="inlineStr">
        <is>
          <t>DALARNAS LÄN</t>
        </is>
      </c>
      <c r="E188" t="inlineStr">
        <is>
          <t>BORLÄNGE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44422-2021</t>
        </is>
      </c>
      <c r="B189" s="1" t="n">
        <v>44435</v>
      </c>
      <c r="C189" s="1" t="n">
        <v>45474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45083-2021</t>
        </is>
      </c>
      <c r="B190" s="1" t="n">
        <v>44438</v>
      </c>
      <c r="C190" s="1" t="n">
        <v>45474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50325-2021</t>
        </is>
      </c>
      <c r="B191" s="1" t="n">
        <v>44438</v>
      </c>
      <c r="C191" s="1" t="n">
        <v>45474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50418-2021</t>
        </is>
      </c>
      <c r="B192" s="1" t="n">
        <v>44438</v>
      </c>
      <c r="C192" s="1" t="n">
        <v>45474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45078-2021</t>
        </is>
      </c>
      <c r="B193" s="1" t="n">
        <v>44439</v>
      </c>
      <c r="C193" s="1" t="n">
        <v>45474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45085-2021</t>
        </is>
      </c>
      <c r="B194" s="1" t="n">
        <v>44439</v>
      </c>
      <c r="C194" s="1" t="n">
        <v>45474</v>
      </c>
      <c r="D194" t="inlineStr">
        <is>
          <t>DALARNAS LÄN</t>
        </is>
      </c>
      <c r="E194" t="inlineStr">
        <is>
          <t>BORLÄNGE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45755-2021</t>
        </is>
      </c>
      <c r="B195" s="1" t="n">
        <v>44441</v>
      </c>
      <c r="C195" s="1" t="n">
        <v>45474</v>
      </c>
      <c r="D195" t="inlineStr">
        <is>
          <t>DALARNAS LÄN</t>
        </is>
      </c>
      <c r="E195" t="inlineStr">
        <is>
          <t>BORLÄNGE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48450-2021</t>
        </is>
      </c>
      <c r="B196" s="1" t="n">
        <v>44452</v>
      </c>
      <c r="C196" s="1" t="n">
        <v>45474</v>
      </c>
      <c r="D196" t="inlineStr">
        <is>
          <t>DALARNAS LÄN</t>
        </is>
      </c>
      <c r="E196" t="inlineStr">
        <is>
          <t>BORLÄNGE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48493-2021</t>
        </is>
      </c>
      <c r="B197" s="1" t="n">
        <v>44452</v>
      </c>
      <c r="C197" s="1" t="n">
        <v>45474</v>
      </c>
      <c r="D197" t="inlineStr">
        <is>
          <t>DALARNAS LÄN</t>
        </is>
      </c>
      <c r="E197" t="inlineStr">
        <is>
          <t>BORLÄNGE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48511-2021</t>
        </is>
      </c>
      <c r="B198" s="1" t="n">
        <v>44452</v>
      </c>
      <c r="C198" s="1" t="n">
        <v>45474</v>
      </c>
      <c r="D198" t="inlineStr">
        <is>
          <t>DALARNAS LÄN</t>
        </is>
      </c>
      <c r="E198" t="inlineStr">
        <is>
          <t>BORLÄNGE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49737-2021</t>
        </is>
      </c>
      <c r="B199" s="1" t="n">
        <v>44454</v>
      </c>
      <c r="C199" s="1" t="n">
        <v>45474</v>
      </c>
      <c r="D199" t="inlineStr">
        <is>
          <t>DALARNAS LÄN</t>
        </is>
      </c>
      <c r="E199" t="inlineStr">
        <is>
          <t>BORLÄNGE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50259-2021</t>
        </is>
      </c>
      <c r="B200" s="1" t="n">
        <v>44458</v>
      </c>
      <c r="C200" s="1" t="n">
        <v>45474</v>
      </c>
      <c r="D200" t="inlineStr">
        <is>
          <t>DALARNAS LÄN</t>
        </is>
      </c>
      <c r="E200" t="inlineStr">
        <is>
          <t>BORLÄNGE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51308-2021</t>
        </is>
      </c>
      <c r="B201" s="1" t="n">
        <v>44461</v>
      </c>
      <c r="C201" s="1" t="n">
        <v>45474</v>
      </c>
      <c r="D201" t="inlineStr">
        <is>
          <t>DALARNAS LÄN</t>
        </is>
      </c>
      <c r="E201" t="inlineStr">
        <is>
          <t>BORLÄNGE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51527-2021</t>
        </is>
      </c>
      <c r="B202" s="1" t="n">
        <v>44462</v>
      </c>
      <c r="C202" s="1" t="n">
        <v>45474</v>
      </c>
      <c r="D202" t="inlineStr">
        <is>
          <t>DALARNAS LÄN</t>
        </is>
      </c>
      <c r="E202" t="inlineStr">
        <is>
          <t>BORLÄNGE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52681-2021</t>
        </is>
      </c>
      <c r="B203" s="1" t="n">
        <v>44466</v>
      </c>
      <c r="C203" s="1" t="n">
        <v>45474</v>
      </c>
      <c r="D203" t="inlineStr">
        <is>
          <t>DALARNAS LÄN</t>
        </is>
      </c>
      <c r="E203" t="inlineStr">
        <is>
          <t>BORLÄNGE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53092-2021</t>
        </is>
      </c>
      <c r="B204" s="1" t="n">
        <v>44467</v>
      </c>
      <c r="C204" s="1" t="n">
        <v>45474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53455-2021</t>
        </is>
      </c>
      <c r="B205" s="1" t="n">
        <v>44468</v>
      </c>
      <c r="C205" s="1" t="n">
        <v>45474</v>
      </c>
      <c r="D205" t="inlineStr">
        <is>
          <t>DALARNAS LÄN</t>
        </is>
      </c>
      <c r="E205" t="inlineStr">
        <is>
          <t>BORLÄNGE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54697-2021</t>
        </is>
      </c>
      <c r="B206" s="1" t="n">
        <v>44473</v>
      </c>
      <c r="C206" s="1" t="n">
        <v>45474</v>
      </c>
      <c r="D206" t="inlineStr">
        <is>
          <t>DALARNAS LÄN</t>
        </is>
      </c>
      <c r="E206" t="inlineStr">
        <is>
          <t>BORLÄNGE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55525-2021</t>
        </is>
      </c>
      <c r="B207" s="1" t="n">
        <v>44475</v>
      </c>
      <c r="C207" s="1" t="n">
        <v>45474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55707-2021</t>
        </is>
      </c>
      <c r="B208" s="1" t="n">
        <v>44475</v>
      </c>
      <c r="C208" s="1" t="n">
        <v>45474</v>
      </c>
      <c r="D208" t="inlineStr">
        <is>
          <t>DALARNAS LÄN</t>
        </is>
      </c>
      <c r="E208" t="inlineStr">
        <is>
          <t>BORLÄNGE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58237-2021</t>
        </is>
      </c>
      <c r="B209" s="1" t="n">
        <v>44487</v>
      </c>
      <c r="C209" s="1" t="n">
        <v>45474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58242-2021</t>
        </is>
      </c>
      <c r="B210" s="1" t="n">
        <v>44487</v>
      </c>
      <c r="C210" s="1" t="n">
        <v>45474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58747-2021</t>
        </is>
      </c>
      <c r="B211" s="1" t="n">
        <v>44488</v>
      </c>
      <c r="C211" s="1" t="n">
        <v>45474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59633-2021</t>
        </is>
      </c>
      <c r="B212" s="1" t="n">
        <v>44493</v>
      </c>
      <c r="C212" s="1" t="n">
        <v>45474</v>
      </c>
      <c r="D212" t="inlineStr">
        <is>
          <t>DALARNAS LÄN</t>
        </is>
      </c>
      <c r="E212" t="inlineStr">
        <is>
          <t>BORLÄNGE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59680-2021</t>
        </is>
      </c>
      <c r="B213" s="1" t="n">
        <v>44494</v>
      </c>
      <c r="C213" s="1" t="n">
        <v>45474</v>
      </c>
      <c r="D213" t="inlineStr">
        <is>
          <t>DALARNAS LÄN</t>
        </is>
      </c>
      <c r="E213" t="inlineStr">
        <is>
          <t>BORLÄNGE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59772-2021</t>
        </is>
      </c>
      <c r="B214" s="1" t="n">
        <v>44494</v>
      </c>
      <c r="C214" s="1" t="n">
        <v>45474</v>
      </c>
      <c r="D214" t="inlineStr">
        <is>
          <t>DALARNAS LÄN</t>
        </is>
      </c>
      <c r="E214" t="inlineStr">
        <is>
          <t>BORLÄNGE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59674-2021</t>
        </is>
      </c>
      <c r="B215" s="1" t="n">
        <v>44494</v>
      </c>
      <c r="C215" s="1" t="n">
        <v>45474</v>
      </c>
      <c r="D215" t="inlineStr">
        <is>
          <t>DALARNAS LÄN</t>
        </is>
      </c>
      <c r="E215" t="inlineStr">
        <is>
          <t>BORLÄNGE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HYPERLINK("https://klasma.github.io/Logging_2081/knärot/A 59674-2021 karta knärot.png", "A 59674-2021")</f>
        <v/>
      </c>
      <c r="V215">
        <f>HYPERLINK("https://klasma.github.io/Logging_2081/klagomål/A 59674-2021 FSC-klagomål.docx", "A 59674-2021")</f>
        <v/>
      </c>
      <c r="W215">
        <f>HYPERLINK("https://klasma.github.io/Logging_2081/klagomålsmail/A 59674-2021 FSC-klagomål mail.docx", "A 59674-2021")</f>
        <v/>
      </c>
      <c r="X215">
        <f>HYPERLINK("https://klasma.github.io/Logging_2081/tillsyn/A 59674-2021 tillsynsbegäran.docx", "A 59674-2021")</f>
        <v/>
      </c>
      <c r="Y215">
        <f>HYPERLINK("https://klasma.github.io/Logging_2081/tillsynsmail/A 59674-2021 tillsynsbegäran mail.docx", "A 59674-2021")</f>
        <v/>
      </c>
    </row>
    <row r="216" ht="15" customHeight="1">
      <c r="A216" t="inlineStr">
        <is>
          <t>A 59764-2021</t>
        </is>
      </c>
      <c r="B216" s="1" t="n">
        <v>44494</v>
      </c>
      <c r="C216" s="1" t="n">
        <v>45474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59771-2021</t>
        </is>
      </c>
      <c r="B217" s="1" t="n">
        <v>44494</v>
      </c>
      <c r="C217" s="1" t="n">
        <v>45474</v>
      </c>
      <c r="D217" t="inlineStr">
        <is>
          <t>DALARNAS LÄN</t>
        </is>
      </c>
      <c r="E217" t="inlineStr">
        <is>
          <t>BORLÄNGE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59759-2021</t>
        </is>
      </c>
      <c r="B218" s="1" t="n">
        <v>44494</v>
      </c>
      <c r="C218" s="1" t="n">
        <v>45474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60342-2021</t>
        </is>
      </c>
      <c r="B219" s="1" t="n">
        <v>44495</v>
      </c>
      <c r="C219" s="1" t="n">
        <v>45474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60580-2021</t>
        </is>
      </c>
      <c r="B220" s="1" t="n">
        <v>44496</v>
      </c>
      <c r="C220" s="1" t="n">
        <v>45474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60960-2021</t>
        </is>
      </c>
      <c r="B221" s="1" t="n">
        <v>44497</v>
      </c>
      <c r="C221" s="1" t="n">
        <v>45474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60824-2021</t>
        </is>
      </c>
      <c r="B222" s="1" t="n">
        <v>44497</v>
      </c>
      <c r="C222" s="1" t="n">
        <v>45474</v>
      </c>
      <c r="D222" t="inlineStr">
        <is>
          <t>DALARNAS LÄN</t>
        </is>
      </c>
      <c r="E222" t="inlineStr">
        <is>
          <t>BORLÄNGE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61277-2021</t>
        </is>
      </c>
      <c r="B223" s="1" t="n">
        <v>44498</v>
      </c>
      <c r="C223" s="1" t="n">
        <v>45474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61288-2021</t>
        </is>
      </c>
      <c r="B224" s="1" t="n">
        <v>44498</v>
      </c>
      <c r="C224" s="1" t="n">
        <v>45474</v>
      </c>
      <c r="D224" t="inlineStr">
        <is>
          <t>DALARNAS LÄN</t>
        </is>
      </c>
      <c r="E224" t="inlineStr">
        <is>
          <t>BORLÄNGE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61398-2021</t>
        </is>
      </c>
      <c r="B225" s="1" t="n">
        <v>44500</v>
      </c>
      <c r="C225" s="1" t="n">
        <v>45474</v>
      </c>
      <c r="D225" t="inlineStr">
        <is>
          <t>DALARNAS LÄN</t>
        </is>
      </c>
      <c r="E225" t="inlineStr">
        <is>
          <t>BORLÄNGE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61396-2021</t>
        </is>
      </c>
      <c r="B226" s="1" t="n">
        <v>44500</v>
      </c>
      <c r="C226" s="1" t="n">
        <v>45474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62976-2021</t>
        </is>
      </c>
      <c r="B227" s="1" t="n">
        <v>44505</v>
      </c>
      <c r="C227" s="1" t="n">
        <v>45474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64262-2021</t>
        </is>
      </c>
      <c r="B228" s="1" t="n">
        <v>44510</v>
      </c>
      <c r="C228" s="1" t="n">
        <v>45474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67422-2021</t>
        </is>
      </c>
      <c r="B229" s="1" t="n">
        <v>44524</v>
      </c>
      <c r="C229" s="1" t="n">
        <v>45474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68085-2021</t>
        </is>
      </c>
      <c r="B230" s="1" t="n">
        <v>44526</v>
      </c>
      <c r="C230" s="1" t="n">
        <v>45474</v>
      </c>
      <c r="D230" t="inlineStr">
        <is>
          <t>DALARNAS LÄN</t>
        </is>
      </c>
      <c r="E230" t="inlineStr">
        <is>
          <t>BORLÄNGE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68735-2021</t>
        </is>
      </c>
      <c r="B231" s="1" t="n">
        <v>44529</v>
      </c>
      <c r="C231" s="1" t="n">
        <v>45474</v>
      </c>
      <c r="D231" t="inlineStr">
        <is>
          <t>DALARNAS LÄN</t>
        </is>
      </c>
      <c r="E231" t="inlineStr">
        <is>
          <t>BORLÄNGE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69798-2021</t>
        </is>
      </c>
      <c r="B232" s="1" t="n">
        <v>44532</v>
      </c>
      <c r="C232" s="1" t="n">
        <v>45474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70621-2021</t>
        </is>
      </c>
      <c r="B233" s="1" t="n">
        <v>44537</v>
      </c>
      <c r="C233" s="1" t="n">
        <v>45474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72647-2021</t>
        </is>
      </c>
      <c r="B234" s="1" t="n">
        <v>44546</v>
      </c>
      <c r="C234" s="1" t="n">
        <v>45474</v>
      </c>
      <c r="D234" t="inlineStr">
        <is>
          <t>DALARNAS LÄN</t>
        </is>
      </c>
      <c r="E234" t="inlineStr">
        <is>
          <t>BORLÄNGE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72837-2021</t>
        </is>
      </c>
      <c r="B235" s="1" t="n">
        <v>44547</v>
      </c>
      <c r="C235" s="1" t="n">
        <v>45474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73001-2021</t>
        </is>
      </c>
      <c r="B236" s="1" t="n">
        <v>44550</v>
      </c>
      <c r="C236" s="1" t="n">
        <v>45474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72999-2021</t>
        </is>
      </c>
      <c r="B237" s="1" t="n">
        <v>44550</v>
      </c>
      <c r="C237" s="1" t="n">
        <v>45474</v>
      </c>
      <c r="D237" t="inlineStr">
        <is>
          <t>DALARNAS LÄN</t>
        </is>
      </c>
      <c r="E237" t="inlineStr">
        <is>
          <t>BORLÄNGE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73002-2021</t>
        </is>
      </c>
      <c r="B238" s="1" t="n">
        <v>44550</v>
      </c>
      <c r="C238" s="1" t="n">
        <v>45474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142-2022</t>
        </is>
      </c>
      <c r="B239" s="1" t="n">
        <v>44564</v>
      </c>
      <c r="C239" s="1" t="n">
        <v>45474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362-2022</t>
        </is>
      </c>
      <c r="B240" s="1" t="n">
        <v>44565</v>
      </c>
      <c r="C240" s="1" t="n">
        <v>45474</v>
      </c>
      <c r="D240" t="inlineStr">
        <is>
          <t>DALARNAS LÄN</t>
        </is>
      </c>
      <c r="E240" t="inlineStr">
        <is>
          <t>BORLÄNGE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383-2022</t>
        </is>
      </c>
      <c r="B241" s="1" t="n">
        <v>44565</v>
      </c>
      <c r="C241" s="1" t="n">
        <v>45474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2008-2022</t>
        </is>
      </c>
      <c r="B242" s="1" t="n">
        <v>44575</v>
      </c>
      <c r="C242" s="1" t="n">
        <v>45474</v>
      </c>
      <c r="D242" t="inlineStr">
        <is>
          <t>DALARNAS LÄN</t>
        </is>
      </c>
      <c r="E242" t="inlineStr">
        <is>
          <t>BORLÄNGE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2454-2022</t>
        </is>
      </c>
      <c r="B243" s="1" t="n">
        <v>44579</v>
      </c>
      <c r="C243" s="1" t="n">
        <v>45474</v>
      </c>
      <c r="D243" t="inlineStr">
        <is>
          <t>DALARNAS LÄN</t>
        </is>
      </c>
      <c r="E243" t="inlineStr">
        <is>
          <t>BORLÄNGE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2584-2022</t>
        </is>
      </c>
      <c r="B244" s="1" t="n">
        <v>44580</v>
      </c>
      <c r="C244" s="1" t="n">
        <v>45474</v>
      </c>
      <c r="D244" t="inlineStr">
        <is>
          <t>DALARNAS LÄN</t>
        </is>
      </c>
      <c r="E244" t="inlineStr">
        <is>
          <t>BORLÄNGE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3978-2022</t>
        </is>
      </c>
      <c r="B245" s="1" t="n">
        <v>44587</v>
      </c>
      <c r="C245" s="1" t="n">
        <v>45474</v>
      </c>
      <c r="D245" t="inlineStr">
        <is>
          <t>DALARNAS LÄN</t>
        </is>
      </c>
      <c r="E245" t="inlineStr">
        <is>
          <t>BORLÄNGE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4203-2022</t>
        </is>
      </c>
      <c r="B246" s="1" t="n">
        <v>44588</v>
      </c>
      <c r="C246" s="1" t="n">
        <v>45474</v>
      </c>
      <c r="D246" t="inlineStr">
        <is>
          <t>DALARNAS LÄN</t>
        </is>
      </c>
      <c r="E246" t="inlineStr">
        <is>
          <t>BORLÄNGE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4478-2022</t>
        </is>
      </c>
      <c r="B247" s="1" t="n">
        <v>44589</v>
      </c>
      <c r="C247" s="1" t="n">
        <v>45474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4750-2022</t>
        </is>
      </c>
      <c r="B248" s="1" t="n">
        <v>44592</v>
      </c>
      <c r="C248" s="1" t="n">
        <v>45474</v>
      </c>
      <c r="D248" t="inlineStr">
        <is>
          <t>DALARNAS LÄN</t>
        </is>
      </c>
      <c r="E248" t="inlineStr">
        <is>
          <t>BORLÄNGE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6436-2022</t>
        </is>
      </c>
      <c r="B249" s="1" t="n">
        <v>44601</v>
      </c>
      <c r="C249" s="1" t="n">
        <v>45474</v>
      </c>
      <c r="D249" t="inlineStr">
        <is>
          <t>DALARNAS LÄN</t>
        </is>
      </c>
      <c r="E249" t="inlineStr">
        <is>
          <t>BORLÄNGE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7332-2022</t>
        </is>
      </c>
      <c r="B250" s="1" t="n">
        <v>44606</v>
      </c>
      <c r="C250" s="1" t="n">
        <v>45474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8309-2022</t>
        </is>
      </c>
      <c r="B251" s="1" t="n">
        <v>44610</v>
      </c>
      <c r="C251" s="1" t="n">
        <v>45474</v>
      </c>
      <c r="D251" t="inlineStr">
        <is>
          <t>DALARNAS LÄN</t>
        </is>
      </c>
      <c r="E251" t="inlineStr">
        <is>
          <t>BORLÄNGE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8473-2022</t>
        </is>
      </c>
      <c r="B252" s="1" t="n">
        <v>44613</v>
      </c>
      <c r="C252" s="1" t="n">
        <v>45474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8744-2022</t>
        </is>
      </c>
      <c r="B253" s="1" t="n">
        <v>44614</v>
      </c>
      <c r="C253" s="1" t="n">
        <v>45474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10421-2022</t>
        </is>
      </c>
      <c r="B254" s="1" t="n">
        <v>44623</v>
      </c>
      <c r="C254" s="1" t="n">
        <v>45474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10569-2022</t>
        </is>
      </c>
      <c r="B255" s="1" t="n">
        <v>44624</v>
      </c>
      <c r="C255" s="1" t="n">
        <v>45474</v>
      </c>
      <c r="D255" t="inlineStr">
        <is>
          <t>DALARNAS LÄN</t>
        </is>
      </c>
      <c r="E255" t="inlineStr">
        <is>
          <t>BORLÄNGE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11435-2022</t>
        </is>
      </c>
      <c r="B256" s="1" t="n">
        <v>44630</v>
      </c>
      <c r="C256" s="1" t="n">
        <v>45474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12106-2022</t>
        </is>
      </c>
      <c r="B257" s="1" t="n">
        <v>44636</v>
      </c>
      <c r="C257" s="1" t="n">
        <v>45474</v>
      </c>
      <c r="D257" t="inlineStr">
        <is>
          <t>DALARNAS LÄN</t>
        </is>
      </c>
      <c r="E257" t="inlineStr">
        <is>
          <t>BORLÄNGE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14564-2022</t>
        </is>
      </c>
      <c r="B258" s="1" t="n">
        <v>44655</v>
      </c>
      <c r="C258" s="1" t="n">
        <v>45474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15818-2022</t>
        </is>
      </c>
      <c r="B259" s="1" t="n">
        <v>44664</v>
      </c>
      <c r="C259" s="1" t="n">
        <v>45474</v>
      </c>
      <c r="D259" t="inlineStr">
        <is>
          <t>DALARNAS LÄN</t>
        </is>
      </c>
      <c r="E259" t="inlineStr">
        <is>
          <t>BORLÄNGE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16319-2022</t>
        </is>
      </c>
      <c r="B260" s="1" t="n">
        <v>44670</v>
      </c>
      <c r="C260" s="1" t="n">
        <v>45474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16320-2022</t>
        </is>
      </c>
      <c r="B261" s="1" t="n">
        <v>44670</v>
      </c>
      <c r="C261" s="1" t="n">
        <v>45474</v>
      </c>
      <c r="D261" t="inlineStr">
        <is>
          <t>DALARNAS LÄN</t>
        </is>
      </c>
      <c r="E261" t="inlineStr">
        <is>
          <t>BORLÄNGE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16767-2022</t>
        </is>
      </c>
      <c r="B262" s="1" t="n">
        <v>44673</v>
      </c>
      <c r="C262" s="1" t="n">
        <v>45474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16890-2022</t>
        </is>
      </c>
      <c r="B263" s="1" t="n">
        <v>44675</v>
      </c>
      <c r="C263" s="1" t="n">
        <v>45474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17948-2022</t>
        </is>
      </c>
      <c r="B264" s="1" t="n">
        <v>44683</v>
      </c>
      <c r="C264" s="1" t="n">
        <v>45474</v>
      </c>
      <c r="D264" t="inlineStr">
        <is>
          <t>DALARNAS LÄN</t>
        </is>
      </c>
      <c r="E264" t="inlineStr">
        <is>
          <t>BORLÄNGE</t>
        </is>
      </c>
      <c r="G264" t="n">
        <v>27.3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18600-2022</t>
        </is>
      </c>
      <c r="B265" s="1" t="n">
        <v>44687</v>
      </c>
      <c r="C265" s="1" t="n">
        <v>45474</v>
      </c>
      <c r="D265" t="inlineStr">
        <is>
          <t>DALARNAS LÄN</t>
        </is>
      </c>
      <c r="E265" t="inlineStr">
        <is>
          <t>BORLÄNGE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19047-2022</t>
        </is>
      </c>
      <c r="B266" s="1" t="n">
        <v>44691</v>
      </c>
      <c r="C266" s="1" t="n">
        <v>45474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19313-2022</t>
        </is>
      </c>
      <c r="B267" s="1" t="n">
        <v>44692</v>
      </c>
      <c r="C267" s="1" t="n">
        <v>45474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21026-2022</t>
        </is>
      </c>
      <c r="B268" s="1" t="n">
        <v>44704</v>
      </c>
      <c r="C268" s="1" t="n">
        <v>45474</v>
      </c>
      <c r="D268" t="inlineStr">
        <is>
          <t>DALARNAS LÄN</t>
        </is>
      </c>
      <c r="E268" t="inlineStr">
        <is>
          <t>BORLÄNGE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21322-2022</t>
        </is>
      </c>
      <c r="B269" s="1" t="n">
        <v>44705</v>
      </c>
      <c r="C269" s="1" t="n">
        <v>45474</v>
      </c>
      <c r="D269" t="inlineStr">
        <is>
          <t>DALARNAS LÄN</t>
        </is>
      </c>
      <c r="E269" t="inlineStr">
        <is>
          <t>BORLÄNGE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22363-2022</t>
        </is>
      </c>
      <c r="B270" s="1" t="n">
        <v>44713</v>
      </c>
      <c r="C270" s="1" t="n">
        <v>45474</v>
      </c>
      <c r="D270" t="inlineStr">
        <is>
          <t>DALARNAS LÄN</t>
        </is>
      </c>
      <c r="E270" t="inlineStr">
        <is>
          <t>BORLÄNGE</t>
        </is>
      </c>
      <c r="F270" t="inlineStr">
        <is>
          <t>Naturvårdsverket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22983-2022</t>
        </is>
      </c>
      <c r="B271" s="1" t="n">
        <v>44717</v>
      </c>
      <c r="C271" s="1" t="n">
        <v>45474</v>
      </c>
      <c r="D271" t="inlineStr">
        <is>
          <t>DALARNAS LÄN</t>
        </is>
      </c>
      <c r="E271" t="inlineStr">
        <is>
          <t>BORLÄNGE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24902-2022</t>
        </is>
      </c>
      <c r="B272" s="1" t="n">
        <v>44728</v>
      </c>
      <c r="C272" s="1" t="n">
        <v>45474</v>
      </c>
      <c r="D272" t="inlineStr">
        <is>
          <t>DALARNAS LÄN</t>
        </is>
      </c>
      <c r="E272" t="inlineStr">
        <is>
          <t>BORLÄNGE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25403-2022</t>
        </is>
      </c>
      <c r="B273" s="1" t="n">
        <v>44732</v>
      </c>
      <c r="C273" s="1" t="n">
        <v>45474</v>
      </c>
      <c r="D273" t="inlineStr">
        <is>
          <t>DALARNAS LÄN</t>
        </is>
      </c>
      <c r="E273" t="inlineStr">
        <is>
          <t>BORLÄNGE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25389-2022</t>
        </is>
      </c>
      <c r="B274" s="1" t="n">
        <v>44732</v>
      </c>
      <c r="C274" s="1" t="n">
        <v>45474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25896-2022</t>
        </is>
      </c>
      <c r="B275" s="1" t="n">
        <v>44733</v>
      </c>
      <c r="C275" s="1" t="n">
        <v>45474</v>
      </c>
      <c r="D275" t="inlineStr">
        <is>
          <t>DALARNAS LÄN</t>
        </is>
      </c>
      <c r="E275" t="inlineStr">
        <is>
          <t>BORLÄNGE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25895-2022</t>
        </is>
      </c>
      <c r="B276" s="1" t="n">
        <v>44733</v>
      </c>
      <c r="C276" s="1" t="n">
        <v>45474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27048-2022</t>
        </is>
      </c>
      <c r="B277" s="1" t="n">
        <v>44741</v>
      </c>
      <c r="C277" s="1" t="n">
        <v>45474</v>
      </c>
      <c r="D277" t="inlineStr">
        <is>
          <t>DALARNAS LÄN</t>
        </is>
      </c>
      <c r="E277" t="inlineStr">
        <is>
          <t>BORLÄNGE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27424-2022</t>
        </is>
      </c>
      <c r="B278" s="1" t="n">
        <v>44742</v>
      </c>
      <c r="C278" s="1" t="n">
        <v>45474</v>
      </c>
      <c r="D278" t="inlineStr">
        <is>
          <t>DALARNAS LÄN</t>
        </is>
      </c>
      <c r="E278" t="inlineStr">
        <is>
          <t>BORLÄNGE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27423-2022</t>
        </is>
      </c>
      <c r="B279" s="1" t="n">
        <v>44742</v>
      </c>
      <c r="C279" s="1" t="n">
        <v>45474</v>
      </c>
      <c r="D279" t="inlineStr">
        <is>
          <t>DALARNAS LÄN</t>
        </is>
      </c>
      <c r="E279" t="inlineStr">
        <is>
          <t>BORLÄNGE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28312-2022</t>
        </is>
      </c>
      <c r="B280" s="1" t="n">
        <v>44747</v>
      </c>
      <c r="C280" s="1" t="n">
        <v>45474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28362-2022</t>
        </is>
      </c>
      <c r="B281" s="1" t="n">
        <v>44747</v>
      </c>
      <c r="C281" s="1" t="n">
        <v>45474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29808-2022</t>
        </is>
      </c>
      <c r="B282" s="1" t="n">
        <v>44755</v>
      </c>
      <c r="C282" s="1" t="n">
        <v>45474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29810-2022</t>
        </is>
      </c>
      <c r="B283" s="1" t="n">
        <v>44755</v>
      </c>
      <c r="C283" s="1" t="n">
        <v>45474</v>
      </c>
      <c r="D283" t="inlineStr">
        <is>
          <t>DALARNAS LÄN</t>
        </is>
      </c>
      <c r="E283" t="inlineStr">
        <is>
          <t>BORLÄNGE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32154-2022</t>
        </is>
      </c>
      <c r="B284" s="1" t="n">
        <v>44781</v>
      </c>
      <c r="C284" s="1" t="n">
        <v>45474</v>
      </c>
      <c r="D284" t="inlineStr">
        <is>
          <t>DALARNAS LÄN</t>
        </is>
      </c>
      <c r="E284" t="inlineStr">
        <is>
          <t>BORLÄNGE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32170-2022</t>
        </is>
      </c>
      <c r="B285" s="1" t="n">
        <v>44781</v>
      </c>
      <c r="C285" s="1" t="n">
        <v>45474</v>
      </c>
      <c r="D285" t="inlineStr">
        <is>
          <t>DALARNAS LÄN</t>
        </is>
      </c>
      <c r="E285" t="inlineStr">
        <is>
          <t>BORLÄNGE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32243-2022</t>
        </is>
      </c>
      <c r="B286" s="1" t="n">
        <v>44781</v>
      </c>
      <c r="C286" s="1" t="n">
        <v>45474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33163-2022</t>
        </is>
      </c>
      <c r="B287" s="1" t="n">
        <v>44785</v>
      </c>
      <c r="C287" s="1" t="n">
        <v>45474</v>
      </c>
      <c r="D287" t="inlineStr">
        <is>
          <t>DALARNAS LÄN</t>
        </is>
      </c>
      <c r="E287" t="inlineStr">
        <is>
          <t>BORLÄNGE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33668-2022</t>
        </is>
      </c>
      <c r="B288" s="1" t="n">
        <v>44789</v>
      </c>
      <c r="C288" s="1" t="n">
        <v>45474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34323-2022</t>
        </is>
      </c>
      <c r="B289" s="1" t="n">
        <v>44792</v>
      </c>
      <c r="C289" s="1" t="n">
        <v>45474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34320-2022</t>
        </is>
      </c>
      <c r="B290" s="1" t="n">
        <v>44792</v>
      </c>
      <c r="C290" s="1" t="n">
        <v>45474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35357-2022</t>
        </is>
      </c>
      <c r="B291" s="1" t="n">
        <v>44798</v>
      </c>
      <c r="C291" s="1" t="n">
        <v>45474</v>
      </c>
      <c r="D291" t="inlineStr">
        <is>
          <t>DALARNAS LÄN</t>
        </is>
      </c>
      <c r="E291" t="inlineStr">
        <is>
          <t>BORLÄNGE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35593-2022</t>
        </is>
      </c>
      <c r="B292" s="1" t="n">
        <v>44799</v>
      </c>
      <c r="C292" s="1" t="n">
        <v>45474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35592-2022</t>
        </is>
      </c>
      <c r="B293" s="1" t="n">
        <v>44799</v>
      </c>
      <c r="C293" s="1" t="n">
        <v>45474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35678-2022</t>
        </is>
      </c>
      <c r="B294" s="1" t="n">
        <v>44799</v>
      </c>
      <c r="C294" s="1" t="n">
        <v>45474</v>
      </c>
      <c r="D294" t="inlineStr">
        <is>
          <t>DALARNAS LÄN</t>
        </is>
      </c>
      <c r="E294" t="inlineStr">
        <is>
          <t>BORLÄNGE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35594-2022</t>
        </is>
      </c>
      <c r="B295" s="1" t="n">
        <v>44799</v>
      </c>
      <c r="C295" s="1" t="n">
        <v>45474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35932-2022</t>
        </is>
      </c>
      <c r="B296" s="1" t="n">
        <v>44802</v>
      </c>
      <c r="C296" s="1" t="n">
        <v>45474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36544-2022</t>
        </is>
      </c>
      <c r="B297" s="1" t="n">
        <v>44804</v>
      </c>
      <c r="C297" s="1" t="n">
        <v>45474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36759-2022</t>
        </is>
      </c>
      <c r="B298" s="1" t="n">
        <v>44805</v>
      </c>
      <c r="C298" s="1" t="n">
        <v>45474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37357-2022</t>
        </is>
      </c>
      <c r="B299" s="1" t="n">
        <v>44809</v>
      </c>
      <c r="C299" s="1" t="n">
        <v>45474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38283-2022</t>
        </is>
      </c>
      <c r="B300" s="1" t="n">
        <v>44812</v>
      </c>
      <c r="C300" s="1" t="n">
        <v>45474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40078-2022</t>
        </is>
      </c>
      <c r="B301" s="1" t="n">
        <v>44820</v>
      </c>
      <c r="C301" s="1" t="n">
        <v>45474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40124-2022</t>
        </is>
      </c>
      <c r="B302" s="1" t="n">
        <v>44820</v>
      </c>
      <c r="C302" s="1" t="n">
        <v>45474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40654-2022</t>
        </is>
      </c>
      <c r="B303" s="1" t="n">
        <v>44824</v>
      </c>
      <c r="C303" s="1" t="n">
        <v>45474</v>
      </c>
      <c r="D303" t="inlineStr">
        <is>
          <t>DALARNAS LÄN</t>
        </is>
      </c>
      <c r="E303" t="inlineStr">
        <is>
          <t>BORLÄNGE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41638-2022</t>
        </is>
      </c>
      <c r="B304" s="1" t="n">
        <v>44827</v>
      </c>
      <c r="C304" s="1" t="n">
        <v>45474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41973-2022</t>
        </is>
      </c>
      <c r="B305" s="1" t="n">
        <v>44830</v>
      </c>
      <c r="C305" s="1" t="n">
        <v>45474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41978-2022</t>
        </is>
      </c>
      <c r="B306" s="1" t="n">
        <v>44830</v>
      </c>
      <c r="C306" s="1" t="n">
        <v>45474</v>
      </c>
      <c r="D306" t="inlineStr">
        <is>
          <t>DALARNAS LÄN</t>
        </is>
      </c>
      <c r="E306" t="inlineStr">
        <is>
          <t>BORLÄNGE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42732-2022</t>
        </is>
      </c>
      <c r="B307" s="1" t="n">
        <v>44832</v>
      </c>
      <c r="C307" s="1" t="n">
        <v>45474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42861-2022</t>
        </is>
      </c>
      <c r="B308" s="1" t="n">
        <v>44832</v>
      </c>
      <c r="C308" s="1" t="n">
        <v>45474</v>
      </c>
      <c r="D308" t="inlineStr">
        <is>
          <t>DALARNAS LÄN</t>
        </is>
      </c>
      <c r="E308" t="inlineStr">
        <is>
          <t>BORLÄNGE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43662-2022</t>
        </is>
      </c>
      <c r="B309" s="1" t="n">
        <v>44837</v>
      </c>
      <c r="C309" s="1" t="n">
        <v>45474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50695-2022</t>
        </is>
      </c>
      <c r="B310" s="1" t="n">
        <v>44867</v>
      </c>
      <c r="C310" s="1" t="n">
        <v>45474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50693-2022</t>
        </is>
      </c>
      <c r="B311" s="1" t="n">
        <v>44867</v>
      </c>
      <c r="C311" s="1" t="n">
        <v>45474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52278-2022</t>
        </is>
      </c>
      <c r="B312" s="1" t="n">
        <v>44869</v>
      </c>
      <c r="C312" s="1" t="n">
        <v>45474</v>
      </c>
      <c r="D312" t="inlineStr">
        <is>
          <t>DALARNAS LÄN</t>
        </is>
      </c>
      <c r="E312" t="inlineStr">
        <is>
          <t>BORLÄNGE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51736-2022</t>
        </is>
      </c>
      <c r="B313" s="1" t="n">
        <v>44872</v>
      </c>
      <c r="C313" s="1" t="n">
        <v>45474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53544-2022</t>
        </is>
      </c>
      <c r="B314" s="1" t="n">
        <v>44879</v>
      </c>
      <c r="C314" s="1" t="n">
        <v>45474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53970-2022</t>
        </is>
      </c>
      <c r="B315" s="1" t="n">
        <v>44881</v>
      </c>
      <c r="C315" s="1" t="n">
        <v>45474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55123-2022</t>
        </is>
      </c>
      <c r="B316" s="1" t="n">
        <v>44886</v>
      </c>
      <c r="C316" s="1" t="n">
        <v>45474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55274-2022</t>
        </is>
      </c>
      <c r="B317" s="1" t="n">
        <v>44887</v>
      </c>
      <c r="C317" s="1" t="n">
        <v>45474</v>
      </c>
      <c r="D317" t="inlineStr">
        <is>
          <t>DALARNAS LÄN</t>
        </is>
      </c>
      <c r="E317" t="inlineStr">
        <is>
          <t>BORLÄNGE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55698-2022</t>
        </is>
      </c>
      <c r="B318" s="1" t="n">
        <v>44888</v>
      </c>
      <c r="C318" s="1" t="n">
        <v>45474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55719-2022</t>
        </is>
      </c>
      <c r="B319" s="1" t="n">
        <v>44888</v>
      </c>
      <c r="C319" s="1" t="n">
        <v>45474</v>
      </c>
      <c r="D319" t="inlineStr">
        <is>
          <t>DALARNAS LÄN</t>
        </is>
      </c>
      <c r="E319" t="inlineStr">
        <is>
          <t>BORLÄNGE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55725-2022</t>
        </is>
      </c>
      <c r="B320" s="1" t="n">
        <v>44888</v>
      </c>
      <c r="C320" s="1" t="n">
        <v>45474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55731-2022</t>
        </is>
      </c>
      <c r="B321" s="1" t="n">
        <v>44888</v>
      </c>
      <c r="C321" s="1" t="n">
        <v>45474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55910-2022</t>
        </is>
      </c>
      <c r="B322" s="1" t="n">
        <v>44889</v>
      </c>
      <c r="C322" s="1" t="n">
        <v>45474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58032-2022</t>
        </is>
      </c>
      <c r="B323" s="1" t="n">
        <v>44900</v>
      </c>
      <c r="C323" s="1" t="n">
        <v>45474</v>
      </c>
      <c r="D323" t="inlineStr">
        <is>
          <t>DALARNAS LÄN</t>
        </is>
      </c>
      <c r="E323" t="inlineStr">
        <is>
          <t>BORLÄNGE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59682-2022</t>
        </is>
      </c>
      <c r="B324" s="1" t="n">
        <v>44908</v>
      </c>
      <c r="C324" s="1" t="n">
        <v>45474</v>
      </c>
      <c r="D324" t="inlineStr">
        <is>
          <t>DALARNAS LÄN</t>
        </is>
      </c>
      <c r="E324" t="inlineStr">
        <is>
          <t>BORLÄNGE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60625-2022</t>
        </is>
      </c>
      <c r="B325" s="1" t="n">
        <v>44911</v>
      </c>
      <c r="C325" s="1" t="n">
        <v>45474</v>
      </c>
      <c r="D325" t="inlineStr">
        <is>
          <t>DALARNAS LÄN</t>
        </is>
      </c>
      <c r="E325" t="inlineStr">
        <is>
          <t>BORLÄNGE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61809-2022</t>
        </is>
      </c>
      <c r="B326" s="1" t="n">
        <v>44917</v>
      </c>
      <c r="C326" s="1" t="n">
        <v>45474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422-2023</t>
        </is>
      </c>
      <c r="B327" s="1" t="n">
        <v>44929</v>
      </c>
      <c r="C327" s="1" t="n">
        <v>45474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1088-2023</t>
        </is>
      </c>
      <c r="B328" s="1" t="n">
        <v>44935</v>
      </c>
      <c r="C328" s="1" t="n">
        <v>45474</v>
      </c>
      <c r="D328" t="inlineStr">
        <is>
          <t>DALARNAS LÄN</t>
        </is>
      </c>
      <c r="E328" t="inlineStr">
        <is>
          <t>BORLÄNGE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2182-2023</t>
        </is>
      </c>
      <c r="B329" s="1" t="n">
        <v>44942</v>
      </c>
      <c r="C329" s="1" t="n">
        <v>45474</v>
      </c>
      <c r="D329" t="inlineStr">
        <is>
          <t>DALARNAS LÄN</t>
        </is>
      </c>
      <c r="E329" t="inlineStr">
        <is>
          <t>BORLÄNGE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2179-2023</t>
        </is>
      </c>
      <c r="B330" s="1" t="n">
        <v>44942</v>
      </c>
      <c r="C330" s="1" t="n">
        <v>45474</v>
      </c>
      <c r="D330" t="inlineStr">
        <is>
          <t>DALARNAS LÄN</t>
        </is>
      </c>
      <c r="E330" t="inlineStr">
        <is>
          <t>BORLÄNGE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2504-2023</t>
        </is>
      </c>
      <c r="B331" s="1" t="n">
        <v>44943</v>
      </c>
      <c r="C331" s="1" t="n">
        <v>45474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3515-2023</t>
        </is>
      </c>
      <c r="B332" s="1" t="n">
        <v>44950</v>
      </c>
      <c r="C332" s="1" t="n">
        <v>45474</v>
      </c>
      <c r="D332" t="inlineStr">
        <is>
          <t>DALARNAS LÄN</t>
        </is>
      </c>
      <c r="E332" t="inlineStr">
        <is>
          <t>BORLÄNGE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3722-2023</t>
        </is>
      </c>
      <c r="B333" s="1" t="n">
        <v>44951</v>
      </c>
      <c r="C333" s="1" t="n">
        <v>45474</v>
      </c>
      <c r="D333" t="inlineStr">
        <is>
          <t>DALARNAS LÄN</t>
        </is>
      </c>
      <c r="E333" t="inlineStr">
        <is>
          <t>BORLÄNGE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4735-2023</t>
        </is>
      </c>
      <c r="B334" s="1" t="n">
        <v>44957</v>
      </c>
      <c r="C334" s="1" t="n">
        <v>45474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7379-2023</t>
        </is>
      </c>
      <c r="B335" s="1" t="n">
        <v>44971</v>
      </c>
      <c r="C335" s="1" t="n">
        <v>45474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7588-2023</t>
        </is>
      </c>
      <c r="B336" s="1" t="n">
        <v>44972</v>
      </c>
      <c r="C336" s="1" t="n">
        <v>45474</v>
      </c>
      <c r="D336" t="inlineStr">
        <is>
          <t>DALARNAS LÄN</t>
        </is>
      </c>
      <c r="E336" t="inlineStr">
        <is>
          <t>BORLÄNGE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7863-2023</t>
        </is>
      </c>
      <c r="B337" s="1" t="n">
        <v>44973</v>
      </c>
      <c r="C337" s="1" t="n">
        <v>45474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8554-2023</t>
        </is>
      </c>
      <c r="B338" s="1" t="n">
        <v>44977</v>
      </c>
      <c r="C338" s="1" t="n">
        <v>45474</v>
      </c>
      <c r="D338" t="inlineStr">
        <is>
          <t>DALARNAS LÄN</t>
        </is>
      </c>
      <c r="E338" t="inlineStr">
        <is>
          <t>BORLÄNGE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8556-2023</t>
        </is>
      </c>
      <c r="B339" s="1" t="n">
        <v>44977</v>
      </c>
      <c r="C339" s="1" t="n">
        <v>45474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9442-2023</t>
        </is>
      </c>
      <c r="B340" s="1" t="n">
        <v>44981</v>
      </c>
      <c r="C340" s="1" t="n">
        <v>45474</v>
      </c>
      <c r="D340" t="inlineStr">
        <is>
          <t>DALARNAS LÄN</t>
        </is>
      </c>
      <c r="E340" t="inlineStr">
        <is>
          <t>BORLÄNGE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9881-2023</t>
        </is>
      </c>
      <c r="B341" s="1" t="n">
        <v>44985</v>
      </c>
      <c r="C341" s="1" t="n">
        <v>45474</v>
      </c>
      <c r="D341" t="inlineStr">
        <is>
          <t>DALARNAS LÄN</t>
        </is>
      </c>
      <c r="E341" t="inlineStr">
        <is>
          <t>BORLÄNGE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10381-2023</t>
        </is>
      </c>
      <c r="B342" s="1" t="n">
        <v>44987</v>
      </c>
      <c r="C342" s="1" t="n">
        <v>45474</v>
      </c>
      <c r="D342" t="inlineStr">
        <is>
          <t>DALARNAS LÄN</t>
        </is>
      </c>
      <c r="E342" t="inlineStr">
        <is>
          <t>BORLÄNGE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10498-2023</t>
        </is>
      </c>
      <c r="B343" s="1" t="n">
        <v>44987</v>
      </c>
      <c r="C343" s="1" t="n">
        <v>45474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10751-2023</t>
        </is>
      </c>
      <c r="B344" s="1" t="n">
        <v>44988</v>
      </c>
      <c r="C344" s="1" t="n">
        <v>45474</v>
      </c>
      <c r="D344" t="inlineStr">
        <is>
          <t>DALARNAS LÄN</t>
        </is>
      </c>
      <c r="E344" t="inlineStr">
        <is>
          <t>BORLÄNGE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HYPERLINK("https://klasma.github.io/Logging_2081/knärot/A 10751-2023 karta knärot.png", "A 10751-2023")</f>
        <v/>
      </c>
      <c r="V344">
        <f>HYPERLINK("https://klasma.github.io/Logging_2081/klagomål/A 10751-2023 FSC-klagomål.docx", "A 10751-2023")</f>
        <v/>
      </c>
      <c r="W344">
        <f>HYPERLINK("https://klasma.github.io/Logging_2081/klagomålsmail/A 10751-2023 FSC-klagomål mail.docx", "A 10751-2023")</f>
        <v/>
      </c>
      <c r="X344">
        <f>HYPERLINK("https://klasma.github.io/Logging_2081/tillsyn/A 10751-2023 tillsynsbegäran.docx", "A 10751-2023")</f>
        <v/>
      </c>
      <c r="Y344">
        <f>HYPERLINK("https://klasma.github.io/Logging_2081/tillsynsmail/A 10751-2023 tillsynsbegäran mail.docx", "A 10751-2023")</f>
        <v/>
      </c>
    </row>
    <row r="345" ht="15" customHeight="1">
      <c r="A345" t="inlineStr">
        <is>
          <t>A 11105-2023</t>
        </is>
      </c>
      <c r="B345" s="1" t="n">
        <v>44992</v>
      </c>
      <c r="C345" s="1" t="n">
        <v>45474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11136-2023</t>
        </is>
      </c>
      <c r="B346" s="1" t="n">
        <v>44992</v>
      </c>
      <c r="C346" s="1" t="n">
        <v>45474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11087-2023</t>
        </is>
      </c>
      <c r="B347" s="1" t="n">
        <v>44992</v>
      </c>
      <c r="C347" s="1" t="n">
        <v>45474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11138-2023</t>
        </is>
      </c>
      <c r="B348" s="1" t="n">
        <v>44992</v>
      </c>
      <c r="C348" s="1" t="n">
        <v>45474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11602-2023</t>
        </is>
      </c>
      <c r="B349" s="1" t="n">
        <v>44994</v>
      </c>
      <c r="C349" s="1" t="n">
        <v>45474</v>
      </c>
      <c r="D349" t="inlineStr">
        <is>
          <t>DALARNAS LÄN</t>
        </is>
      </c>
      <c r="E349" t="inlineStr">
        <is>
          <t>BORLÄNGE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11846-2023</t>
        </is>
      </c>
      <c r="B350" s="1" t="n">
        <v>44995</v>
      </c>
      <c r="C350" s="1" t="n">
        <v>45474</v>
      </c>
      <c r="D350" t="inlineStr">
        <is>
          <t>DALARNAS LÄN</t>
        </is>
      </c>
      <c r="E350" t="inlineStr">
        <is>
          <t>BORLÄNGE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12448-2023</t>
        </is>
      </c>
      <c r="B351" s="1" t="n">
        <v>44999</v>
      </c>
      <c r="C351" s="1" t="n">
        <v>45474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12446-2023</t>
        </is>
      </c>
      <c r="B352" s="1" t="n">
        <v>44999</v>
      </c>
      <c r="C352" s="1" t="n">
        <v>45474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13969-2023</t>
        </is>
      </c>
      <c r="B353" s="1" t="n">
        <v>45008</v>
      </c>
      <c r="C353" s="1" t="n">
        <v>45474</v>
      </c>
      <c r="D353" t="inlineStr">
        <is>
          <t>DALARNAS LÄN</t>
        </is>
      </c>
      <c r="E353" t="inlineStr">
        <is>
          <t>BORLÄNGE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14995-2023</t>
        </is>
      </c>
      <c r="B354" s="1" t="n">
        <v>45015</v>
      </c>
      <c r="C354" s="1" t="n">
        <v>45474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15389-2023</t>
        </is>
      </c>
      <c r="B355" s="1" t="n">
        <v>45016</v>
      </c>
      <c r="C355" s="1" t="n">
        <v>45474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15393-2023</t>
        </is>
      </c>
      <c r="B356" s="1" t="n">
        <v>45016</v>
      </c>
      <c r="C356" s="1" t="n">
        <v>45474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15331-2023</t>
        </is>
      </c>
      <c r="B357" s="1" t="n">
        <v>45019</v>
      </c>
      <c r="C357" s="1" t="n">
        <v>45474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15442-2023</t>
        </is>
      </c>
      <c r="B358" s="1" t="n">
        <v>45020</v>
      </c>
      <c r="C358" s="1" t="n">
        <v>45474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15729-2023</t>
        </is>
      </c>
      <c r="B359" s="1" t="n">
        <v>45021</v>
      </c>
      <c r="C359" s="1" t="n">
        <v>45474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16082-2023</t>
        </is>
      </c>
      <c r="B360" s="1" t="n">
        <v>45027</v>
      </c>
      <c r="C360" s="1" t="n">
        <v>45474</v>
      </c>
      <c r="D360" t="inlineStr">
        <is>
          <t>DALARNAS LÄN</t>
        </is>
      </c>
      <c r="E360" t="inlineStr">
        <is>
          <t>BORLÄNGE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17573-2023</t>
        </is>
      </c>
      <c r="B361" s="1" t="n">
        <v>45036</v>
      </c>
      <c r="C361" s="1" t="n">
        <v>45474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17569-2023</t>
        </is>
      </c>
      <c r="B362" s="1" t="n">
        <v>45036</v>
      </c>
      <c r="C362" s="1" t="n">
        <v>45474</v>
      </c>
      <c r="D362" t="inlineStr">
        <is>
          <t>DALARNAS LÄN</t>
        </is>
      </c>
      <c r="E362" t="inlineStr">
        <is>
          <t>BORLÄNGE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17567-2023</t>
        </is>
      </c>
      <c r="B363" s="1" t="n">
        <v>45036</v>
      </c>
      <c r="C363" s="1" t="n">
        <v>45474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17577-2023</t>
        </is>
      </c>
      <c r="B364" s="1" t="n">
        <v>45036</v>
      </c>
      <c r="C364" s="1" t="n">
        <v>45474</v>
      </c>
      <c r="D364" t="inlineStr">
        <is>
          <t>DALARNAS LÄN</t>
        </is>
      </c>
      <c r="E364" t="inlineStr">
        <is>
          <t>BORLÄNGE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18925-2023</t>
        </is>
      </c>
      <c r="B365" s="1" t="n">
        <v>45044</v>
      </c>
      <c r="C365" s="1" t="n">
        <v>45474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18947-2023</t>
        </is>
      </c>
      <c r="B366" s="1" t="n">
        <v>45044</v>
      </c>
      <c r="C366" s="1" t="n">
        <v>45474</v>
      </c>
      <c r="D366" t="inlineStr">
        <is>
          <t>DALARNAS LÄN</t>
        </is>
      </c>
      <c r="E366" t="inlineStr">
        <is>
          <t>BORLÄNGE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19287-2023</t>
        </is>
      </c>
      <c r="B367" s="1" t="n">
        <v>45049</v>
      </c>
      <c r="C367" s="1" t="n">
        <v>45474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19430-2023</t>
        </is>
      </c>
      <c r="B368" s="1" t="n">
        <v>45050</v>
      </c>
      <c r="C368" s="1" t="n">
        <v>45474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19883-2023</t>
        </is>
      </c>
      <c r="B369" s="1" t="n">
        <v>45054</v>
      </c>
      <c r="C369" s="1" t="n">
        <v>45474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19986-2023</t>
        </is>
      </c>
      <c r="B370" s="1" t="n">
        <v>45054</v>
      </c>
      <c r="C370" s="1" t="n">
        <v>45474</v>
      </c>
      <c r="D370" t="inlineStr">
        <is>
          <t>DALARNAS LÄN</t>
        </is>
      </c>
      <c r="E370" t="inlineStr">
        <is>
          <t>BORLÄNGE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20005-2023</t>
        </is>
      </c>
      <c r="B371" s="1" t="n">
        <v>45054</v>
      </c>
      <c r="C371" s="1" t="n">
        <v>45474</v>
      </c>
      <c r="D371" t="inlineStr">
        <is>
          <t>DALARNAS LÄN</t>
        </is>
      </c>
      <c r="E371" t="inlineStr">
        <is>
          <t>BORLÄNGE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19988-2023</t>
        </is>
      </c>
      <c r="B372" s="1" t="n">
        <v>45054</v>
      </c>
      <c r="C372" s="1" t="n">
        <v>45474</v>
      </c>
      <c r="D372" t="inlineStr">
        <is>
          <t>DALARNAS LÄN</t>
        </is>
      </c>
      <c r="E372" t="inlineStr">
        <is>
          <t>BORLÄNGE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20033-2023</t>
        </is>
      </c>
      <c r="B373" s="1" t="n">
        <v>45054</v>
      </c>
      <c r="C373" s="1" t="n">
        <v>45474</v>
      </c>
      <c r="D373" t="inlineStr">
        <is>
          <t>DALARNAS LÄN</t>
        </is>
      </c>
      <c r="E373" t="inlineStr">
        <is>
          <t>BORLÄNGE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20017-2023</t>
        </is>
      </c>
      <c r="B374" s="1" t="n">
        <v>45054</v>
      </c>
      <c r="C374" s="1" t="n">
        <v>45474</v>
      </c>
      <c r="D374" t="inlineStr">
        <is>
          <t>DALARNAS LÄN</t>
        </is>
      </c>
      <c r="E374" t="inlineStr">
        <is>
          <t>BORLÄNGE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19990-2023</t>
        </is>
      </c>
      <c r="B375" s="1" t="n">
        <v>45054</v>
      </c>
      <c r="C375" s="1" t="n">
        <v>45474</v>
      </c>
      <c r="D375" t="inlineStr">
        <is>
          <t>DALARNAS LÄN</t>
        </is>
      </c>
      <c r="E375" t="inlineStr">
        <is>
          <t>BORLÄNGE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20008-2023</t>
        </is>
      </c>
      <c r="B376" s="1" t="n">
        <v>45054</v>
      </c>
      <c r="C376" s="1" t="n">
        <v>45474</v>
      </c>
      <c r="D376" t="inlineStr">
        <is>
          <t>DALARNAS LÄN</t>
        </is>
      </c>
      <c r="E376" t="inlineStr">
        <is>
          <t>BORLÄNGE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20368-2023</t>
        </is>
      </c>
      <c r="B377" s="1" t="n">
        <v>45056</v>
      </c>
      <c r="C377" s="1" t="n">
        <v>45474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21134-2023</t>
        </is>
      </c>
      <c r="B378" s="1" t="n">
        <v>45062</v>
      </c>
      <c r="C378" s="1" t="n">
        <v>45474</v>
      </c>
      <c r="D378" t="inlineStr">
        <is>
          <t>DALARNAS LÄN</t>
        </is>
      </c>
      <c r="E378" t="inlineStr">
        <is>
          <t>BORLÄNGE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21928-2023</t>
        </is>
      </c>
      <c r="B379" s="1" t="n">
        <v>45068</v>
      </c>
      <c r="C379" s="1" t="n">
        <v>45474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21992-2023</t>
        </is>
      </c>
      <c r="B380" s="1" t="n">
        <v>45068</v>
      </c>
      <c r="C380" s="1" t="n">
        <v>45474</v>
      </c>
      <c r="D380" t="inlineStr">
        <is>
          <t>DALARNAS LÄN</t>
        </is>
      </c>
      <c r="E380" t="inlineStr">
        <is>
          <t>BORLÄNGE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23378-2023</t>
        </is>
      </c>
      <c r="B381" s="1" t="n">
        <v>45076</v>
      </c>
      <c r="C381" s="1" t="n">
        <v>45474</v>
      </c>
      <c r="D381" t="inlineStr">
        <is>
          <t>DALARNAS LÄN</t>
        </is>
      </c>
      <c r="E381" t="inlineStr">
        <is>
          <t>BORLÄNGE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23469-2023</t>
        </is>
      </c>
      <c r="B382" s="1" t="n">
        <v>45076</v>
      </c>
      <c r="C382" s="1" t="n">
        <v>45474</v>
      </c>
      <c r="D382" t="inlineStr">
        <is>
          <t>DALARNAS LÄN</t>
        </is>
      </c>
      <c r="E382" t="inlineStr">
        <is>
          <t>BORLÄNGE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23416-2023</t>
        </is>
      </c>
      <c r="B383" s="1" t="n">
        <v>45076</v>
      </c>
      <c r="C383" s="1" t="n">
        <v>45474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24181-2023</t>
        </is>
      </c>
      <c r="B384" s="1" t="n">
        <v>45079</v>
      </c>
      <c r="C384" s="1" t="n">
        <v>45474</v>
      </c>
      <c r="D384" t="inlineStr">
        <is>
          <t>DALARNAS LÄN</t>
        </is>
      </c>
      <c r="E384" t="inlineStr">
        <is>
          <t>BORLÄNGE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24178-2023</t>
        </is>
      </c>
      <c r="B385" s="1" t="n">
        <v>45079</v>
      </c>
      <c r="C385" s="1" t="n">
        <v>45474</v>
      </c>
      <c r="D385" t="inlineStr">
        <is>
          <t>DALARNAS LÄN</t>
        </is>
      </c>
      <c r="E385" t="inlineStr">
        <is>
          <t>BORLÄNGE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26216-2023</t>
        </is>
      </c>
      <c r="B386" s="1" t="n">
        <v>45091</v>
      </c>
      <c r="C386" s="1" t="n">
        <v>45474</v>
      </c>
      <c r="D386" t="inlineStr">
        <is>
          <t>DALARNAS LÄN</t>
        </is>
      </c>
      <c r="E386" t="inlineStr">
        <is>
          <t>BORLÄNGE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26750-2023</t>
        </is>
      </c>
      <c r="B387" s="1" t="n">
        <v>45093</v>
      </c>
      <c r="C387" s="1" t="n">
        <v>45474</v>
      </c>
      <c r="D387" t="inlineStr">
        <is>
          <t>DALARNAS LÄN</t>
        </is>
      </c>
      <c r="E387" t="inlineStr">
        <is>
          <t>BORLÄNGE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27213-2023</t>
        </is>
      </c>
      <c r="B388" s="1" t="n">
        <v>45096</v>
      </c>
      <c r="C388" s="1" t="n">
        <v>45474</v>
      </c>
      <c r="D388" t="inlineStr">
        <is>
          <t>DALARNAS LÄN</t>
        </is>
      </c>
      <c r="E388" t="inlineStr">
        <is>
          <t>BORLÄNGE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27438-2023</t>
        </is>
      </c>
      <c r="B389" s="1" t="n">
        <v>45097</v>
      </c>
      <c r="C389" s="1" t="n">
        <v>45474</v>
      </c>
      <c r="D389" t="inlineStr">
        <is>
          <t>DALARNAS LÄN</t>
        </is>
      </c>
      <c r="E389" t="inlineStr">
        <is>
          <t>BORLÄNGE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28039-2023</t>
        </is>
      </c>
      <c r="B390" s="1" t="n">
        <v>45099</v>
      </c>
      <c r="C390" s="1" t="n">
        <v>45474</v>
      </c>
      <c r="D390" t="inlineStr">
        <is>
          <t>DALARNAS LÄN</t>
        </is>
      </c>
      <c r="E390" t="inlineStr">
        <is>
          <t>BORLÄNGE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28147-2023</t>
        </is>
      </c>
      <c r="B391" s="1" t="n">
        <v>45099</v>
      </c>
      <c r="C391" s="1" t="n">
        <v>45474</v>
      </c>
      <c r="D391" t="inlineStr">
        <is>
          <t>DALARNAS LÄN</t>
        </is>
      </c>
      <c r="E391" t="inlineStr">
        <is>
          <t>BORLÄNGE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28452-2023</t>
        </is>
      </c>
      <c r="B392" s="1" t="n">
        <v>45103</v>
      </c>
      <c r="C392" s="1" t="n">
        <v>45474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29266-2023</t>
        </is>
      </c>
      <c r="B393" s="1" t="n">
        <v>45105</v>
      </c>
      <c r="C393" s="1" t="n">
        <v>45474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30023-2023</t>
        </is>
      </c>
      <c r="B394" s="1" t="n">
        <v>45110</v>
      </c>
      <c r="C394" s="1" t="n">
        <v>45474</v>
      </c>
      <c r="D394" t="inlineStr">
        <is>
          <t>DALARNAS LÄN</t>
        </is>
      </c>
      <c r="E394" t="inlineStr">
        <is>
          <t>BORLÄNGE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30248-2023</t>
        </is>
      </c>
      <c r="B395" s="1" t="n">
        <v>45110</v>
      </c>
      <c r="C395" s="1" t="n">
        <v>45474</v>
      </c>
      <c r="D395" t="inlineStr">
        <is>
          <t>DALARNAS LÄN</t>
        </is>
      </c>
      <c r="E395" t="inlineStr">
        <is>
          <t>BORLÄNGE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30252-2023</t>
        </is>
      </c>
      <c r="B396" s="1" t="n">
        <v>45110</v>
      </c>
      <c r="C396" s="1" t="n">
        <v>45474</v>
      </c>
      <c r="D396" t="inlineStr">
        <is>
          <t>DALARNAS LÄN</t>
        </is>
      </c>
      <c r="E396" t="inlineStr">
        <is>
          <t>BORLÄNGE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30025-2023</t>
        </is>
      </c>
      <c r="B397" s="1" t="n">
        <v>45110</v>
      </c>
      <c r="C397" s="1" t="n">
        <v>45474</v>
      </c>
      <c r="D397" t="inlineStr">
        <is>
          <t>DALARNAS LÄN</t>
        </is>
      </c>
      <c r="E397" t="inlineStr">
        <is>
          <t>BORLÄNGE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30253-2023</t>
        </is>
      </c>
      <c r="B398" s="1" t="n">
        <v>45110</v>
      </c>
      <c r="C398" s="1" t="n">
        <v>45474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30115-2023</t>
        </is>
      </c>
      <c r="B399" s="1" t="n">
        <v>45110</v>
      </c>
      <c r="C399" s="1" t="n">
        <v>45474</v>
      </c>
      <c r="D399" t="inlineStr">
        <is>
          <t>DALARNAS LÄN</t>
        </is>
      </c>
      <c r="E399" t="inlineStr">
        <is>
          <t>BORLÄNGE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31530-2023</t>
        </is>
      </c>
      <c r="B400" s="1" t="n">
        <v>45116</v>
      </c>
      <c r="C400" s="1" t="n">
        <v>45474</v>
      </c>
      <c r="D400" t="inlineStr">
        <is>
          <t>DALARNAS LÄN</t>
        </is>
      </c>
      <c r="E400" t="inlineStr">
        <is>
          <t>BORLÄNGE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31679-2023</t>
        </is>
      </c>
      <c r="B401" s="1" t="n">
        <v>45117</v>
      </c>
      <c r="C401" s="1" t="n">
        <v>45474</v>
      </c>
      <c r="D401" t="inlineStr">
        <is>
          <t>DALARNAS LÄN</t>
        </is>
      </c>
      <c r="E401" t="inlineStr">
        <is>
          <t>BORLÄNGE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31678-2023</t>
        </is>
      </c>
      <c r="B402" s="1" t="n">
        <v>45117</v>
      </c>
      <c r="C402" s="1" t="n">
        <v>45474</v>
      </c>
      <c r="D402" t="inlineStr">
        <is>
          <t>DALARNAS LÄN</t>
        </is>
      </c>
      <c r="E402" t="inlineStr">
        <is>
          <t>BORLÄNGE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34334-2023</t>
        </is>
      </c>
      <c r="B403" s="1" t="n">
        <v>45139</v>
      </c>
      <c r="C403" s="1" t="n">
        <v>45474</v>
      </c>
      <c r="D403" t="inlineStr">
        <is>
          <t>DALARNAS LÄN</t>
        </is>
      </c>
      <c r="E403" t="inlineStr">
        <is>
          <t>BORLÄNGE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34674-2023</t>
        </is>
      </c>
      <c r="B404" s="1" t="n">
        <v>45140</v>
      </c>
      <c r="C404" s="1" t="n">
        <v>45474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35092-2023</t>
        </is>
      </c>
      <c r="B405" s="1" t="n">
        <v>45145</v>
      </c>
      <c r="C405" s="1" t="n">
        <v>45474</v>
      </c>
      <c r="D405" t="inlineStr">
        <is>
          <t>DALARNAS LÄN</t>
        </is>
      </c>
      <c r="E405" t="inlineStr">
        <is>
          <t>BORLÄNGE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35501-2023</t>
        </is>
      </c>
      <c r="B406" s="1" t="n">
        <v>45146</v>
      </c>
      <c r="C406" s="1" t="n">
        <v>45474</v>
      </c>
      <c r="D406" t="inlineStr">
        <is>
          <t>DALARNAS LÄN</t>
        </is>
      </c>
      <c r="E406" t="inlineStr">
        <is>
          <t>BORLÄNGE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37396-2023</t>
        </is>
      </c>
      <c r="B407" s="1" t="n">
        <v>45156</v>
      </c>
      <c r="C407" s="1" t="n">
        <v>45474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37401-2023</t>
        </is>
      </c>
      <c r="B408" s="1" t="n">
        <v>45156</v>
      </c>
      <c r="C408" s="1" t="n">
        <v>45474</v>
      </c>
      <c r="D408" t="inlineStr">
        <is>
          <t>DALARNAS LÄN</t>
        </is>
      </c>
      <c r="E408" t="inlineStr">
        <is>
          <t>BORLÄNGE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38863-2023</t>
        </is>
      </c>
      <c r="B409" s="1" t="n">
        <v>45163</v>
      </c>
      <c r="C409" s="1" t="n">
        <v>45474</v>
      </c>
      <c r="D409" t="inlineStr">
        <is>
          <t>DALARNAS LÄN</t>
        </is>
      </c>
      <c r="E409" t="inlineStr">
        <is>
          <t>BORLÄNGE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38868-2023</t>
        </is>
      </c>
      <c r="B410" s="1" t="n">
        <v>45163</v>
      </c>
      <c r="C410" s="1" t="n">
        <v>45474</v>
      </c>
      <c r="D410" t="inlineStr">
        <is>
          <t>DALARNAS LÄN</t>
        </is>
      </c>
      <c r="E410" t="inlineStr">
        <is>
          <t>BORLÄNGE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38754-2023</t>
        </is>
      </c>
      <c r="B411" s="1" t="n">
        <v>45163</v>
      </c>
      <c r="C411" s="1" t="n">
        <v>45474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39574-2023</t>
        </is>
      </c>
      <c r="B412" s="1" t="n">
        <v>45167</v>
      </c>
      <c r="C412" s="1" t="n">
        <v>45474</v>
      </c>
      <c r="D412" t="inlineStr">
        <is>
          <t>DALARNAS LÄN</t>
        </is>
      </c>
      <c r="E412" t="inlineStr">
        <is>
          <t>BORLÄNGE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39587-2023</t>
        </is>
      </c>
      <c r="B413" s="1" t="n">
        <v>45167</v>
      </c>
      <c r="C413" s="1" t="n">
        <v>45474</v>
      </c>
      <c r="D413" t="inlineStr">
        <is>
          <t>DALARNAS LÄN</t>
        </is>
      </c>
      <c r="E413" t="inlineStr">
        <is>
          <t>BORLÄNGE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39605-2023</t>
        </is>
      </c>
      <c r="B414" s="1" t="n">
        <v>45167</v>
      </c>
      <c r="C414" s="1" t="n">
        <v>45474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40235-2023</t>
        </is>
      </c>
      <c r="B415" s="1" t="n">
        <v>45169</v>
      </c>
      <c r="C415" s="1" t="n">
        <v>45474</v>
      </c>
      <c r="D415" t="inlineStr">
        <is>
          <t>DALARNAS LÄN</t>
        </is>
      </c>
      <c r="E415" t="inlineStr">
        <is>
          <t>BORLÄNGE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40954-2023</t>
        </is>
      </c>
      <c r="B416" s="1" t="n">
        <v>45173</v>
      </c>
      <c r="C416" s="1" t="n">
        <v>45474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41200-2023</t>
        </is>
      </c>
      <c r="B417" s="1" t="n">
        <v>45174</v>
      </c>
      <c r="C417" s="1" t="n">
        <v>45474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41670-2023</t>
        </is>
      </c>
      <c r="B418" s="1" t="n">
        <v>45176</v>
      </c>
      <c r="C418" s="1" t="n">
        <v>45474</v>
      </c>
      <c r="D418" t="inlineStr">
        <is>
          <t>DALARNAS LÄN</t>
        </is>
      </c>
      <c r="E418" t="inlineStr">
        <is>
          <t>BORLÄNGE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41688-2023</t>
        </is>
      </c>
      <c r="B419" s="1" t="n">
        <v>45176</v>
      </c>
      <c r="C419" s="1" t="n">
        <v>45474</v>
      </c>
      <c r="D419" t="inlineStr">
        <is>
          <t>DALARNAS LÄN</t>
        </is>
      </c>
      <c r="E419" t="inlineStr">
        <is>
          <t>BORLÄNGE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41691-2023</t>
        </is>
      </c>
      <c r="B420" s="1" t="n">
        <v>45176</v>
      </c>
      <c r="C420" s="1" t="n">
        <v>45474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43012-2023</t>
        </is>
      </c>
      <c r="B421" s="1" t="n">
        <v>45182</v>
      </c>
      <c r="C421" s="1" t="n">
        <v>45474</v>
      </c>
      <c r="D421" t="inlineStr">
        <is>
          <t>DALARNAS LÄN</t>
        </is>
      </c>
      <c r="E421" t="inlineStr">
        <is>
          <t>BORLÄNGE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42986-2023</t>
        </is>
      </c>
      <c r="B422" s="1" t="n">
        <v>45182</v>
      </c>
      <c r="C422" s="1" t="n">
        <v>45474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43329-2023</t>
        </is>
      </c>
      <c r="B423" s="1" t="n">
        <v>45183</v>
      </c>
      <c r="C423" s="1" t="n">
        <v>45474</v>
      </c>
      <c r="D423" t="inlineStr">
        <is>
          <t>DALARNAS LÄN</t>
        </is>
      </c>
      <c r="E423" t="inlineStr">
        <is>
          <t>BORLÄNGE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43324-2023</t>
        </is>
      </c>
      <c r="B424" s="1" t="n">
        <v>45183</v>
      </c>
      <c r="C424" s="1" t="n">
        <v>45474</v>
      </c>
      <c r="D424" t="inlineStr">
        <is>
          <t>DALARNAS LÄN</t>
        </is>
      </c>
      <c r="E424" t="inlineStr">
        <is>
          <t>BORLÄNGE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43516-2023</t>
        </is>
      </c>
      <c r="B425" s="1" t="n">
        <v>45184</v>
      </c>
      <c r="C425" s="1" t="n">
        <v>45474</v>
      </c>
      <c r="D425" t="inlineStr">
        <is>
          <t>DALARNAS LÄN</t>
        </is>
      </c>
      <c r="E425" t="inlineStr">
        <is>
          <t>BORLÄNGE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44240-2023</t>
        </is>
      </c>
      <c r="B426" s="1" t="n">
        <v>45188</v>
      </c>
      <c r="C426" s="1" t="n">
        <v>45474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44097-2023</t>
        </is>
      </c>
      <c r="B427" s="1" t="n">
        <v>45188</v>
      </c>
      <c r="C427" s="1" t="n">
        <v>45474</v>
      </c>
      <c r="D427" t="inlineStr">
        <is>
          <t>DALARNAS LÄN</t>
        </is>
      </c>
      <c r="E427" t="inlineStr">
        <is>
          <t>BORLÄNGE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44706-2023</t>
        </is>
      </c>
      <c r="B428" s="1" t="n">
        <v>45190</v>
      </c>
      <c r="C428" s="1" t="n">
        <v>45474</v>
      </c>
      <c r="D428" t="inlineStr">
        <is>
          <t>DALARNAS LÄN</t>
        </is>
      </c>
      <c r="E428" t="inlineStr">
        <is>
          <t>BORLÄNGE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44933-2023</t>
        </is>
      </c>
      <c r="B429" s="1" t="n">
        <v>45190</v>
      </c>
      <c r="C429" s="1" t="n">
        <v>45474</v>
      </c>
      <c r="D429" t="inlineStr">
        <is>
          <t>DALARNAS LÄN</t>
        </is>
      </c>
      <c r="E429" t="inlineStr">
        <is>
          <t>BORLÄNGE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45138-2023</t>
        </is>
      </c>
      <c r="B430" s="1" t="n">
        <v>45191</v>
      </c>
      <c r="C430" s="1" t="n">
        <v>45474</v>
      </c>
      <c r="D430" t="inlineStr">
        <is>
          <t>DALARNAS LÄN</t>
        </is>
      </c>
      <c r="E430" t="inlineStr">
        <is>
          <t>BORLÄNGE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45488-2023</t>
        </is>
      </c>
      <c r="B431" s="1" t="n">
        <v>45194</v>
      </c>
      <c r="C431" s="1" t="n">
        <v>45474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45793-2023</t>
        </is>
      </c>
      <c r="B432" s="1" t="n">
        <v>45195</v>
      </c>
      <c r="C432" s="1" t="n">
        <v>45474</v>
      </c>
      <c r="D432" t="inlineStr">
        <is>
          <t>DALARNAS LÄN</t>
        </is>
      </c>
      <c r="E432" t="inlineStr">
        <is>
          <t>BORLÄNGE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46337-2023</t>
        </is>
      </c>
      <c r="B433" s="1" t="n">
        <v>45197</v>
      </c>
      <c r="C433" s="1" t="n">
        <v>45474</v>
      </c>
      <c r="D433" t="inlineStr">
        <is>
          <t>DALARNAS LÄN</t>
        </is>
      </c>
      <c r="E433" t="inlineStr">
        <is>
          <t>BORLÄNGE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46304-2023</t>
        </is>
      </c>
      <c r="B434" s="1" t="n">
        <v>45197</v>
      </c>
      <c r="C434" s="1" t="n">
        <v>45474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47211-2023</t>
        </is>
      </c>
      <c r="B435" s="1" t="n">
        <v>45202</v>
      </c>
      <c r="C435" s="1" t="n">
        <v>45474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47318-2023</t>
        </is>
      </c>
      <c r="B436" s="1" t="n">
        <v>45202</v>
      </c>
      <c r="C436" s="1" t="n">
        <v>45474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48606-2023</t>
        </is>
      </c>
      <c r="B437" s="1" t="n">
        <v>45208</v>
      </c>
      <c r="C437" s="1" t="n">
        <v>45474</v>
      </c>
      <c r="D437" t="inlineStr">
        <is>
          <t>DALARNAS LÄN</t>
        </is>
      </c>
      <c r="E437" t="inlineStr">
        <is>
          <t>BORLÄNGE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48657-2023</t>
        </is>
      </c>
      <c r="B438" s="1" t="n">
        <v>45208</v>
      </c>
      <c r="C438" s="1" t="n">
        <v>45474</v>
      </c>
      <c r="D438" t="inlineStr">
        <is>
          <t>DALARNAS LÄN</t>
        </is>
      </c>
      <c r="E438" t="inlineStr">
        <is>
          <t>BORLÄNGE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48801-2023</t>
        </is>
      </c>
      <c r="B439" s="1" t="n">
        <v>45209</v>
      </c>
      <c r="C439" s="1" t="n">
        <v>45474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49056-2023</t>
        </is>
      </c>
      <c r="B440" s="1" t="n">
        <v>45210</v>
      </c>
      <c r="C440" s="1" t="n">
        <v>45474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49888-2023</t>
        </is>
      </c>
      <c r="B441" s="1" t="n">
        <v>45213</v>
      </c>
      <c r="C441" s="1" t="n">
        <v>45474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49938-2023</t>
        </is>
      </c>
      <c r="B442" s="1" t="n">
        <v>45215</v>
      </c>
      <c r="C442" s="1" t="n">
        <v>45474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49936-2023</t>
        </is>
      </c>
      <c r="B443" s="1" t="n">
        <v>45215</v>
      </c>
      <c r="C443" s="1" t="n">
        <v>45474</v>
      </c>
      <c r="D443" t="inlineStr">
        <is>
          <t>DALARNAS LÄN</t>
        </is>
      </c>
      <c r="E443" t="inlineStr">
        <is>
          <t>BORLÄNGE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50250-2023</t>
        </is>
      </c>
      <c r="B444" s="1" t="n">
        <v>45216</v>
      </c>
      <c r="C444" s="1" t="n">
        <v>45474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51145-2023</t>
        </is>
      </c>
      <c r="B445" s="1" t="n">
        <v>45219</v>
      </c>
      <c r="C445" s="1" t="n">
        <v>45474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51859-2023</t>
        </is>
      </c>
      <c r="B446" s="1" t="n">
        <v>45223</v>
      </c>
      <c r="C446" s="1" t="n">
        <v>45474</v>
      </c>
      <c r="D446" t="inlineStr">
        <is>
          <t>DALARNAS LÄN</t>
        </is>
      </c>
      <c r="E446" t="inlineStr">
        <is>
          <t>BORLÄNGE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51858-2023</t>
        </is>
      </c>
      <c r="B447" s="1" t="n">
        <v>45223</v>
      </c>
      <c r="C447" s="1" t="n">
        <v>45474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51862-2023</t>
        </is>
      </c>
      <c r="B448" s="1" t="n">
        <v>45223</v>
      </c>
      <c r="C448" s="1" t="n">
        <v>45474</v>
      </c>
      <c r="D448" t="inlineStr">
        <is>
          <t>DALARNAS LÄN</t>
        </is>
      </c>
      <c r="E448" t="inlineStr">
        <is>
          <t>BORLÄNGE</t>
        </is>
      </c>
      <c r="F448" t="inlineStr">
        <is>
          <t>Övriga statliga verk och myndigheter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52263-2023</t>
        </is>
      </c>
      <c r="B449" s="1" t="n">
        <v>45224</v>
      </c>
      <c r="C449" s="1" t="n">
        <v>45474</v>
      </c>
      <c r="D449" t="inlineStr">
        <is>
          <t>DALARNAS LÄN</t>
        </is>
      </c>
      <c r="E449" t="inlineStr">
        <is>
          <t>BORLÄNGE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52260-2023</t>
        </is>
      </c>
      <c r="B450" s="1" t="n">
        <v>45224</v>
      </c>
      <c r="C450" s="1" t="n">
        <v>45474</v>
      </c>
      <c r="D450" t="inlineStr">
        <is>
          <t>DALARNAS LÄN</t>
        </is>
      </c>
      <c r="E450" t="inlineStr">
        <is>
          <t>BORLÄNGE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52556-2023</t>
        </is>
      </c>
      <c r="B451" s="1" t="n">
        <v>45225</v>
      </c>
      <c r="C451" s="1" t="n">
        <v>45474</v>
      </c>
      <c r="D451" t="inlineStr">
        <is>
          <t>DALARNAS LÄN</t>
        </is>
      </c>
      <c r="E451" t="inlineStr">
        <is>
          <t>BORLÄNGE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54520-2023</t>
        </is>
      </c>
      <c r="B452" s="1" t="n">
        <v>45226</v>
      </c>
      <c r="C452" s="1" t="n">
        <v>45474</v>
      </c>
      <c r="D452" t="inlineStr">
        <is>
          <t>DALARNAS LÄN</t>
        </is>
      </c>
      <c r="E452" t="inlineStr">
        <is>
          <t>BORLÄNGE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53986-2023</t>
        </is>
      </c>
      <c r="B453" s="1" t="n">
        <v>45231</v>
      </c>
      <c r="C453" s="1" t="n">
        <v>45474</v>
      </c>
      <c r="D453" t="inlineStr">
        <is>
          <t>DALARNAS LÄN</t>
        </is>
      </c>
      <c r="E453" t="inlineStr">
        <is>
          <t>BORLÄNGE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54154-2023</t>
        </is>
      </c>
      <c r="B454" s="1" t="n">
        <v>45232</v>
      </c>
      <c r="C454" s="1" t="n">
        <v>45474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54148-2023</t>
        </is>
      </c>
      <c r="B455" s="1" t="n">
        <v>45232</v>
      </c>
      <c r="C455" s="1" t="n">
        <v>45474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55059-2023</t>
        </is>
      </c>
      <c r="B456" s="1" t="n">
        <v>45237</v>
      </c>
      <c r="C456" s="1" t="n">
        <v>45474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55133-2023</t>
        </is>
      </c>
      <c r="B457" s="1" t="n">
        <v>45237</v>
      </c>
      <c r="C457" s="1" t="n">
        <v>45474</v>
      </c>
      <c r="D457" t="inlineStr">
        <is>
          <t>DALARNAS LÄN</t>
        </is>
      </c>
      <c r="E457" t="inlineStr">
        <is>
          <t>BORLÄNGE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55056-2023</t>
        </is>
      </c>
      <c r="B458" s="1" t="n">
        <v>45237</v>
      </c>
      <c r="C458" s="1" t="n">
        <v>45474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55057-2023</t>
        </is>
      </c>
      <c r="B459" s="1" t="n">
        <v>45237</v>
      </c>
      <c r="C459" s="1" t="n">
        <v>45474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55298-2023</t>
        </is>
      </c>
      <c r="B460" s="1" t="n">
        <v>45237</v>
      </c>
      <c r="C460" s="1" t="n">
        <v>45474</v>
      </c>
      <c r="D460" t="inlineStr">
        <is>
          <t>DALARNAS LÄN</t>
        </is>
      </c>
      <c r="E460" t="inlineStr">
        <is>
          <t>BORLÄNGE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55735-2023</t>
        </is>
      </c>
      <c r="B461" s="1" t="n">
        <v>45239</v>
      </c>
      <c r="C461" s="1" t="n">
        <v>45474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57160-2023</t>
        </is>
      </c>
      <c r="B462" s="1" t="n">
        <v>45245</v>
      </c>
      <c r="C462" s="1" t="n">
        <v>45474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57533-2023</t>
        </is>
      </c>
      <c r="B463" s="1" t="n">
        <v>45246</v>
      </c>
      <c r="C463" s="1" t="n">
        <v>45474</v>
      </c>
      <c r="D463" t="inlineStr">
        <is>
          <t>DALARNAS LÄN</t>
        </is>
      </c>
      <c r="E463" t="inlineStr">
        <is>
          <t>BORLÄNGE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57530-2023</t>
        </is>
      </c>
      <c r="B464" s="1" t="n">
        <v>45246</v>
      </c>
      <c r="C464" s="1" t="n">
        <v>45474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58616-2023</t>
        </is>
      </c>
      <c r="B465" s="1" t="n">
        <v>45251</v>
      </c>
      <c r="C465" s="1" t="n">
        <v>45474</v>
      </c>
      <c r="D465" t="inlineStr">
        <is>
          <t>DALARNAS LÄN</t>
        </is>
      </c>
      <c r="E465" t="inlineStr">
        <is>
          <t>BORLÄNGE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58640-2023</t>
        </is>
      </c>
      <c r="B466" s="1" t="n">
        <v>45251</v>
      </c>
      <c r="C466" s="1" t="n">
        <v>45474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58901-2023</t>
        </is>
      </c>
      <c r="B467" s="1" t="n">
        <v>45252</v>
      </c>
      <c r="C467" s="1" t="n">
        <v>45474</v>
      </c>
      <c r="D467" t="inlineStr">
        <is>
          <t>DALARNAS LÄN</t>
        </is>
      </c>
      <c r="E467" t="inlineStr">
        <is>
          <t>BORLÄNGE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58903-2023</t>
        </is>
      </c>
      <c r="B468" s="1" t="n">
        <v>45252</v>
      </c>
      <c r="C468" s="1" t="n">
        <v>45474</v>
      </c>
      <c r="D468" t="inlineStr">
        <is>
          <t>DALARNAS LÄN</t>
        </is>
      </c>
      <c r="E468" t="inlineStr">
        <is>
          <t>BORLÄNGE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58897-2023</t>
        </is>
      </c>
      <c r="B469" s="1" t="n">
        <v>45252</v>
      </c>
      <c r="C469" s="1" t="n">
        <v>45474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59534-2023</t>
        </is>
      </c>
      <c r="B470" s="1" t="n">
        <v>45254</v>
      </c>
      <c r="C470" s="1" t="n">
        <v>45474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59935-2023</t>
        </is>
      </c>
      <c r="B471" s="1" t="n">
        <v>45257</v>
      </c>
      <c r="C471" s="1" t="n">
        <v>45474</v>
      </c>
      <c r="D471" t="inlineStr">
        <is>
          <t>DALARNAS LÄN</t>
        </is>
      </c>
      <c r="E471" t="inlineStr">
        <is>
          <t>BORLÄNGE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60086-2023</t>
        </is>
      </c>
      <c r="B472" s="1" t="n">
        <v>45258</v>
      </c>
      <c r="C472" s="1" t="n">
        <v>45474</v>
      </c>
      <c r="D472" t="inlineStr">
        <is>
          <t>DALARNAS LÄN</t>
        </is>
      </c>
      <c r="E472" t="inlineStr">
        <is>
          <t>BORLÄNGE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60072-2023</t>
        </is>
      </c>
      <c r="B473" s="1" t="n">
        <v>45258</v>
      </c>
      <c r="C473" s="1" t="n">
        <v>45474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60152-2023</t>
        </is>
      </c>
      <c r="B474" s="1" t="n">
        <v>45258</v>
      </c>
      <c r="C474" s="1" t="n">
        <v>45474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60060-2023</t>
        </is>
      </c>
      <c r="B475" s="1" t="n">
        <v>45258</v>
      </c>
      <c r="C475" s="1" t="n">
        <v>45474</v>
      </c>
      <c r="D475" t="inlineStr">
        <is>
          <t>DALARNAS LÄN</t>
        </is>
      </c>
      <c r="E475" t="inlineStr">
        <is>
          <t>BORLÄNGE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60356-2023</t>
        </is>
      </c>
      <c r="B476" s="1" t="n">
        <v>45259</v>
      </c>
      <c r="C476" s="1" t="n">
        <v>45474</v>
      </c>
      <c r="D476" t="inlineStr">
        <is>
          <t>DALARNAS LÄN</t>
        </is>
      </c>
      <c r="E476" t="inlineStr">
        <is>
          <t>BORLÄNGE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60512-2023</t>
        </is>
      </c>
      <c r="B477" s="1" t="n">
        <v>45259</v>
      </c>
      <c r="C477" s="1" t="n">
        <v>45474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60368-2023</t>
        </is>
      </c>
      <c r="B478" s="1" t="n">
        <v>45259</v>
      </c>
      <c r="C478" s="1" t="n">
        <v>45474</v>
      </c>
      <c r="D478" t="inlineStr">
        <is>
          <t>DALARNAS LÄN</t>
        </is>
      </c>
      <c r="E478" t="inlineStr">
        <is>
          <t>BORLÄNGE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60518-2023</t>
        </is>
      </c>
      <c r="B479" s="1" t="n">
        <v>45259</v>
      </c>
      <c r="C479" s="1" t="n">
        <v>45474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60876-2023</t>
        </is>
      </c>
      <c r="B480" s="1" t="n">
        <v>45259</v>
      </c>
      <c r="C480" s="1" t="n">
        <v>45474</v>
      </c>
      <c r="D480" t="inlineStr">
        <is>
          <t>DALARNAS LÄN</t>
        </is>
      </c>
      <c r="E480" t="inlineStr">
        <is>
          <t>BORLÄNGE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60625-2023</t>
        </is>
      </c>
      <c r="B481" s="1" t="n">
        <v>45260</v>
      </c>
      <c r="C481" s="1" t="n">
        <v>45474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60908-2023</t>
        </is>
      </c>
      <c r="B482" s="1" t="n">
        <v>45261</v>
      </c>
      <c r="C482" s="1" t="n">
        <v>45474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61195-2023</t>
        </is>
      </c>
      <c r="B483" s="1" t="n">
        <v>45264</v>
      </c>
      <c r="C483" s="1" t="n">
        <v>45474</v>
      </c>
      <c r="D483" t="inlineStr">
        <is>
          <t>DALARNAS LÄN</t>
        </is>
      </c>
      <c r="E483" t="inlineStr">
        <is>
          <t>BORLÄNGE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61587-2023</t>
        </is>
      </c>
      <c r="B484" s="1" t="n">
        <v>45265</v>
      </c>
      <c r="C484" s="1" t="n">
        <v>45474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61565-2023</t>
        </is>
      </c>
      <c r="B485" s="1" t="n">
        <v>45265</v>
      </c>
      <c r="C485" s="1" t="n">
        <v>45474</v>
      </c>
      <c r="D485" t="inlineStr">
        <is>
          <t>DALARNAS LÄN</t>
        </is>
      </c>
      <c r="E485" t="inlineStr">
        <is>
          <t>BORLÄNGE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62214-2023</t>
        </is>
      </c>
      <c r="B486" s="1" t="n">
        <v>45267</v>
      </c>
      <c r="C486" s="1" t="n">
        <v>45474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62569-2023</t>
        </is>
      </c>
      <c r="B487" s="1" t="n">
        <v>45269</v>
      </c>
      <c r="C487" s="1" t="n">
        <v>45474</v>
      </c>
      <c r="D487" t="inlineStr">
        <is>
          <t>DALARNAS LÄN</t>
        </is>
      </c>
      <c r="E487" t="inlineStr">
        <is>
          <t>BORLÄNGE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63192-2023</t>
        </is>
      </c>
      <c r="B488" s="1" t="n">
        <v>45273</v>
      </c>
      <c r="C488" s="1" t="n">
        <v>45474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63791-2023</t>
        </is>
      </c>
      <c r="B489" s="1" t="n">
        <v>45278</v>
      </c>
      <c r="C489" s="1" t="n">
        <v>45474</v>
      </c>
      <c r="D489" t="inlineStr">
        <is>
          <t>DALARNAS LÄN</t>
        </is>
      </c>
      <c r="E489" t="inlineStr">
        <is>
          <t>BORLÄNGE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64688-2023</t>
        </is>
      </c>
      <c r="B490" s="1" t="n">
        <v>45281</v>
      </c>
      <c r="C490" s="1" t="n">
        <v>45474</v>
      </c>
      <c r="D490" t="inlineStr">
        <is>
          <t>DALARNAS LÄN</t>
        </is>
      </c>
      <c r="E490" t="inlineStr">
        <is>
          <t>BORLÄNGE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26-2024</t>
        </is>
      </c>
      <c r="B491" s="1" t="n">
        <v>45289</v>
      </c>
      <c r="C491" s="1" t="n">
        <v>45474</v>
      </c>
      <c r="D491" t="inlineStr">
        <is>
          <t>DALARNAS LÄN</t>
        </is>
      </c>
      <c r="E491" t="inlineStr">
        <is>
          <t>BORLÄNGE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65254-2023</t>
        </is>
      </c>
      <c r="B492" s="1" t="n">
        <v>45290</v>
      </c>
      <c r="C492" s="1" t="n">
        <v>45474</v>
      </c>
      <c r="D492" t="inlineStr">
        <is>
          <t>DALARNAS LÄN</t>
        </is>
      </c>
      <c r="E492" t="inlineStr">
        <is>
          <t>BORLÄNGE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128-2024</t>
        </is>
      </c>
      <c r="B493" s="1" t="n">
        <v>45294</v>
      </c>
      <c r="C493" s="1" t="n">
        <v>45474</v>
      </c>
      <c r="D493" t="inlineStr">
        <is>
          <t>DALARNAS LÄN</t>
        </is>
      </c>
      <c r="E493" t="inlineStr">
        <is>
          <t>BORLÄNGE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497-2024</t>
        </is>
      </c>
      <c r="B494" s="1" t="n">
        <v>45299</v>
      </c>
      <c r="C494" s="1" t="n">
        <v>45474</v>
      </c>
      <c r="D494" t="inlineStr">
        <is>
          <t>DALARNAS LÄN</t>
        </is>
      </c>
      <c r="E494" t="inlineStr">
        <is>
          <t>BORLÄNGE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619-2024</t>
        </is>
      </c>
      <c r="B495" s="1" t="n">
        <v>45299</v>
      </c>
      <c r="C495" s="1" t="n">
        <v>45474</v>
      </c>
      <c r="D495" t="inlineStr">
        <is>
          <t>DALARNAS LÄN</t>
        </is>
      </c>
      <c r="E495" t="inlineStr">
        <is>
          <t>BORLÄNGE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1966-2024</t>
        </is>
      </c>
      <c r="B496" s="1" t="n">
        <v>45308</v>
      </c>
      <c r="C496" s="1" t="n">
        <v>45474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2516-2024</t>
        </is>
      </c>
      <c r="B497" s="1" t="n">
        <v>45313</v>
      </c>
      <c r="C497" s="1" t="n">
        <v>45474</v>
      </c>
      <c r="D497" t="inlineStr">
        <is>
          <t>DALARNAS LÄN</t>
        </is>
      </c>
      <c r="E497" t="inlineStr">
        <is>
          <t>BORLÄNGE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6526-2024</t>
        </is>
      </c>
      <c r="B498" s="1" t="n">
        <v>45341</v>
      </c>
      <c r="C498" s="1" t="n">
        <v>45474</v>
      </c>
      <c r="D498" t="inlineStr">
        <is>
          <t>DALARNAS LÄN</t>
        </is>
      </c>
      <c r="E498" t="inlineStr">
        <is>
          <t>BORLÄNGE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6654-2024</t>
        </is>
      </c>
      <c r="B499" s="1" t="n">
        <v>45341</v>
      </c>
      <c r="C499" s="1" t="n">
        <v>45474</v>
      </c>
      <c r="D499" t="inlineStr">
        <is>
          <t>DALARNAS LÄN</t>
        </is>
      </c>
      <c r="E499" t="inlineStr">
        <is>
          <t>BORLÄNGE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6798-2024</t>
        </is>
      </c>
      <c r="B500" s="1" t="n">
        <v>45342</v>
      </c>
      <c r="C500" s="1" t="n">
        <v>45474</v>
      </c>
      <c r="D500" t="inlineStr">
        <is>
          <t>DALARNAS LÄN</t>
        </is>
      </c>
      <c r="E500" t="inlineStr">
        <is>
          <t>BORLÄNGE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6803-2024</t>
        </is>
      </c>
      <c r="B501" s="1" t="n">
        <v>45342</v>
      </c>
      <c r="C501" s="1" t="n">
        <v>45474</v>
      </c>
      <c r="D501" t="inlineStr">
        <is>
          <t>DALARNAS LÄN</t>
        </is>
      </c>
      <c r="E501" t="inlineStr">
        <is>
          <t>BORLÄNGE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9295-2024</t>
        </is>
      </c>
      <c r="B502" s="1" t="n">
        <v>45358</v>
      </c>
      <c r="C502" s="1" t="n">
        <v>45474</v>
      </c>
      <c r="D502" t="inlineStr">
        <is>
          <t>DALARNAS LÄN</t>
        </is>
      </c>
      <c r="E502" t="inlineStr">
        <is>
          <t>BORLÄNGE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10774-2024</t>
        </is>
      </c>
      <c r="B503" s="1" t="n">
        <v>45369</v>
      </c>
      <c r="C503" s="1" t="n">
        <v>45474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10689-2024</t>
        </is>
      </c>
      <c r="B504" s="1" t="n">
        <v>45369</v>
      </c>
      <c r="C504" s="1" t="n">
        <v>45474</v>
      </c>
      <c r="D504" t="inlineStr">
        <is>
          <t>DALARNAS LÄN</t>
        </is>
      </c>
      <c r="E504" t="inlineStr">
        <is>
          <t>BORLÄNGE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12216-2024</t>
        </is>
      </c>
      <c r="B505" s="1" t="n">
        <v>45378</v>
      </c>
      <c r="C505" s="1" t="n">
        <v>45474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12783-2024</t>
        </is>
      </c>
      <c r="B506" s="1" t="n">
        <v>45384</v>
      </c>
      <c r="C506" s="1" t="n">
        <v>45474</v>
      </c>
      <c r="D506" t="inlineStr">
        <is>
          <t>DALARNAS LÄN</t>
        </is>
      </c>
      <c r="E506" t="inlineStr">
        <is>
          <t>BORLÄNGE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12787-2024</t>
        </is>
      </c>
      <c r="B507" s="1" t="n">
        <v>45384</v>
      </c>
      <c r="C507" s="1" t="n">
        <v>45474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13515-2024</t>
        </is>
      </c>
      <c r="B508" s="1" t="n">
        <v>45387</v>
      </c>
      <c r="C508" s="1" t="n">
        <v>45474</v>
      </c>
      <c r="D508" t="inlineStr">
        <is>
          <t>DALARNAS LÄN</t>
        </is>
      </c>
      <c r="E508" t="inlineStr">
        <is>
          <t>BORLÄNGE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13658-2024</t>
        </is>
      </c>
      <c r="B509" s="1" t="n">
        <v>45390</v>
      </c>
      <c r="C509" s="1" t="n">
        <v>45474</v>
      </c>
      <c r="D509" t="inlineStr">
        <is>
          <t>DALARNAS LÄN</t>
        </is>
      </c>
      <c r="E509" t="inlineStr">
        <is>
          <t>BORLÄNGE</t>
        </is>
      </c>
      <c r="F509" t="inlineStr">
        <is>
          <t>Kommuner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13983-2024</t>
        </is>
      </c>
      <c r="B510" s="1" t="n">
        <v>45392</v>
      </c>
      <c r="C510" s="1" t="n">
        <v>45474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14336-2024</t>
        </is>
      </c>
      <c r="B511" s="1" t="n">
        <v>45393</v>
      </c>
      <c r="C511" s="1" t="n">
        <v>45474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14635-2024</t>
        </is>
      </c>
      <c r="B512" s="1" t="n">
        <v>45397</v>
      </c>
      <c r="C512" s="1" t="n">
        <v>45474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15495-2024</t>
        </is>
      </c>
      <c r="B513" s="1" t="n">
        <v>45401</v>
      </c>
      <c r="C513" s="1" t="n">
        <v>45474</v>
      </c>
      <c r="D513" t="inlineStr">
        <is>
          <t>DALARNAS LÄN</t>
        </is>
      </c>
      <c r="E513" t="inlineStr">
        <is>
          <t>BORLÄNGE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15989-2024</t>
        </is>
      </c>
      <c r="B514" s="1" t="n">
        <v>45405</v>
      </c>
      <c r="C514" s="1" t="n">
        <v>45474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15949-2024</t>
        </is>
      </c>
      <c r="B515" s="1" t="n">
        <v>45405</v>
      </c>
      <c r="C515" s="1" t="n">
        <v>45474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HYPERLINK("https://klasma.github.io/Logging_2081/knärot/A 15949-2024 karta knärot.png", "A 15949-2024")</f>
        <v/>
      </c>
      <c r="V515">
        <f>HYPERLINK("https://klasma.github.io/Logging_2081/klagomål/A 15949-2024 FSC-klagomål.docx", "A 15949-2024")</f>
        <v/>
      </c>
      <c r="W515">
        <f>HYPERLINK("https://klasma.github.io/Logging_2081/klagomålsmail/A 15949-2024 FSC-klagomål mail.docx", "A 15949-2024")</f>
        <v/>
      </c>
      <c r="X515">
        <f>HYPERLINK("https://klasma.github.io/Logging_2081/tillsyn/A 15949-2024 tillsynsbegäran.docx", "A 15949-2024")</f>
        <v/>
      </c>
      <c r="Y515">
        <f>HYPERLINK("https://klasma.github.io/Logging_2081/tillsynsmail/A 15949-2024 tillsynsbegäran mail.docx", "A 15949-2024")</f>
        <v/>
      </c>
    </row>
    <row r="516" ht="15" customHeight="1">
      <c r="A516" t="inlineStr">
        <is>
          <t>A 15948-2024</t>
        </is>
      </c>
      <c r="B516" s="1" t="n">
        <v>45405</v>
      </c>
      <c r="C516" s="1" t="n">
        <v>45474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16883-2024</t>
        </is>
      </c>
      <c r="B517" s="1" t="n">
        <v>45411</v>
      </c>
      <c r="C517" s="1" t="n">
        <v>45474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16878-2024</t>
        </is>
      </c>
      <c r="B518" s="1" t="n">
        <v>45411</v>
      </c>
      <c r="C518" s="1" t="n">
        <v>45474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17363-2024</t>
        </is>
      </c>
      <c r="B519" s="1" t="n">
        <v>45414</v>
      </c>
      <c r="C519" s="1" t="n">
        <v>45474</v>
      </c>
      <c r="D519" t="inlineStr">
        <is>
          <t>DALARNAS LÄN</t>
        </is>
      </c>
      <c r="E519" t="inlineStr">
        <is>
          <t>BORLÄNGE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17540-2024</t>
        </is>
      </c>
      <c r="B520" s="1" t="n">
        <v>45415</v>
      </c>
      <c r="C520" s="1" t="n">
        <v>45474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18355-2024</t>
        </is>
      </c>
      <c r="B521" s="1" t="n">
        <v>45422</v>
      </c>
      <c r="C521" s="1" t="n">
        <v>45474</v>
      </c>
      <c r="D521" t="inlineStr">
        <is>
          <t>DALARNAS LÄN</t>
        </is>
      </c>
      <c r="E521" t="inlineStr">
        <is>
          <t>BORLÄNGE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18529-2024</t>
        </is>
      </c>
      <c r="B522" s="1" t="n">
        <v>45425</v>
      </c>
      <c r="C522" s="1" t="n">
        <v>45474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18560-2024</t>
        </is>
      </c>
      <c r="B523" s="1" t="n">
        <v>45425</v>
      </c>
      <c r="C523" s="1" t="n">
        <v>45474</v>
      </c>
      <c r="D523" t="inlineStr">
        <is>
          <t>DALARNAS LÄN</t>
        </is>
      </c>
      <c r="E523" t="inlineStr">
        <is>
          <t>BORLÄNGE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18971-2024</t>
        </is>
      </c>
      <c r="B524" s="1" t="n">
        <v>45427</v>
      </c>
      <c r="C524" s="1" t="n">
        <v>45474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19650-2024</t>
        </is>
      </c>
      <c r="B525" s="1" t="n">
        <v>45432</v>
      </c>
      <c r="C525" s="1" t="n">
        <v>45474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20237-2024</t>
        </is>
      </c>
      <c r="B526" s="1" t="n">
        <v>45434</v>
      </c>
      <c r="C526" s="1" t="n">
        <v>45474</v>
      </c>
      <c r="D526" t="inlineStr">
        <is>
          <t>DALARNAS LÄN</t>
        </is>
      </c>
      <c r="E526" t="inlineStr">
        <is>
          <t>BORLÄNGE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20314-2024</t>
        </is>
      </c>
      <c r="B527" s="1" t="n">
        <v>45435</v>
      </c>
      <c r="C527" s="1" t="n">
        <v>45474</v>
      </c>
      <c r="D527" t="inlineStr">
        <is>
          <t>DALARNAS LÄN</t>
        </is>
      </c>
      <c r="E527" t="inlineStr">
        <is>
          <t>BORLÄNGE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20578-2024</t>
        </is>
      </c>
      <c r="B528" s="1" t="n">
        <v>45436</v>
      </c>
      <c r="C528" s="1" t="n">
        <v>45474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20585-2024</t>
        </is>
      </c>
      <c r="B529" s="1" t="n">
        <v>45436</v>
      </c>
      <c r="C529" s="1" t="n">
        <v>45474</v>
      </c>
      <c r="D529" t="inlineStr">
        <is>
          <t>DALARNAS LÄN</t>
        </is>
      </c>
      <c r="E529" t="inlineStr">
        <is>
          <t>BORLÄNGE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20535-2024</t>
        </is>
      </c>
      <c r="B530" s="1" t="n">
        <v>45436</v>
      </c>
      <c r="C530" s="1" t="n">
        <v>45474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20581-2024</t>
        </is>
      </c>
      <c r="B531" s="1" t="n">
        <v>45436</v>
      </c>
      <c r="C531" s="1" t="n">
        <v>45474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20784-2024</t>
        </is>
      </c>
      <c r="B532" s="1" t="n">
        <v>45437</v>
      </c>
      <c r="C532" s="1" t="n">
        <v>45474</v>
      </c>
      <c r="D532" t="inlineStr">
        <is>
          <t>DALARNAS LÄN</t>
        </is>
      </c>
      <c r="E532" t="inlineStr">
        <is>
          <t>BORLÄNGE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20795-2024</t>
        </is>
      </c>
      <c r="B533" s="1" t="n">
        <v>45439</v>
      </c>
      <c r="C533" s="1" t="n">
        <v>45474</v>
      </c>
      <c r="D533" t="inlineStr">
        <is>
          <t>DALARNAS LÄN</t>
        </is>
      </c>
      <c r="E533" t="inlineStr">
        <is>
          <t>BORLÄNGE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20814-2024</t>
        </is>
      </c>
      <c r="B534" s="1" t="n">
        <v>45439</v>
      </c>
      <c r="C534" s="1" t="n">
        <v>45474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20939-2024</t>
        </is>
      </c>
      <c r="B535" s="1" t="n">
        <v>45439</v>
      </c>
      <c r="C535" s="1" t="n">
        <v>45474</v>
      </c>
      <c r="D535" t="inlineStr">
        <is>
          <t>DALARNAS LÄN</t>
        </is>
      </c>
      <c r="E535" t="inlineStr">
        <is>
          <t>BORLÄNGE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20919-2024</t>
        </is>
      </c>
      <c r="B536" s="1" t="n">
        <v>45439</v>
      </c>
      <c r="C536" s="1" t="n">
        <v>45474</v>
      </c>
      <c r="D536" t="inlineStr">
        <is>
          <t>DALARNAS LÄN</t>
        </is>
      </c>
      <c r="E536" t="inlineStr">
        <is>
          <t>BORLÄNGE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21491-2024</t>
        </is>
      </c>
      <c r="B537" s="1" t="n">
        <v>45441</v>
      </c>
      <c r="C537" s="1" t="n">
        <v>45474</v>
      </c>
      <c r="D537" t="inlineStr">
        <is>
          <t>DALARNAS LÄN</t>
        </is>
      </c>
      <c r="E537" t="inlineStr">
        <is>
          <t>BORLÄNGE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21541-2024</t>
        </is>
      </c>
      <c r="B538" s="1" t="n">
        <v>45441</v>
      </c>
      <c r="C538" s="1" t="n">
        <v>45474</v>
      </c>
      <c r="D538" t="inlineStr">
        <is>
          <t>DALARNAS LÄN</t>
        </is>
      </c>
      <c r="E538" t="inlineStr">
        <is>
          <t>BORLÄNGE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HYPERLINK("https://klasma.github.io/Logging_2081/knärot/A 21541-2024 karta knärot.png", "A 21541-2024")</f>
        <v/>
      </c>
      <c r="V538">
        <f>HYPERLINK("https://klasma.github.io/Logging_2081/klagomål/A 21541-2024 FSC-klagomål.docx", "A 21541-2024")</f>
        <v/>
      </c>
      <c r="W538">
        <f>HYPERLINK("https://klasma.github.io/Logging_2081/klagomålsmail/A 21541-2024 FSC-klagomål mail.docx", "A 21541-2024")</f>
        <v/>
      </c>
      <c r="X538">
        <f>HYPERLINK("https://klasma.github.io/Logging_2081/tillsyn/A 21541-2024 tillsynsbegäran.docx", "A 21541-2024")</f>
        <v/>
      </c>
      <c r="Y538">
        <f>HYPERLINK("https://klasma.github.io/Logging_2081/tillsynsmail/A 21541-2024 tillsynsbegäran mail.docx", "A 21541-2024")</f>
        <v/>
      </c>
    </row>
    <row r="539" ht="15" customHeight="1">
      <c r="A539" t="inlineStr">
        <is>
          <t>A 21979-2024</t>
        </is>
      </c>
      <c r="B539" s="1" t="n">
        <v>45443</v>
      </c>
      <c r="C539" s="1" t="n">
        <v>45474</v>
      </c>
      <c r="D539" t="inlineStr">
        <is>
          <t>DALARNAS LÄN</t>
        </is>
      </c>
      <c r="E539" t="inlineStr">
        <is>
          <t>BORLÄNGE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22652-2024</t>
        </is>
      </c>
      <c r="B540" s="1" t="n">
        <v>45447</v>
      </c>
      <c r="C540" s="1" t="n">
        <v>45474</v>
      </c>
      <c r="D540" t="inlineStr">
        <is>
          <t>DALARNAS LÄN</t>
        </is>
      </c>
      <c r="E540" t="inlineStr">
        <is>
          <t>BORLÄNGE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22649-2024</t>
        </is>
      </c>
      <c r="B541" s="1" t="n">
        <v>45447</v>
      </c>
      <c r="C541" s="1" t="n">
        <v>45474</v>
      </c>
      <c r="D541" t="inlineStr">
        <is>
          <t>DALARNAS LÄN</t>
        </is>
      </c>
      <c r="E541" t="inlineStr">
        <is>
          <t>BORLÄNGE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23918-2024</t>
        </is>
      </c>
      <c r="B542" s="1" t="n">
        <v>45455</v>
      </c>
      <c r="C542" s="1" t="n">
        <v>45474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24313-2024</t>
        </is>
      </c>
      <c r="B543" s="1" t="n">
        <v>45457</v>
      </c>
      <c r="C543" s="1" t="n">
        <v>45474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26370-2024</t>
        </is>
      </c>
      <c r="B544" s="1" t="n">
        <v>45469</v>
      </c>
      <c r="C544" s="1" t="n">
        <v>45474</v>
      </c>
      <c r="D544" t="inlineStr">
        <is>
          <t>DALARNAS LÄN</t>
        </is>
      </c>
      <c r="E544" t="inlineStr">
        <is>
          <t>BORLÄNGE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26410-2024</t>
        </is>
      </c>
      <c r="B545" s="1" t="n">
        <v>45469</v>
      </c>
      <c r="C545" s="1" t="n">
        <v>45474</v>
      </c>
      <c r="D545" t="inlineStr">
        <is>
          <t>DALARNAS LÄN</t>
        </is>
      </c>
      <c r="E545" t="inlineStr">
        <is>
          <t>BORLÄNGE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26886-2024</t>
        </is>
      </c>
      <c r="B546" s="1" t="n">
        <v>45470</v>
      </c>
      <c r="C546" s="1" t="n">
        <v>45474</v>
      </c>
      <c r="D546" t="inlineStr">
        <is>
          <t>DALARNAS LÄN</t>
        </is>
      </c>
      <c r="E546" t="inlineStr">
        <is>
          <t>BORLÄNGE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26886-2024 karta knärot.png", "A 26886-2024")</f>
        <v/>
      </c>
      <c r="V546">
        <f>HYPERLINK("https://klasma.github.io/Logging_2081/klagomål/A 26886-2024 FSC-klagomål.docx", "A 26886-2024")</f>
        <v/>
      </c>
      <c r="W546">
        <f>HYPERLINK("https://klasma.github.io/Logging_2081/klagomålsmail/A 26886-2024 FSC-klagomål mail.docx", "A 26886-2024")</f>
        <v/>
      </c>
      <c r="X546">
        <f>HYPERLINK("https://klasma.github.io/Logging_2081/tillsyn/A 26886-2024 tillsynsbegäran.docx", "A 26886-2024")</f>
        <v/>
      </c>
      <c r="Y546">
        <f>HYPERLINK("https://klasma.github.io/Logging_2081/tillsynsmail/A 26886-2024 tillsynsbegäran mail.docx", "A 26886-2024")</f>
        <v/>
      </c>
    </row>
    <row r="547">
      <c r="A547" t="inlineStr">
        <is>
          <t>A 27004-2024</t>
        </is>
      </c>
      <c r="B547" s="1" t="n">
        <v>45471</v>
      </c>
      <c r="C547" s="1" t="n">
        <v>45474</v>
      </c>
      <c r="D547" t="inlineStr">
        <is>
          <t>DALARNAS LÄN</t>
        </is>
      </c>
      <c r="E547" t="inlineStr">
        <is>
          <t>BORLÄNGE</t>
        </is>
      </c>
      <c r="G547" t="n">
        <v>14.4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2024-07-01T10:11:17Z</dcterms:created>
  <dcterms:modified xmlns:dcterms="http://purl.org/dc/terms/" xmlns:xsi="http://www.w3.org/2001/XMLSchema-instance" xsi:type="dcterms:W3CDTF">2024-07-01T10:11:18Z</dcterms:modified>
</cp:coreProperties>
</file>