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45707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45707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45707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45707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45707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45707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45707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45707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45707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45707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45707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45707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45707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45707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45707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45707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45707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45707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45707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45707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66569-2019</t>
        </is>
      </c>
      <c r="B22" s="1" t="n">
        <v>43781</v>
      </c>
      <c r="C22" s="1" t="n">
        <v>45707</v>
      </c>
      <c r="D22" t="inlineStr">
        <is>
          <t>DALARNAS LÄN</t>
        </is>
      </c>
      <c r="E22" t="inlineStr">
        <is>
          <t>BORLÄNGE</t>
        </is>
      </c>
      <c r="G22" t="n">
        <v>1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Kopparspindling
Strimspindling
Svavelriska</t>
        </is>
      </c>
      <c r="S22">
        <f>HYPERLINK("https://klasma.github.io/Logging_2081/artfynd/A 66569-2019 artfynd.xlsx", "A 66569-2019")</f>
        <v/>
      </c>
      <c r="T22">
        <f>HYPERLINK("https://klasma.github.io/Logging_2081/kartor/A 66569-2019 karta.png", "A 66569-2019")</f>
        <v/>
      </c>
      <c r="V22">
        <f>HYPERLINK("https://klasma.github.io/Logging_2081/klagomål/A 66569-2019 FSC-klagomål.docx", "A 66569-2019")</f>
        <v/>
      </c>
      <c r="W22">
        <f>HYPERLINK("https://klasma.github.io/Logging_2081/klagomålsmail/A 66569-2019 FSC-klagomål mail.docx", "A 66569-2019")</f>
        <v/>
      </c>
      <c r="X22">
        <f>HYPERLINK("https://klasma.github.io/Logging_2081/tillsyn/A 66569-2019 tillsynsbegäran.docx", "A 66569-2019")</f>
        <v/>
      </c>
      <c r="Y22">
        <f>HYPERLINK("https://klasma.github.io/Logging_2081/tillsynsmail/A 66569-2019 tillsynsbegäran mail.docx", "A 66569-2019")</f>
        <v/>
      </c>
    </row>
    <row r="23" ht="15" customHeight="1">
      <c r="A23" t="inlineStr">
        <is>
          <t>A 6094-2022</t>
        </is>
      </c>
      <c r="B23" s="1" t="n">
        <v>44599</v>
      </c>
      <c r="C23" s="1" t="n">
        <v>45707</v>
      </c>
      <c r="D23" t="inlineStr">
        <is>
          <t>DALARNAS LÄN</t>
        </is>
      </c>
      <c r="E23" t="inlineStr">
        <is>
          <t>BORLÄNGE</t>
        </is>
      </c>
      <c r="G23" t="n">
        <v>19.7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Bronshjon
Rödgul trumpetsvamp</t>
        </is>
      </c>
      <c r="S23">
        <f>HYPERLINK("https://klasma.github.io/Logging_2081/artfynd/A 6094-2022 artfynd.xlsx", "A 6094-2022")</f>
        <v/>
      </c>
      <c r="T23">
        <f>HYPERLINK("https://klasma.github.io/Logging_2081/kartor/A 6094-2022 karta.png", "A 6094-2022")</f>
        <v/>
      </c>
      <c r="V23">
        <f>HYPERLINK("https://klasma.github.io/Logging_2081/klagomål/A 6094-2022 FSC-klagomål.docx", "A 6094-2022")</f>
        <v/>
      </c>
      <c r="W23">
        <f>HYPERLINK("https://klasma.github.io/Logging_2081/klagomålsmail/A 6094-2022 FSC-klagomål mail.docx", "A 6094-2022")</f>
        <v/>
      </c>
      <c r="X23">
        <f>HYPERLINK("https://klasma.github.io/Logging_2081/tillsyn/A 6094-2022 tillsynsbegäran.docx", "A 6094-2022")</f>
        <v/>
      </c>
      <c r="Y23">
        <f>HYPERLINK("https://klasma.github.io/Logging_2081/tillsynsmail/A 6094-2022 tillsynsbegäran mail.docx", "A 6094-2022")</f>
        <v/>
      </c>
    </row>
    <row r="24" ht="15" customHeight="1">
      <c r="A24" t="inlineStr">
        <is>
          <t>A 6972-2022</t>
        </is>
      </c>
      <c r="B24" s="1" t="n">
        <v>44603</v>
      </c>
      <c r="C24" s="1" t="n">
        <v>45707</v>
      </c>
      <c r="D24" t="inlineStr">
        <is>
          <t>DALARNAS LÄN</t>
        </is>
      </c>
      <c r="E24" t="inlineStr">
        <is>
          <t>BORLÄNGE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Leptoporus mollis
Talltita
Mattlummer</t>
        </is>
      </c>
      <c r="S24">
        <f>HYPERLINK("https://klasma.github.io/Logging_2081/artfynd/A 6972-2022 artfynd.xlsx", "A 6972-2022")</f>
        <v/>
      </c>
      <c r="T24">
        <f>HYPERLINK("https://klasma.github.io/Logging_2081/kartor/A 6972-2022 karta.png", "A 6972-2022")</f>
        <v/>
      </c>
      <c r="V24">
        <f>HYPERLINK("https://klasma.github.io/Logging_2081/klagomål/A 6972-2022 FSC-klagomål.docx", "A 6972-2022")</f>
        <v/>
      </c>
      <c r="W24">
        <f>HYPERLINK("https://klasma.github.io/Logging_2081/klagomålsmail/A 6972-2022 FSC-klagomål mail.docx", "A 6972-2022")</f>
        <v/>
      </c>
      <c r="X24">
        <f>HYPERLINK("https://klasma.github.io/Logging_2081/tillsyn/A 6972-2022 tillsynsbegäran.docx", "A 6972-2022")</f>
        <v/>
      </c>
      <c r="Y24">
        <f>HYPERLINK("https://klasma.github.io/Logging_2081/tillsynsmail/A 6972-2022 tillsynsbegäran mail.docx", "A 6972-2022")</f>
        <v/>
      </c>
      <c r="Z24">
        <f>HYPERLINK("https://klasma.github.io/Logging_2081/fåglar/A 6972-2022 prioriterade fågelarter.docx", "A 6972-2022")</f>
        <v/>
      </c>
    </row>
    <row r="25" ht="15" customHeight="1">
      <c r="A25" t="inlineStr">
        <is>
          <t>A 59665-2022</t>
        </is>
      </c>
      <c r="B25" s="1" t="n">
        <v>44908</v>
      </c>
      <c r="C25" s="1" t="n">
        <v>45707</v>
      </c>
      <c r="D25" t="inlineStr">
        <is>
          <t>DALARNAS LÄN</t>
        </is>
      </c>
      <c r="E25" t="inlineStr">
        <is>
          <t>BORLÄNGE</t>
        </is>
      </c>
      <c r="G25" t="n">
        <v>16.1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Tjäder
Fläcknycklar</t>
        </is>
      </c>
      <c r="S25">
        <f>HYPERLINK("https://klasma.github.io/Logging_2081/artfynd/A 59665-2022 artfynd.xlsx", "A 59665-2022")</f>
        <v/>
      </c>
      <c r="T25">
        <f>HYPERLINK("https://klasma.github.io/Logging_2081/kartor/A 59665-2022 karta.png", "A 59665-2022")</f>
        <v/>
      </c>
      <c r="U25">
        <f>HYPERLINK("https://klasma.github.io/Logging_2081/knärot/A 59665-2022 karta knärot.png", "A 59665-2022")</f>
        <v/>
      </c>
      <c r="V25">
        <f>HYPERLINK("https://klasma.github.io/Logging_2081/klagomål/A 59665-2022 FSC-klagomål.docx", "A 59665-2022")</f>
        <v/>
      </c>
      <c r="W25">
        <f>HYPERLINK("https://klasma.github.io/Logging_2081/klagomålsmail/A 59665-2022 FSC-klagomål mail.docx", "A 59665-2022")</f>
        <v/>
      </c>
      <c r="X25">
        <f>HYPERLINK("https://klasma.github.io/Logging_2081/tillsyn/A 59665-2022 tillsynsbegäran.docx", "A 59665-2022")</f>
        <v/>
      </c>
      <c r="Y25">
        <f>HYPERLINK("https://klasma.github.io/Logging_2081/tillsynsmail/A 59665-2022 tillsynsbegäran mail.docx", "A 59665-2022")</f>
        <v/>
      </c>
      <c r="Z25">
        <f>HYPERLINK("https://klasma.github.io/Logging_2081/fåglar/A 59665-2022 prioriterade fågelarter.docx", "A 59665-2022")</f>
        <v/>
      </c>
    </row>
    <row r="26" ht="15" customHeight="1">
      <c r="A26" t="inlineStr">
        <is>
          <t>A 22913-2023</t>
        </is>
      </c>
      <c r="B26" s="1" t="n">
        <v>45072</v>
      </c>
      <c r="C26" s="1" t="n">
        <v>45707</v>
      </c>
      <c r="D26" t="inlineStr">
        <is>
          <t>DALARNAS LÄN</t>
        </is>
      </c>
      <c r="E26" t="inlineStr">
        <is>
          <t>BORLÄNGE</t>
        </is>
      </c>
      <c r="G26" t="n">
        <v>3.2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Knärot
Rynkskinn
Ullticka</t>
        </is>
      </c>
      <c r="S26">
        <f>HYPERLINK("https://klasma.github.io/Logging_2081/artfynd/A 22913-2023 artfynd.xlsx", "A 22913-2023")</f>
        <v/>
      </c>
      <c r="T26">
        <f>HYPERLINK("https://klasma.github.io/Logging_2081/kartor/A 22913-2023 karta.png", "A 22913-2023")</f>
        <v/>
      </c>
      <c r="U26">
        <f>HYPERLINK("https://klasma.github.io/Logging_2081/knärot/A 22913-2023 karta knärot.png", "A 22913-2023")</f>
        <v/>
      </c>
      <c r="V26">
        <f>HYPERLINK("https://klasma.github.io/Logging_2081/klagomål/A 22913-2023 FSC-klagomål.docx", "A 22913-2023")</f>
        <v/>
      </c>
      <c r="W26">
        <f>HYPERLINK("https://klasma.github.io/Logging_2081/klagomålsmail/A 22913-2023 FSC-klagomål mail.docx", "A 22913-2023")</f>
        <v/>
      </c>
      <c r="X26">
        <f>HYPERLINK("https://klasma.github.io/Logging_2081/tillsyn/A 22913-2023 tillsynsbegäran.docx", "A 22913-2023")</f>
        <v/>
      </c>
      <c r="Y26">
        <f>HYPERLINK("https://klasma.github.io/Logging_2081/tillsynsmail/A 22913-2023 tillsynsbegäran mail.docx", "A 22913-2023")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45707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1737-2024</t>
        </is>
      </c>
      <c r="B28" s="1" t="n">
        <v>45307</v>
      </c>
      <c r="C28" s="1" t="n">
        <v>45707</v>
      </c>
      <c r="D28" t="inlineStr">
        <is>
          <t>DALARNAS LÄN</t>
        </is>
      </c>
      <c r="E28" t="inlineStr">
        <is>
          <t>BORLÄNGE</t>
        </is>
      </c>
      <c r="G28" t="n">
        <v>2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Ullticka
Blodticka</t>
        </is>
      </c>
      <c r="S28">
        <f>HYPERLINK("https://klasma.github.io/Logging_2081/artfynd/A 1737-2024 artfynd.xlsx", "A 1737-2024")</f>
        <v/>
      </c>
      <c r="T28">
        <f>HYPERLINK("https://klasma.github.io/Logging_2081/kartor/A 1737-2024 karta.png", "A 1737-2024")</f>
        <v/>
      </c>
      <c r="V28">
        <f>HYPERLINK("https://klasma.github.io/Logging_2081/klagomål/A 1737-2024 FSC-klagomål.docx", "A 1737-2024")</f>
        <v/>
      </c>
      <c r="W28">
        <f>HYPERLINK("https://klasma.github.io/Logging_2081/klagomålsmail/A 1737-2024 FSC-klagomål mail.docx", "A 1737-2024")</f>
        <v/>
      </c>
      <c r="X28">
        <f>HYPERLINK("https://klasma.github.io/Logging_2081/tillsyn/A 1737-2024 tillsynsbegäran.docx", "A 1737-2024")</f>
        <v/>
      </c>
      <c r="Y28">
        <f>HYPERLINK("https://klasma.github.io/Logging_2081/tillsynsmail/A 1737-2024 tillsynsbegäran mail.docx", "A 1737-2024")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45707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45707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</v>
      </c>
      <c r="C31" s="1" t="n">
        <v>45707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67989-2019</t>
        </is>
      </c>
      <c r="B32" s="1" t="n">
        <v>43811</v>
      </c>
      <c r="C32" s="1" t="n">
        <v>45707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 taggsvamp
Blåsippa</t>
        </is>
      </c>
      <c r="S32">
        <f>HYPERLINK("https://klasma.github.io/Logging_2081/artfynd/A 67989-2019 artfynd.xlsx", "A 67989-2019")</f>
        <v/>
      </c>
      <c r="T32">
        <f>HYPERLINK("https://klasma.github.io/Logging_2081/kartor/A 67989-2019 karta.png", "A 67989-2019")</f>
        <v/>
      </c>
      <c r="V32">
        <f>HYPERLINK("https://klasma.github.io/Logging_2081/klagomål/A 67989-2019 FSC-klagomål.docx", "A 67989-2019")</f>
        <v/>
      </c>
      <c r="W32">
        <f>HYPERLINK("https://klasma.github.io/Logging_2081/klagomålsmail/A 67989-2019 FSC-klagomål mail.docx", "A 67989-2019")</f>
        <v/>
      </c>
      <c r="X32">
        <f>HYPERLINK("https://klasma.github.io/Logging_2081/tillsyn/A 67989-2019 tillsynsbegäran.docx", "A 67989-2019")</f>
        <v/>
      </c>
      <c r="Y32">
        <f>HYPERLINK("https://klasma.github.io/Logging_2081/tillsynsmail/A 67989-2019 tillsynsbegäran mail.docx", "A 67989-2019")</f>
        <v/>
      </c>
    </row>
    <row r="33" ht="15" customHeight="1">
      <c r="A33" t="inlineStr">
        <is>
          <t>A 29908-2021</t>
        </is>
      </c>
      <c r="B33" s="1" t="n">
        <v>44362</v>
      </c>
      <c r="C33" s="1" t="n">
        <v>45707</v>
      </c>
      <c r="D33" t="inlineStr">
        <is>
          <t>DALARNAS LÄN</t>
        </is>
      </c>
      <c r="E33" t="inlineStr">
        <is>
          <t>BORLÄNGE</t>
        </is>
      </c>
      <c r="G33" t="n">
        <v>4.6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Violettgrå tagellav
Dropptaggsvamp</t>
        </is>
      </c>
      <c r="S33">
        <f>HYPERLINK("https://klasma.github.io/Logging_2081/artfynd/A 29908-2021 artfynd.xlsx", "A 29908-2021")</f>
        <v/>
      </c>
      <c r="T33">
        <f>HYPERLINK("https://klasma.github.io/Logging_2081/kartor/A 29908-2021 karta.png", "A 29908-2021")</f>
        <v/>
      </c>
      <c r="V33">
        <f>HYPERLINK("https://klasma.github.io/Logging_2081/klagomål/A 29908-2021 FSC-klagomål.docx", "A 29908-2021")</f>
        <v/>
      </c>
      <c r="W33">
        <f>HYPERLINK("https://klasma.github.io/Logging_2081/klagomålsmail/A 29908-2021 FSC-klagomål mail.docx", "A 29908-2021")</f>
        <v/>
      </c>
      <c r="X33">
        <f>HYPERLINK("https://klasma.github.io/Logging_2081/tillsyn/A 29908-2021 tillsynsbegäran.docx", "A 29908-2021")</f>
        <v/>
      </c>
      <c r="Y33">
        <f>HYPERLINK("https://klasma.github.io/Logging_2081/tillsynsmail/A 29908-2021 tillsynsbegäran mail.docx", "A 29908-2021")</f>
        <v/>
      </c>
    </row>
    <row r="34" ht="15" customHeight="1">
      <c r="A34" t="inlineStr">
        <is>
          <t>A 40578-2021</t>
        </is>
      </c>
      <c r="B34" s="1" t="n">
        <v>44420</v>
      </c>
      <c r="C34" s="1" t="n">
        <v>45707</v>
      </c>
      <c r="D34" t="inlineStr">
        <is>
          <t>DALARNAS LÄN</t>
        </is>
      </c>
      <c r="E34" t="inlineStr">
        <is>
          <t>BORLÄNGE</t>
        </is>
      </c>
      <c r="G34" t="n">
        <v>3.8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HYPERLINK("https://klasma.github.io/Logging_2081/artfynd/A 40578-2021 artfynd.xlsx", "A 40578-2021")</f>
        <v/>
      </c>
      <c r="T34">
        <f>HYPERLINK("https://klasma.github.io/Logging_2081/kartor/A 40578-2021 karta.png", "A 40578-2021")</f>
        <v/>
      </c>
      <c r="U34">
        <f>HYPERLINK("https://klasma.github.io/Logging_2081/knärot/A 40578-2021 karta knärot.png", "A 40578-2021")</f>
        <v/>
      </c>
      <c r="V34">
        <f>HYPERLINK("https://klasma.github.io/Logging_2081/klagomål/A 40578-2021 FSC-klagomål.docx", "A 40578-2021")</f>
        <v/>
      </c>
      <c r="W34">
        <f>HYPERLINK("https://klasma.github.io/Logging_2081/klagomålsmail/A 40578-2021 FSC-klagomål mail.docx", "A 40578-2021")</f>
        <v/>
      </c>
      <c r="X34">
        <f>HYPERLINK("https://klasma.github.io/Logging_2081/tillsyn/A 40578-2021 tillsynsbegäran.docx", "A 40578-2021")</f>
        <v/>
      </c>
      <c r="Y34">
        <f>HYPERLINK("https://klasma.github.io/Logging_2081/tillsynsmail/A 40578-2021 tillsynsbegäran mail.docx", "A 40578-2021")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45707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51992-2021</t>
        </is>
      </c>
      <c r="B36" s="1" t="n">
        <v>44463</v>
      </c>
      <c r="C36" s="1" t="n">
        <v>45707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Rödgul trumpetsvamp</t>
        </is>
      </c>
      <c r="S36">
        <f>HYPERLINK("https://klasma.github.io/Logging_2081/artfynd/A 51992-2021 artfynd.xlsx", "A 51992-2021")</f>
        <v/>
      </c>
      <c r="T36">
        <f>HYPERLINK("https://klasma.github.io/Logging_2081/kartor/A 51992-2021 karta.png", "A 51992-2021")</f>
        <v/>
      </c>
      <c r="V36">
        <f>HYPERLINK("https://klasma.github.io/Logging_2081/klagomål/A 51992-2021 FSC-klagomål.docx", "A 51992-2021")</f>
        <v/>
      </c>
      <c r="W36">
        <f>HYPERLINK("https://klasma.github.io/Logging_2081/klagomålsmail/A 51992-2021 FSC-klagomål mail.docx", "A 51992-2021")</f>
        <v/>
      </c>
      <c r="X36">
        <f>HYPERLINK("https://klasma.github.io/Logging_2081/tillsyn/A 51992-2021 tillsynsbegäran.docx", "A 51992-2021")</f>
        <v/>
      </c>
      <c r="Y36">
        <f>HYPERLINK("https://klasma.github.io/Logging_2081/tillsynsmail/A 51992-2021 tillsynsbegäran mail.docx", "A 51992-2021")</f>
        <v/>
      </c>
    </row>
    <row r="37" ht="15" customHeight="1">
      <c r="A37" t="inlineStr">
        <is>
          <t>A 58556-2021</t>
        </is>
      </c>
      <c r="B37" s="1" t="n">
        <v>44488</v>
      </c>
      <c r="C37" s="1" t="n">
        <v>45707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58556-2021 artfynd.xlsx", "A 58556-2021")</f>
        <v/>
      </c>
      <c r="T37">
        <f>HYPERLINK("https://klasma.github.io/Logging_2081/kartor/A 58556-2021 karta.png", "A 58556-2021")</f>
        <v/>
      </c>
      <c r="V37">
        <f>HYPERLINK("https://klasma.github.io/Logging_2081/klagomål/A 58556-2021 FSC-klagomål.docx", "A 58556-2021")</f>
        <v/>
      </c>
      <c r="W37">
        <f>HYPERLINK("https://klasma.github.io/Logging_2081/klagomålsmail/A 58556-2021 FSC-klagomål mail.docx", "A 58556-2021")</f>
        <v/>
      </c>
      <c r="X37">
        <f>HYPERLINK("https://klasma.github.io/Logging_2081/tillsyn/A 58556-2021 tillsynsbegäran.docx", "A 58556-2021")</f>
        <v/>
      </c>
      <c r="Y37">
        <f>HYPERLINK("https://klasma.github.io/Logging_2081/tillsynsmail/A 58556-2021 tillsynsbegäran mail.docx", "A 58556-2021")</f>
        <v/>
      </c>
      <c r="Z37">
        <f>HYPERLINK("https://klasma.github.io/Logging_2081/fåglar/A 58556-2021 prioriterade fågelarter.docx", "A 58556-2021")</f>
        <v/>
      </c>
    </row>
    <row r="38" ht="15" customHeight="1">
      <c r="A38" t="inlineStr">
        <is>
          <t>A 59701-2021</t>
        </is>
      </c>
      <c r="B38" s="1" t="n">
        <v>44494</v>
      </c>
      <c r="C38" s="1" t="n">
        <v>45707</v>
      </c>
      <c r="D38" t="inlineStr">
        <is>
          <t>DALARNAS LÄN</t>
        </is>
      </c>
      <c r="E38" t="inlineStr">
        <is>
          <t>BORLÄNGE</t>
        </is>
      </c>
      <c r="G38" t="n">
        <v>3.9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Svavelriska</t>
        </is>
      </c>
      <c r="S38">
        <f>HYPERLINK("https://klasma.github.io/Logging_2081/artfynd/A 59701-2021 artfynd.xlsx", "A 59701-2021")</f>
        <v/>
      </c>
      <c r="T38">
        <f>HYPERLINK("https://klasma.github.io/Logging_2081/kartor/A 59701-2021 karta.png", "A 59701-2021")</f>
        <v/>
      </c>
      <c r="V38">
        <f>HYPERLINK("https://klasma.github.io/Logging_2081/klagomål/A 59701-2021 FSC-klagomål.docx", "A 59701-2021")</f>
        <v/>
      </c>
      <c r="W38">
        <f>HYPERLINK("https://klasma.github.io/Logging_2081/klagomålsmail/A 59701-2021 FSC-klagomål mail.docx", "A 59701-2021")</f>
        <v/>
      </c>
      <c r="X38">
        <f>HYPERLINK("https://klasma.github.io/Logging_2081/tillsyn/A 59701-2021 tillsynsbegäran.docx", "A 59701-2021")</f>
        <v/>
      </c>
      <c r="Y38">
        <f>HYPERLINK("https://klasma.github.io/Logging_2081/tillsynsmail/A 59701-2021 tillsynsbegäran mail.docx", "A 59701-2021")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45707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52510-2022</t>
        </is>
      </c>
      <c r="B40" s="1" t="n">
        <v>44874</v>
      </c>
      <c r="C40" s="1" t="n">
        <v>45707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Gränsticka
Vedticka</t>
        </is>
      </c>
      <c r="S40">
        <f>HYPERLINK("https://klasma.github.io/Logging_2081/artfynd/A 52510-2022 artfynd.xlsx", "A 52510-2022")</f>
        <v/>
      </c>
      <c r="T40">
        <f>HYPERLINK("https://klasma.github.io/Logging_2081/kartor/A 52510-2022 karta.png", "A 52510-2022")</f>
        <v/>
      </c>
      <c r="V40">
        <f>HYPERLINK("https://klasma.github.io/Logging_2081/klagomål/A 52510-2022 FSC-klagomål.docx", "A 52510-2022")</f>
        <v/>
      </c>
      <c r="W40">
        <f>HYPERLINK("https://klasma.github.io/Logging_2081/klagomålsmail/A 52510-2022 FSC-klagomål mail.docx", "A 52510-2022")</f>
        <v/>
      </c>
      <c r="X40">
        <f>HYPERLINK("https://klasma.github.io/Logging_2081/tillsyn/A 52510-2022 tillsynsbegäran.docx", "A 52510-2022")</f>
        <v/>
      </c>
      <c r="Y40">
        <f>HYPERLINK("https://klasma.github.io/Logging_2081/tillsynsmail/A 52510-2022 tillsynsbegäran mail.docx", "A 52510-2022")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45707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12444-2023</t>
        </is>
      </c>
      <c r="B42" s="1" t="n">
        <v>44999</v>
      </c>
      <c r="C42" s="1" t="n">
        <v>45707</v>
      </c>
      <c r="D42" t="inlineStr">
        <is>
          <t>DALARNAS LÄN</t>
        </is>
      </c>
      <c r="E42" t="inlineStr">
        <is>
          <t>BORLÄNGE</t>
        </is>
      </c>
      <c r="G42" t="n">
        <v>7.5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Talltita</t>
        </is>
      </c>
      <c r="S42">
        <f>HYPERLINK("https://klasma.github.io/Logging_2081/artfynd/A 12444-2023 artfynd.xlsx", "A 12444-2023")</f>
        <v/>
      </c>
      <c r="T42">
        <f>HYPERLINK("https://klasma.github.io/Logging_2081/kartor/A 12444-2023 karta.png", "A 12444-2023")</f>
        <v/>
      </c>
      <c r="V42">
        <f>HYPERLINK("https://klasma.github.io/Logging_2081/klagomål/A 12444-2023 FSC-klagomål.docx", "A 12444-2023")</f>
        <v/>
      </c>
      <c r="W42">
        <f>HYPERLINK("https://klasma.github.io/Logging_2081/klagomålsmail/A 12444-2023 FSC-klagomål mail.docx", "A 12444-2023")</f>
        <v/>
      </c>
      <c r="X42">
        <f>HYPERLINK("https://klasma.github.io/Logging_2081/tillsyn/A 12444-2023 tillsynsbegäran.docx", "A 12444-2023")</f>
        <v/>
      </c>
      <c r="Y42">
        <f>HYPERLINK("https://klasma.github.io/Logging_2081/tillsynsmail/A 12444-2023 tillsynsbegäran mail.docx", "A 12444-2023")</f>
        <v/>
      </c>
      <c r="Z42">
        <f>HYPERLINK("https://klasma.github.io/Logging_2081/fåglar/A 12444-2023 prioriterade fågelarter.docx", "A 12444-2023")</f>
        <v/>
      </c>
    </row>
    <row r="43" ht="15" customHeight="1">
      <c r="A43" t="inlineStr">
        <is>
          <t>A 14651-2023</t>
        </is>
      </c>
      <c r="B43" s="1" t="n">
        <v>45013</v>
      </c>
      <c r="C43" s="1" t="n">
        <v>45707</v>
      </c>
      <c r="D43" t="inlineStr">
        <is>
          <t>DALARNAS LÄN</t>
        </is>
      </c>
      <c r="E43" t="inlineStr">
        <is>
          <t>BORLÄNGE</t>
        </is>
      </c>
      <c r="G43" t="n">
        <v>16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HYPERLINK("https://klasma.github.io/Logging_2081/artfynd/A 14651-2023 artfynd.xlsx", "A 14651-2023")</f>
        <v/>
      </c>
      <c r="T43">
        <f>HYPERLINK("https://klasma.github.io/Logging_2081/kartor/A 14651-2023 karta.png", "A 14651-2023")</f>
        <v/>
      </c>
      <c r="U43">
        <f>HYPERLINK("https://klasma.github.io/Logging_2081/knärot/A 14651-2023 karta knärot.png", "A 14651-2023")</f>
        <v/>
      </c>
      <c r="V43">
        <f>HYPERLINK("https://klasma.github.io/Logging_2081/klagomål/A 14651-2023 FSC-klagomål.docx", "A 14651-2023")</f>
        <v/>
      </c>
      <c r="W43">
        <f>HYPERLINK("https://klasma.github.io/Logging_2081/klagomålsmail/A 14651-2023 FSC-klagomål mail.docx", "A 14651-2023")</f>
        <v/>
      </c>
      <c r="X43">
        <f>HYPERLINK("https://klasma.github.io/Logging_2081/tillsyn/A 14651-2023 tillsynsbegäran.docx", "A 14651-2023")</f>
        <v/>
      </c>
      <c r="Y43">
        <f>HYPERLINK("https://klasma.github.io/Logging_2081/tillsynsmail/A 14651-2023 tillsynsbegäran mail.docx", "A 14651-2023")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45707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45707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31680-2023</t>
        </is>
      </c>
      <c r="B46" s="1" t="n">
        <v>45117</v>
      </c>
      <c r="C46" s="1" t="n">
        <v>45707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Vågbandad barkbock
Blåsippa</t>
        </is>
      </c>
      <c r="S46">
        <f>HYPERLINK("https://klasma.github.io/Logging_2081/artfynd/A 31680-2023 artfynd.xlsx", "A 31680-2023")</f>
        <v/>
      </c>
      <c r="T46">
        <f>HYPERLINK("https://klasma.github.io/Logging_2081/kartor/A 31680-2023 karta.png", "A 31680-2023")</f>
        <v/>
      </c>
      <c r="U46">
        <f>HYPERLINK("https://klasma.github.io/Logging_2081/knärot/A 31680-2023 karta knärot.png", "A 31680-2023")</f>
        <v/>
      </c>
      <c r="V46">
        <f>HYPERLINK("https://klasma.github.io/Logging_2081/klagomål/A 31680-2023 FSC-klagomål.docx", "A 31680-2023")</f>
        <v/>
      </c>
      <c r="W46">
        <f>HYPERLINK("https://klasma.github.io/Logging_2081/klagomålsmail/A 31680-2023 FSC-klagomål mail.docx", "A 31680-2023")</f>
        <v/>
      </c>
      <c r="X46">
        <f>HYPERLINK("https://klasma.github.io/Logging_2081/tillsyn/A 31680-2023 tillsynsbegäran.docx", "A 31680-2023")</f>
        <v/>
      </c>
      <c r="Y46">
        <f>HYPERLINK("https://klasma.github.io/Logging_2081/tillsynsmail/A 31680-2023 tillsynsbegäran mail.docx", "A 31680-2023")</f>
        <v/>
      </c>
    </row>
    <row r="47" ht="15" customHeight="1">
      <c r="A47" t="inlineStr">
        <is>
          <t>A 54154-2023</t>
        </is>
      </c>
      <c r="B47" s="1" t="n">
        <v>45232</v>
      </c>
      <c r="C47" s="1" t="n">
        <v>45707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45707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1750-2024</t>
        </is>
      </c>
      <c r="B49" s="1" t="n">
        <v>45307</v>
      </c>
      <c r="C49" s="1" t="n">
        <v>45707</v>
      </c>
      <c r="D49" t="inlineStr">
        <is>
          <t>DALARNAS LÄN</t>
        </is>
      </c>
      <c r="E49" t="inlineStr">
        <is>
          <t>BORLÄNGE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Revlummer</t>
        </is>
      </c>
      <c r="S49">
        <f>HYPERLINK("https://klasma.github.io/Logging_2081/artfynd/A 1750-2024 artfynd.xlsx", "A 1750-2024")</f>
        <v/>
      </c>
      <c r="T49">
        <f>HYPERLINK("https://klasma.github.io/Logging_2081/kartor/A 1750-2024 karta.png", "A 1750-2024")</f>
        <v/>
      </c>
      <c r="V49">
        <f>HYPERLINK("https://klasma.github.io/Logging_2081/klagomål/A 1750-2024 FSC-klagomål.docx", "A 1750-2024")</f>
        <v/>
      </c>
      <c r="W49">
        <f>HYPERLINK("https://klasma.github.io/Logging_2081/klagomålsmail/A 1750-2024 FSC-klagomål mail.docx", "A 1750-2024")</f>
        <v/>
      </c>
      <c r="X49">
        <f>HYPERLINK("https://klasma.github.io/Logging_2081/tillsyn/A 1750-2024 tillsynsbegäran.docx", "A 1750-2024")</f>
        <v/>
      </c>
      <c r="Y49">
        <f>HYPERLINK("https://klasma.github.io/Logging_2081/tillsynsmail/A 1750-2024 tillsynsbegäran mail.docx", "A 1750-2024")</f>
        <v/>
      </c>
    </row>
    <row r="50" ht="15" customHeight="1">
      <c r="A50" t="inlineStr">
        <is>
          <t>A 10740-2024</t>
        </is>
      </c>
      <c r="B50" s="1" t="n">
        <v>45369</v>
      </c>
      <c r="C50" s="1" t="n">
        <v>45707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19650-2024</t>
        </is>
      </c>
      <c r="B51" s="1" t="n">
        <v>45432</v>
      </c>
      <c r="C51" s="1" t="n">
        <v>45707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37723-2024</t>
        </is>
      </c>
      <c r="B52" s="1" t="n">
        <v>45541</v>
      </c>
      <c r="C52" s="1" t="n">
        <v>45707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3060-2025</t>
        </is>
      </c>
      <c r="B53" s="1" t="n">
        <v>45678</v>
      </c>
      <c r="C53" s="1" t="n">
        <v>45707</v>
      </c>
      <c r="D53" t="inlineStr">
        <is>
          <t>DALARNAS LÄN</t>
        </is>
      </c>
      <c r="E53" t="inlineStr">
        <is>
          <t>BORLÄNGE</t>
        </is>
      </c>
      <c r="F53" t="inlineStr">
        <is>
          <t>Kommuner</t>
        </is>
      </c>
      <c r="G53" t="n">
        <v>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Rynkskinn
Ullticka</t>
        </is>
      </c>
      <c r="S53">
        <f>HYPERLINK("https://klasma.github.io/Logging_2081/artfynd/A 3060-2025 artfynd.xlsx", "A 3060-2025")</f>
        <v/>
      </c>
      <c r="T53">
        <f>HYPERLINK("https://klasma.github.io/Logging_2081/kartor/A 3060-2025 karta.png", "A 3060-2025")</f>
        <v/>
      </c>
      <c r="V53">
        <f>HYPERLINK("https://klasma.github.io/Logging_2081/klagomål/A 3060-2025 FSC-klagomål.docx", "A 3060-2025")</f>
        <v/>
      </c>
      <c r="W53">
        <f>HYPERLINK("https://klasma.github.io/Logging_2081/klagomålsmail/A 3060-2025 FSC-klagomål mail.docx", "A 3060-2025")</f>
        <v/>
      </c>
      <c r="X53">
        <f>HYPERLINK("https://klasma.github.io/Logging_2081/tillsyn/A 3060-2025 tillsynsbegäran.docx", "A 3060-2025")</f>
        <v/>
      </c>
      <c r="Y53">
        <f>HYPERLINK("https://klasma.github.io/Logging_2081/tillsynsmail/A 3060-2025 tillsynsbegäran mail.docx", "A 3060-2025")</f>
        <v/>
      </c>
    </row>
    <row r="54" ht="15" customHeight="1">
      <c r="A54" t="inlineStr">
        <is>
          <t>A 3067-2025</t>
        </is>
      </c>
      <c r="B54" s="1" t="n">
        <v>45678</v>
      </c>
      <c r="C54" s="1" t="n">
        <v>45707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HYPERLINK("https://klasma.github.io/Logging_2081/artfynd/A 3067-2025 artfynd.xlsx", "A 3067-2025")</f>
        <v/>
      </c>
      <c r="T54">
        <f>HYPERLINK("https://klasma.github.io/Logging_2081/kartor/A 3067-2025 karta.png", "A 3067-2025")</f>
        <v/>
      </c>
      <c r="V54">
        <f>HYPERLINK("https://klasma.github.io/Logging_2081/klagomål/A 3067-2025 FSC-klagomål.docx", "A 3067-2025")</f>
        <v/>
      </c>
      <c r="W54">
        <f>HYPERLINK("https://klasma.github.io/Logging_2081/klagomålsmail/A 3067-2025 FSC-klagomål mail.docx", "A 3067-2025")</f>
        <v/>
      </c>
      <c r="X54">
        <f>HYPERLINK("https://klasma.github.io/Logging_2081/tillsyn/A 3067-2025 tillsynsbegäran.docx", "A 3067-2025")</f>
        <v/>
      </c>
      <c r="Y54">
        <f>HYPERLINK("https://klasma.github.io/Logging_2081/tillsynsmail/A 3067-2025 tillsynsbegäran mail.docx", "A 3067-2025")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45707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45707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45707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45707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45707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45707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45707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45707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45707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45707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45707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45707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45707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45707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45707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45707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45707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45707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45707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45707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45707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45707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45707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45707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45707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45707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45707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45707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45707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45707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45707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45707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45707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45707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45707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45707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45707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45707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45707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45707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45707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45707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45707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45707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45707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45707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45707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45707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45707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45707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45707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45707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45707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45707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45707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45707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45707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45707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45707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45707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45707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45707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45707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45707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45707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45707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45707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45707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45707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45707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45707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45707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45707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45707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45707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45707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45707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45707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45707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45707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45707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45707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45707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45707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45707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45707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45707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45707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45707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45707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45707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45707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45707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45707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45707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45707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45707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45707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45707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45707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45707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45707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45707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45707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45707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45707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45707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45707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45707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45707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45707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45707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45707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45707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45707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45707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45707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45707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45707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45707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45707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45707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45707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45707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45707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45707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45707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45707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45707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45707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45707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45707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45707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45707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45707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45707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45707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45707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45707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45707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45707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45707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45707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45707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45707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45707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45707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45707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45707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45707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45707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45707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45707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45707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45707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45707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45707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45707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45707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45707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45707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45707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45707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45707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45707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45707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45707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45707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45707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45707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45707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45707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45707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45707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45707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45707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45707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45707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45707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45707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45707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45707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45707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45707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45707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45707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45707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45707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45707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45707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45707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45707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45707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45707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45707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45707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45707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45707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45707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45707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45707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45707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45707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45707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45707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45707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45707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45707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45707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45707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45707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45707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45707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45707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45707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45707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45707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45707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45707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45707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45707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45707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45707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45707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45707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45707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45707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45707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45707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45707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45707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45707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45707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45707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45707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45707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45707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45707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45707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45707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45707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45707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45707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45707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45707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45707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45707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45707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45707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45707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45707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45707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45707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45707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45707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45707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45707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45707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45707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45707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45707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45707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45707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45707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45707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45707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45707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45707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45707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45707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45707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45707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45707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45707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45707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45707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45707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45707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45707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45707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45707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45707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45707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45707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45707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45707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45707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45707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45707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45707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45707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45707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45707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45707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45707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45707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45707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45707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45707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45707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45707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45707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45707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45707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45707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45707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45707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45707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45707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45707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45707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45707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45707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45707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45707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45707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45707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45707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45707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45707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45707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45707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45707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45707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45707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45707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45707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45707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45707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45707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45707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45707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45707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45707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45707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45707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45707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45707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45707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45707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45707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45707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45707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45707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45707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45707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45707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45707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45707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45707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45707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45707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45707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45707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45707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45707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45707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45707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45707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45707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45707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45707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45707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45707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45707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45707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45707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45707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45707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45707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45707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45707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45707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45707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45707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45707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45707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45707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45707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45707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45707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45707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45707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45707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45707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45707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45707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45707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45707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45707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45707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45707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45707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45707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45707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45707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45707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45707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45707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45707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45707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45707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45707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45707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45707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45707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45707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45707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45707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45707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45707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45707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45707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45707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45707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45707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45707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45707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45707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45707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45707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45707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45707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45707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45707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45707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45707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45707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45707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45707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45707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45707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45707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45707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45707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45707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45707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45707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45707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45707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45707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45707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45707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45707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45707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45707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45707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45707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45707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45707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45707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45707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45707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45707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45707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45707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45707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45707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45707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45707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45707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45707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45707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45707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45707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45707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45707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45707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45707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45707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45707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45707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45707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45707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45707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45707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45707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45707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45707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45707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45707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45707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45707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45707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45707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45707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45707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45707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45707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45707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45707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45707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45707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45707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45707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45707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45707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45707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45707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45707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45707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45707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45707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45707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45707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45707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45707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45707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45707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45707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45707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45707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45707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45707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45707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45707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45707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45707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45707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45707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45707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45707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45707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45707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45707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45707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45707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45707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45707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45707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45707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45707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45707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45707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45707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45707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45707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45707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45707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45707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45707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45707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45707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45707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45707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45707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45707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45707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45707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45707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45707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45707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45707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45707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45707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45707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45707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45707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45707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45707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45707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45707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45707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45707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45707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45707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45707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45707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45707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45707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45707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45707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45707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45707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45707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45707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45707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45707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45707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45707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45707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45707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45707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45707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45707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45707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45707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45707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45707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45707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45707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45707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45707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45707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45707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45707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45707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45707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45707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45707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45707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45707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45707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45707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45707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45707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45707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45707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45707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45707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7194-2025</t>
        </is>
      </c>
      <c r="B665" s="1" t="n">
        <v>45702</v>
      </c>
      <c r="C665" s="1" t="n">
        <v>45707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2025-02-19T16:53:29Z</dcterms:created>
  <dcterms:modified xmlns:dcterms="http://purl.org/dc/terms/" xmlns:xsi="http://www.w3.org/2001/XMLSchema-instance" xsi:type="dcterms:W3CDTF">2025-02-19T16:53:30Z</dcterms:modified>
</cp:coreProperties>
</file>