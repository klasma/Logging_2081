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46326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46326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46326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46326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46326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64675-2021</t>
        </is>
      </c>
      <c r="B7" t="inlineStr">
        <is>
          <t>avverkningsanmälan</t>
        </is>
      </c>
      <c r="C7" t="inlineStr">
        <is>
          <t>Föryngringsavverkning</t>
        </is>
      </c>
      <c r="D7" s="1" t="n">
        <v>44512</v>
      </c>
      <c r="E7" s="1" t="n">
        <v>46326</v>
      </c>
      <c r="F7" t="inlineStr">
        <is>
          <t>DALARNAS LÄN</t>
        </is>
      </c>
      <c r="G7" t="inlineStr">
        <is>
          <t>BORLÄNGE</t>
        </is>
      </c>
      <c r="I7" t="n">
        <v>15.5</v>
      </c>
      <c r="J7" t="n">
        <v>3</v>
      </c>
      <c r="K7" t="n">
        <v>1</v>
      </c>
      <c r="L7" t="n">
        <v>7</v>
      </c>
      <c r="M7" t="n">
        <v>1</v>
      </c>
      <c r="N7" t="n">
        <v>0</v>
      </c>
      <c r="O7" t="n">
        <v>0</v>
      </c>
      <c r="P7" t="n">
        <v>0</v>
      </c>
      <c r="Q7" t="n">
        <v>8</v>
      </c>
      <c r="R7" t="n">
        <v>1</v>
      </c>
      <c r="S7" t="n">
        <v>11</v>
      </c>
      <c r="T7" t="n">
        <v>47</v>
      </c>
      <c r="U7" t="n">
        <v>27</v>
      </c>
      <c r="V7" s="2" t="inlineStr">
        <is>
          <t>Garnlav
Blå taggsvamp
Doftskinn
Dropptaggsvamp
Rosenticka
Svartvit taggsvamp
Tretåig hackspett
Ullticka
Vedticka
Järpe
Tjäder</t>
        </is>
      </c>
      <c r="W7">
        <f>HYPERLINK("https://klasma.github.io/Logging_2081/artfynd/A 64675-2021 artfynd.xlsx", "A 64675-2021")</f>
        <v/>
      </c>
      <c r="X7">
        <f>HYPERLINK("https://klasma.github.io/Logging_2081/kartor/A 64675-2021 karta.png", "A 64675-2021")</f>
        <v/>
      </c>
      <c r="Y7">
        <f>HYPERLINK("https://klasma.github.io/Logging_2081/kartor_geotiff/A 64675-2021 georefererad karta.tif", "A 64675-2021")</f>
        <v/>
      </c>
      <c r="AA7">
        <f>HYPERLINK("https://klasma.github.io/Logging_2081/klagomål/A 64675-2021 FSC-klagomål.docx", "A 64675-2021")</f>
        <v/>
      </c>
      <c r="AB7">
        <f>HYPERLINK("https://klasma.github.io/Logging_2081/klagomålsmail/A 64675-2021 FSC-klagomål mail.docx", "A 64675-2021")</f>
        <v/>
      </c>
      <c r="AC7">
        <f>HYPERLINK("https://klasma.github.io/Logging_2081/tillsyn/A 64675-2021 tillsynsbegäran.docx", "A 64675-2021")</f>
        <v/>
      </c>
      <c r="AD7">
        <f>HYPERLINK("https://klasma.github.io/Logging_2081/tillsynsmail/A 64675-2021 tillsynsbegäran mail.docx", "A 64675-2021")</f>
        <v/>
      </c>
      <c r="AE7">
        <f>HYPERLINK("https://klasma.github.io/Logging_2081/fåglar/A 64675-2021 prioriterade fågelarter.docx", "A 64675-2021")</f>
        <v/>
      </c>
    </row>
    <row r="8" ht="15" customHeight="1">
      <c r="A8" t="inlineStr">
        <is>
          <t>A 37473-2025</t>
        </is>
      </c>
      <c r="B8" t="inlineStr">
        <is>
          <t>avverkningsanmälan</t>
        </is>
      </c>
      <c r="C8" t="inlineStr">
        <is>
          <t>Föryngringsavverkning</t>
        </is>
      </c>
      <c r="D8" s="1" t="n">
        <v>45877</v>
      </c>
      <c r="E8" s="1" t="n">
        <v>46326</v>
      </c>
      <c r="F8" t="inlineStr">
        <is>
          <t>DALARNAS LÄN</t>
        </is>
      </c>
      <c r="G8" t="inlineStr">
        <is>
          <t>BORLÄNGE</t>
        </is>
      </c>
      <c r="I8" t="n">
        <v>12.2</v>
      </c>
      <c r="J8" t="n">
        <v>4</v>
      </c>
      <c r="K8" t="n">
        <v>2</v>
      </c>
      <c r="L8" t="n">
        <v>5</v>
      </c>
      <c r="M8" t="n">
        <v>2</v>
      </c>
      <c r="N8" t="n">
        <v>0</v>
      </c>
      <c r="O8" t="n">
        <v>0</v>
      </c>
      <c r="P8" t="n">
        <v>0</v>
      </c>
      <c r="Q8" t="n">
        <v>7</v>
      </c>
      <c r="R8" t="n">
        <v>2</v>
      </c>
      <c r="S8" t="n">
        <v>11</v>
      </c>
      <c r="T8" t="n">
        <v>34</v>
      </c>
      <c r="U8" t="n">
        <v>9</v>
      </c>
      <c r="V8" s="2" t="inlineStr">
        <is>
          <t>Garnlav
Knärot
Dropptaggsvamp
Skarp dropptaggsvamp
Tretåig hackspett
Ullticka
Violettgrå tagellav
Bronshjon
Vedticka
Spillkråka
Fläcknycklar</t>
        </is>
      </c>
      <c r="W8">
        <f>HYPERLINK("https://klasma.github.io/Logging_2081/artfynd/A 37473-2025 artfynd.xlsx", "A 37473-2025")</f>
        <v/>
      </c>
      <c r="X8">
        <f>HYPERLINK("https://klasma.github.io/Logging_2081/kartor/A 37473-2025 karta.png", "A 37473-2025")</f>
        <v/>
      </c>
      <c r="Y8">
        <f>HYPERLINK("https://klasma.github.io/Logging_2081/kartor_geotiff/A 37473-2025 georefererad karta.tif", "A 37473-2025")</f>
        <v/>
      </c>
      <c r="Z8">
        <f>HYPERLINK("https://klasma.github.io/Logging_2081/knärot/A 37473-2025 karta knärot.png", "A 37473-2025")</f>
        <v/>
      </c>
      <c r="AA8">
        <f>HYPERLINK("https://klasma.github.io/Logging_2081/klagomål/A 37473-2025 FSC-klagomål.docx", "A 37473-2025")</f>
        <v/>
      </c>
      <c r="AB8">
        <f>HYPERLINK("https://klasma.github.io/Logging_2081/klagomålsmail/A 37473-2025 FSC-klagomål mail.docx", "A 37473-2025")</f>
        <v/>
      </c>
      <c r="AC8">
        <f>HYPERLINK("https://klasma.github.io/Logging_2081/tillsyn/A 37473-2025 tillsynsbegäran.docx", "A 37473-2025")</f>
        <v/>
      </c>
      <c r="AD8">
        <f>HYPERLINK("https://klasma.github.io/Logging_2081/tillsynsmail/A 37473-2025 tillsynsbegäran mail.docx", "A 37473-2025")</f>
        <v/>
      </c>
      <c r="AE8">
        <f>HYPERLINK("https://klasma.github.io/Logging_2081/fåglar/A 37473-2025 prioriterade fågelarter.docx", "A 37473-2025")</f>
        <v/>
      </c>
    </row>
    <row r="9" ht="15" customHeight="1">
      <c r="A9" t="inlineStr">
        <is>
          <t>A 59665-2022</t>
        </is>
      </c>
      <c r="B9" t="inlineStr">
        <is>
          <t>avverkningsanmälan</t>
        </is>
      </c>
      <c r="C9" t="inlineStr">
        <is>
          <t>Föryngringsavverkning</t>
        </is>
      </c>
      <c r="D9" s="1" t="n">
        <v>44908</v>
      </c>
      <c r="E9" s="1" t="n">
        <v>46326</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33677-2026</t>
        </is>
      </c>
      <c r="B10" t="inlineStr">
        <is>
          <t>avverkningsanmälan</t>
        </is>
      </c>
      <c r="C10" t="inlineStr">
        <is>
          <t>Föryngringsavverkning</t>
        </is>
      </c>
      <c r="D10" s="1" t="n">
        <v>46248</v>
      </c>
      <c r="E10" s="1" t="n">
        <v>46326</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22907-2025</t>
        </is>
      </c>
      <c r="B11" t="inlineStr">
        <is>
          <t>avverkningsanmälan</t>
        </is>
      </c>
      <c r="C11" t="inlineStr">
        <is>
          <t>Föryngringsavverkning</t>
        </is>
      </c>
      <c r="D11" s="1" t="n">
        <v>45790</v>
      </c>
      <c r="E11" s="1" t="n">
        <v>46326</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46326</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46326</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46326</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46326</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S 722-2026</t>
        </is>
      </c>
      <c r="B16" t="inlineStr">
        <is>
          <t>samrådsanmälan</t>
        </is>
      </c>
      <c r="C16" t="inlineStr">
        <is>
          <t>Annan skogsbruksåtgärd</t>
        </is>
      </c>
      <c r="D16" s="1" t="n">
        <v>46093</v>
      </c>
      <c r="E16" s="1" t="n">
        <v>46326</v>
      </c>
      <c r="F16" t="inlineStr">
        <is>
          <t>DALARNAS LÄN</t>
        </is>
      </c>
      <c r="G16" t="inlineStr">
        <is>
          <t>BORLÄNGE</t>
        </is>
      </c>
      <c r="I16" t="n">
        <v>1.2</v>
      </c>
      <c r="J16" t="n">
        <v>4</v>
      </c>
      <c r="K16" t="n">
        <v>3</v>
      </c>
      <c r="L16" t="n">
        <v>3</v>
      </c>
      <c r="M16" t="n">
        <v>1</v>
      </c>
      <c r="N16" t="n">
        <v>0</v>
      </c>
      <c r="O16" t="n">
        <v>0</v>
      </c>
      <c r="P16" t="n">
        <v>0</v>
      </c>
      <c r="Q16" t="n">
        <v>4</v>
      </c>
      <c r="R16" t="n">
        <v>1</v>
      </c>
      <c r="S16" t="n">
        <v>10</v>
      </c>
      <c r="T16" t="n">
        <v>28</v>
      </c>
      <c r="U16" t="n">
        <v>28</v>
      </c>
      <c r="V16" s="2" t="inlineStr">
        <is>
          <t>Knärot
Barrviolspindling
Bivråk
Tretåig hackspett
Bronshjon
Thomsons trägnagare
Vågbandad barkbock
Blåsippa
Hultbräken
Kransmossa</t>
        </is>
      </c>
      <c r="W16">
        <f>HYPERLINK("https://klasma.github.io/Logging_2081/artfynd/S 722-2026 artfynd.xlsx", "S 722-2026")</f>
        <v/>
      </c>
      <c r="X16">
        <f>HYPERLINK("https://klasma.github.io/Logging_2081/kartor/S 722-2026 karta.png", "S 722-2026")</f>
        <v/>
      </c>
      <c r="Y16">
        <f>HYPERLINK("https://klasma.github.io/Logging_2081/kartor_geotiff/S 722-2026 georefererad karta.tif", "S 722-2026")</f>
        <v/>
      </c>
      <c r="Z16">
        <f>HYPERLINK("https://klasma.github.io/Logging_2081/knärot/S 722-2026 karta knärot.png", "S 722-2026")</f>
        <v/>
      </c>
      <c r="AA16">
        <f>HYPERLINK("https://klasma.github.io/Logging_2081/klagomål/S 722-2026 FSC-klagomål.docx", "S 722-2026")</f>
        <v/>
      </c>
      <c r="AB16">
        <f>HYPERLINK("https://klasma.github.io/Logging_2081/klagomålsmail/S 722-2026 FSC-klagomål mail.docx", "S 722-2026")</f>
        <v/>
      </c>
      <c r="AC16">
        <f>HYPERLINK("https://klasma.github.io/Logging_2081/tillsyn/S 722-2026 tillsynsbegäran.docx", "S 722-2026")</f>
        <v/>
      </c>
      <c r="AD16">
        <f>HYPERLINK("https://klasma.github.io/Logging_2081/tillsynsmail/S 722-2026 tillsynsbegäran mail.docx", "S 722-2026")</f>
        <v/>
      </c>
      <c r="AE16">
        <f>HYPERLINK("https://klasma.github.io/Logging_2081/fåglar/S 722-2026 prioriterade fågelarter.docx", "S 722-2026")</f>
        <v/>
      </c>
    </row>
    <row r="17" ht="15" customHeight="1">
      <c r="A17" t="inlineStr">
        <is>
          <t>A 4568-2026</t>
        </is>
      </c>
      <c r="B17" t="inlineStr">
        <is>
          <t>avverkningsanmälan</t>
        </is>
      </c>
      <c r="C17" t="inlineStr">
        <is>
          <t>Föryngringsavverkning</t>
        </is>
      </c>
      <c r="D17" s="1" t="n">
        <v>46047</v>
      </c>
      <c r="E17" s="1" t="n">
        <v>46326</v>
      </c>
      <c r="F17" t="inlineStr">
        <is>
          <t>DALARNAS LÄN</t>
        </is>
      </c>
      <c r="G17" t="inlineStr">
        <is>
          <t>BORLÄNGE</t>
        </is>
      </c>
      <c r="I17" t="n">
        <v>21.7</v>
      </c>
      <c r="J17" t="n">
        <v>6</v>
      </c>
      <c r="K17" t="n">
        <v>0</v>
      </c>
      <c r="L17" t="n">
        <v>4</v>
      </c>
      <c r="M17" t="n">
        <v>2</v>
      </c>
      <c r="N17" t="n">
        <v>0</v>
      </c>
      <c r="O17" t="n">
        <v>0</v>
      </c>
      <c r="P17" t="n">
        <v>0</v>
      </c>
      <c r="Q17" t="n">
        <v>6</v>
      </c>
      <c r="R17" t="n">
        <v>2</v>
      </c>
      <c r="S17" t="n">
        <v>9</v>
      </c>
      <c r="T17" t="n">
        <v>33</v>
      </c>
      <c r="U17" t="n">
        <v>25</v>
      </c>
      <c r="V17" s="2" t="inlineStr">
        <is>
          <t>Garnlav
Knärot
Dropptaggsvamp
Talltita
Tretåig hackspett
Ullticka
Spillkråka
Tjäder
Lopplummer (aggregat)</t>
        </is>
      </c>
      <c r="W17">
        <f>HYPERLINK("https://klasma.github.io/Logging_2081/artfynd/A 4568-2026 artfynd.xlsx", "A 4568-2026")</f>
        <v/>
      </c>
      <c r="X17">
        <f>HYPERLINK("https://klasma.github.io/Logging_2081/kartor/A 4568-2026 karta.png", "A 4568-2026")</f>
        <v/>
      </c>
      <c r="Y17">
        <f>HYPERLINK("https://klasma.github.io/Logging_2081/kartor_geotiff/A 4568-2026 georefererad karta.tif", "A 4568-2026")</f>
        <v/>
      </c>
      <c r="Z17">
        <f>HYPERLINK("https://klasma.github.io/Logging_2081/knärot/A 4568-2026 karta knärot.png", "A 4568-2026")</f>
        <v/>
      </c>
      <c r="AA17">
        <f>HYPERLINK("https://klasma.github.io/Logging_2081/klagomål/A 4568-2026 FSC-klagomål.docx", "A 4568-2026")</f>
        <v/>
      </c>
      <c r="AB17">
        <f>HYPERLINK("https://klasma.github.io/Logging_2081/klagomålsmail/A 4568-2026 FSC-klagomål mail.docx", "A 4568-2026")</f>
        <v/>
      </c>
      <c r="AC17">
        <f>HYPERLINK("https://klasma.github.io/Logging_2081/tillsyn/A 4568-2026 tillsynsbegäran.docx", "A 4568-2026")</f>
        <v/>
      </c>
      <c r="AD17">
        <f>HYPERLINK("https://klasma.github.io/Logging_2081/tillsynsmail/A 4568-2026 tillsynsbegäran mail.docx", "A 4568-2026")</f>
        <v/>
      </c>
      <c r="AE17">
        <f>HYPERLINK("https://klasma.github.io/Logging_2081/fåglar/A 4568-2026 prioriterade fågelarter.docx", "A 4568-2026")</f>
        <v/>
      </c>
    </row>
    <row r="18" ht="15" customHeight="1">
      <c r="A18" t="inlineStr">
        <is>
          <t>A 52613-2025</t>
        </is>
      </c>
      <c r="B18" t="inlineStr">
        <is>
          <t>avverkningsanmälan</t>
        </is>
      </c>
      <c r="C18" t="inlineStr">
        <is>
          <t>Föryngringsavverkning</t>
        </is>
      </c>
      <c r="D18" s="1" t="n">
        <v>45954</v>
      </c>
      <c r="E18" s="1" t="n">
        <v>46326</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46326</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57</v>
      </c>
      <c r="U19" t="n">
        <v>57</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28027-2025</t>
        </is>
      </c>
      <c r="B20" t="inlineStr">
        <is>
          <t>avverkningsanmälan</t>
        </is>
      </c>
      <c r="C20" t="inlineStr">
        <is>
          <t>Föryngringsavverkning</t>
        </is>
      </c>
      <c r="D20" s="1" t="n">
        <v>45817</v>
      </c>
      <c r="E20" s="1" t="n">
        <v>46326</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S 2495-2025</t>
        </is>
      </c>
      <c r="B21" t="inlineStr">
        <is>
          <t>samrådsanmälan</t>
        </is>
      </c>
      <c r="C21" t="inlineStr">
        <is>
          <t>Annan skogsbruksåtgärd</t>
        </is>
      </c>
      <c r="D21" s="1" t="n">
        <v>45902</v>
      </c>
      <c r="E21" s="1" t="n">
        <v>46326</v>
      </c>
      <c r="F21" t="inlineStr">
        <is>
          <t>DALARNAS LÄN</t>
        </is>
      </c>
      <c r="G21" t="inlineStr">
        <is>
          <t>BORLÄNGE</t>
        </is>
      </c>
      <c r="H21" t="inlineStr">
        <is>
          <t>Bergvik skog väst AB</t>
        </is>
      </c>
      <c r="I21" t="n">
        <v>40.4</v>
      </c>
      <c r="J21" t="n">
        <v>6</v>
      </c>
      <c r="K21" t="n">
        <v>0</v>
      </c>
      <c r="L21" t="n">
        <v>5</v>
      </c>
      <c r="M21" t="n">
        <v>1</v>
      </c>
      <c r="N21" t="n">
        <v>0</v>
      </c>
      <c r="O21" t="n">
        <v>0</v>
      </c>
      <c r="P21" t="n">
        <v>0</v>
      </c>
      <c r="Q21" t="n">
        <v>6</v>
      </c>
      <c r="R21" t="n">
        <v>1</v>
      </c>
      <c r="S21" t="n">
        <v>9</v>
      </c>
      <c r="T21" t="n">
        <v>20</v>
      </c>
      <c r="U21" t="n">
        <v>11</v>
      </c>
      <c r="V21" s="2" t="inlineStr">
        <is>
          <t>Knärot
Dofttaggsvamp
Motaggsvamp
Svartvit taggsvamp
Talltita
Tretåig hackspett
Järpe
Orre
Mindre vattensalamander</t>
        </is>
      </c>
      <c r="W21">
        <f>HYPERLINK("https://klasma.github.io/Logging_2081/artfynd/S 2495-2025 artfynd.xlsx", "S 2495-2025")</f>
        <v/>
      </c>
      <c r="X21">
        <f>HYPERLINK("https://klasma.github.io/Logging_2081/kartor/S 2495-2025 karta.png", "S 2495-2025")</f>
        <v/>
      </c>
      <c r="Y21">
        <f>HYPERLINK("https://klasma.github.io/Logging_2081/kartor_geotiff/S 2495-2025 georefererad karta.tif", "S 2495-2025")</f>
        <v/>
      </c>
      <c r="Z21">
        <f>HYPERLINK("https://klasma.github.io/Logging_2081/knärot/S 2495-2025 karta knärot.png", "S 2495-2025")</f>
        <v/>
      </c>
      <c r="AA21">
        <f>HYPERLINK("https://klasma.github.io/Logging_2081/klagomål/S 2495-2025 FSC-klagomål.docx", "S 2495-2025")</f>
        <v/>
      </c>
      <c r="AB21">
        <f>HYPERLINK("https://klasma.github.io/Logging_2081/klagomålsmail/S 2495-2025 FSC-klagomål mail.docx", "S 2495-2025")</f>
        <v/>
      </c>
      <c r="AC21">
        <f>HYPERLINK("https://klasma.github.io/Logging_2081/tillsyn/S 2495-2025 tillsynsbegäran.docx", "S 2495-2025")</f>
        <v/>
      </c>
      <c r="AD21">
        <f>HYPERLINK("https://klasma.github.io/Logging_2081/tillsynsmail/S 2495-2025 tillsynsbegäran mail.docx", "S 2495-2025")</f>
        <v/>
      </c>
      <c r="AE21">
        <f>HYPERLINK("https://klasma.github.io/Logging_2081/fåglar/S 2495-2025 prioriterade fågelarter.docx", "S 2495-2025")</f>
        <v/>
      </c>
    </row>
    <row r="22" ht="15" customHeight="1">
      <c r="A22" t="inlineStr">
        <is>
          <t>A 65254-2023</t>
        </is>
      </c>
      <c r="B22" t="inlineStr">
        <is>
          <t>avverkningsanmälan</t>
        </is>
      </c>
      <c r="C22" t="inlineStr">
        <is>
          <t>Föryngringsavverkning</t>
        </is>
      </c>
      <c r="D22" s="1" t="n">
        <v>45290</v>
      </c>
      <c r="E22" s="1" t="n">
        <v>46326</v>
      </c>
      <c r="F22" t="inlineStr">
        <is>
          <t>DALARNAS LÄN</t>
        </is>
      </c>
      <c r="G22" t="inlineStr">
        <is>
          <t>BORLÄNGE</t>
        </is>
      </c>
      <c r="I22" t="n">
        <v>1.6</v>
      </c>
      <c r="J22" t="n">
        <v>1</v>
      </c>
      <c r="K22" t="n">
        <v>5</v>
      </c>
      <c r="L22" t="n">
        <v>1</v>
      </c>
      <c r="M22" t="n">
        <v>1</v>
      </c>
      <c r="N22" t="n">
        <v>0</v>
      </c>
      <c r="O22" t="n">
        <v>0</v>
      </c>
      <c r="P22" t="n">
        <v>0</v>
      </c>
      <c r="Q22" t="n">
        <v>2</v>
      </c>
      <c r="R22" t="n">
        <v>1</v>
      </c>
      <c r="S22" t="n">
        <v>8</v>
      </c>
      <c r="T22" t="n">
        <v>11</v>
      </c>
      <c r="U22" t="n">
        <v>11</v>
      </c>
      <c r="V22" s="2" t="inlineStr">
        <is>
          <t>Rostskinn
Vedtrappmossa
Björksplintborre
Blodticka
Bronshjon
Thomsons trägnagare
Vågbandad barkbock
Revlummer</t>
        </is>
      </c>
      <c r="W22">
        <f>HYPERLINK("https://klasma.github.io/Logging_2081/artfynd/A 65254-2023 artfynd.xlsx", "A 65254-2023")</f>
        <v/>
      </c>
      <c r="X22">
        <f>HYPERLINK("https://klasma.github.io/Logging_2081/kartor/A 65254-2023 karta.png", "A 65254-2023")</f>
        <v/>
      </c>
      <c r="Y22">
        <f>HYPERLINK("https://klasma.github.io/Logging_2081/kartor_geotiff/A 65254-2023 georefererad karta.tif", "A 65254-2023")</f>
        <v/>
      </c>
      <c r="AA22">
        <f>HYPERLINK("https://klasma.github.io/Logging_2081/klagomål/A 65254-2023 FSC-klagomål.docx", "A 65254-2023")</f>
        <v/>
      </c>
      <c r="AB22">
        <f>HYPERLINK("https://klasma.github.io/Logging_2081/klagomålsmail/A 65254-2023 FSC-klagomål mail.docx", "A 65254-2023")</f>
        <v/>
      </c>
      <c r="AC22">
        <f>HYPERLINK("https://klasma.github.io/Logging_2081/tillsyn/A 65254-2023 tillsynsbegäran.docx", "A 65254-2023")</f>
        <v/>
      </c>
      <c r="AD22">
        <f>HYPERLINK("https://klasma.github.io/Logging_2081/tillsynsmail/A 65254-2023 tillsynsbegäran mail.docx", "A 65254-2023")</f>
        <v/>
      </c>
    </row>
    <row r="23" ht="15" customHeight="1">
      <c r="A23" t="inlineStr">
        <is>
          <t>A 31096-2026</t>
        </is>
      </c>
      <c r="B23" t="inlineStr">
        <is>
          <t>avverkningsanmälan</t>
        </is>
      </c>
      <c r="C23" t="inlineStr">
        <is>
          <t>Föryngringsavverkning</t>
        </is>
      </c>
      <c r="D23" s="1" t="n">
        <v>46216</v>
      </c>
      <c r="E23" s="1" t="n">
        <v>46326</v>
      </c>
      <c r="F23" t="inlineStr">
        <is>
          <t>DALARNAS LÄN</t>
        </is>
      </c>
      <c r="G23" t="inlineStr">
        <is>
          <t>BORLÄNGE</t>
        </is>
      </c>
      <c r="I23" t="n">
        <v>4.9</v>
      </c>
      <c r="J23" t="n">
        <v>5</v>
      </c>
      <c r="K23" t="n">
        <v>0</v>
      </c>
      <c r="L23" t="n">
        <v>3</v>
      </c>
      <c r="M23" t="n">
        <v>1</v>
      </c>
      <c r="N23" t="n">
        <v>0</v>
      </c>
      <c r="O23" t="n">
        <v>0</v>
      </c>
      <c r="P23" t="n">
        <v>0</v>
      </c>
      <c r="Q23" t="n">
        <v>4</v>
      </c>
      <c r="R23" t="n">
        <v>1</v>
      </c>
      <c r="S23" t="n">
        <v>7</v>
      </c>
      <c r="T23" t="n">
        <v>17</v>
      </c>
      <c r="U23" t="n">
        <v>11</v>
      </c>
      <c r="V23" s="2" t="inlineStr">
        <is>
          <t>Knärot
Dropptaggsvamp
Skarp dropptaggsvamp
Tretåig hackspett
Spillkråka
Tjäder
Tofsmes</t>
        </is>
      </c>
      <c r="W23">
        <f>HYPERLINK("https://klasma.github.io/Logging_2081/artfynd/A 31096-2026 artfynd.xlsx", "A 31096-2026")</f>
        <v/>
      </c>
      <c r="X23">
        <f>HYPERLINK("https://klasma.github.io/Logging_2081/kartor/A 31096-2026 karta.png", "A 31096-2026")</f>
        <v/>
      </c>
      <c r="Y23">
        <f>HYPERLINK("https://klasma.github.io/Logging_2081/kartor_geotiff/A 31096-2026 georefererad karta.tif", "A 31096-2026")</f>
        <v/>
      </c>
      <c r="Z23">
        <f>HYPERLINK("https://klasma.github.io/Logging_2081/knärot/A 31096-2026 karta knärot.png", "A 31096-2026")</f>
        <v/>
      </c>
      <c r="AA23">
        <f>HYPERLINK("https://klasma.github.io/Logging_2081/klagomål/A 31096-2026 FSC-klagomål.docx", "A 31096-2026")</f>
        <v/>
      </c>
      <c r="AB23">
        <f>HYPERLINK("https://klasma.github.io/Logging_2081/klagomålsmail/A 31096-2026 FSC-klagomål mail.docx", "A 31096-2026")</f>
        <v/>
      </c>
      <c r="AC23">
        <f>HYPERLINK("https://klasma.github.io/Logging_2081/tillsyn/A 31096-2026 tillsynsbegäran.docx", "A 31096-2026")</f>
        <v/>
      </c>
      <c r="AD23">
        <f>HYPERLINK("https://klasma.github.io/Logging_2081/tillsynsmail/A 31096-2026 tillsynsbegäran mail.docx", "A 31096-2026")</f>
        <v/>
      </c>
      <c r="AE23">
        <f>HYPERLINK("https://klasma.github.io/Logging_2081/fåglar/A 31096-2026 prioriterade fågelarter.docx", "A 31096-2026")</f>
        <v/>
      </c>
    </row>
    <row r="24" ht="15" customHeight="1">
      <c r="A24" t="inlineStr">
        <is>
          <t>A 33492-2026</t>
        </is>
      </c>
      <c r="B24" t="inlineStr">
        <is>
          <t>avverkningsanmälan</t>
        </is>
      </c>
      <c r="C24" t="inlineStr">
        <is>
          <t>Föryngringsavverkning</t>
        </is>
      </c>
      <c r="D24" s="1" t="n">
        <v>46247</v>
      </c>
      <c r="E24" s="1" t="n">
        <v>46326</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1019-2026</t>
        </is>
      </c>
      <c r="B25" t="inlineStr">
        <is>
          <t>avverkningsanmälan</t>
        </is>
      </c>
      <c r="C25" t="inlineStr">
        <is>
          <t>Föryngringsavverkning</t>
        </is>
      </c>
      <c r="D25" s="1" t="n">
        <v>46030</v>
      </c>
      <c r="E25" s="1" t="n">
        <v>46326</v>
      </c>
      <c r="F25" t="inlineStr">
        <is>
          <t>DALARNAS LÄN</t>
        </is>
      </c>
      <c r="G25" t="inlineStr">
        <is>
          <t>BORLÄNGE</t>
        </is>
      </c>
      <c r="I25" t="n">
        <v>4.8</v>
      </c>
      <c r="J25" t="n">
        <v>2</v>
      </c>
      <c r="K25" t="n">
        <v>1</v>
      </c>
      <c r="L25" t="n">
        <v>3</v>
      </c>
      <c r="M25" t="n">
        <v>1</v>
      </c>
      <c r="N25" t="n">
        <v>0</v>
      </c>
      <c r="O25" t="n">
        <v>0</v>
      </c>
      <c r="P25" t="n">
        <v>0</v>
      </c>
      <c r="Q25" t="n">
        <v>4</v>
      </c>
      <c r="R25" t="n">
        <v>1</v>
      </c>
      <c r="S25" t="n">
        <v>6</v>
      </c>
      <c r="T25" t="n">
        <v>9</v>
      </c>
      <c r="U25" t="n">
        <v>0</v>
      </c>
      <c r="V25" s="2" t="inlineStr">
        <is>
          <t>Knärot
Orange taggsvamp
Rynkskinn
Ullticka
Bronshjon
Revlummer</t>
        </is>
      </c>
      <c r="W25">
        <f>HYPERLINK("https://klasma.github.io/Logging_2081/artfynd/A 1019-2026 artfynd.xlsx", "A 1019-2026")</f>
        <v/>
      </c>
      <c r="X25">
        <f>HYPERLINK("https://klasma.github.io/Logging_2081/kartor/A 1019-2026 karta.png", "A 1019-2026")</f>
        <v/>
      </c>
      <c r="Y25">
        <f>HYPERLINK("https://klasma.github.io/Logging_2081/kartor_geotiff/A 1019-2026 georefererad karta.tif", "A 1019-2026")</f>
        <v/>
      </c>
      <c r="Z25">
        <f>HYPERLINK("https://klasma.github.io/Logging_2081/knärot/A 1019-2026 karta knärot.png", "A 1019-2026")</f>
        <v/>
      </c>
      <c r="AA25">
        <f>HYPERLINK("https://klasma.github.io/Logging_2081/klagomål/A 1019-2026 FSC-klagomål.docx", "A 1019-2026")</f>
        <v/>
      </c>
      <c r="AB25">
        <f>HYPERLINK("https://klasma.github.io/Logging_2081/klagomålsmail/A 1019-2026 FSC-klagomål mail.docx", "A 1019-2026")</f>
        <v/>
      </c>
      <c r="AC25">
        <f>HYPERLINK("https://klasma.github.io/Logging_2081/tillsyn/A 1019-2026 tillsynsbegäran.docx", "A 1019-2026")</f>
        <v/>
      </c>
      <c r="AD25">
        <f>HYPERLINK("https://klasma.github.io/Logging_2081/tillsynsmail/A 1019-2026 tillsynsbegäran mail.docx", "A 1019-2026")</f>
        <v/>
      </c>
    </row>
    <row r="26" ht="15" customHeight="1">
      <c r="A26" t="inlineStr">
        <is>
          <t>A 48706-2023</t>
        </is>
      </c>
      <c r="B26" t="inlineStr">
        <is>
          <t>avverkningsanmälan</t>
        </is>
      </c>
      <c r="C26" t="inlineStr">
        <is>
          <t>Föryngringsavverkning</t>
        </is>
      </c>
      <c r="D26" s="1" t="n">
        <v>45208</v>
      </c>
      <c r="E26" s="1" t="n">
        <v>46326</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46326</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S 497-2023</t>
        </is>
      </c>
      <c r="B28" t="inlineStr">
        <is>
          <t>samrådsanmälan</t>
        </is>
      </c>
      <c r="C28" t="inlineStr">
        <is>
          <t>Askåterföring</t>
        </is>
      </c>
      <c r="D28" s="1" t="n">
        <v>44963</v>
      </c>
      <c r="E28" s="1" t="n">
        <v>46326</v>
      </c>
      <c r="F28" t="inlineStr">
        <is>
          <t>DALARNAS LÄN</t>
        </is>
      </c>
      <c r="G28" t="inlineStr">
        <is>
          <t>BORLÄNGE</t>
        </is>
      </c>
      <c r="I28" t="n">
        <v>6.3</v>
      </c>
      <c r="J28" t="n">
        <v>3</v>
      </c>
      <c r="K28" t="n">
        <v>0</v>
      </c>
      <c r="L28" t="n">
        <v>4</v>
      </c>
      <c r="M28" t="n">
        <v>1</v>
      </c>
      <c r="N28" t="n">
        <v>0</v>
      </c>
      <c r="O28" t="n">
        <v>0</v>
      </c>
      <c r="P28" t="n">
        <v>0</v>
      </c>
      <c r="Q28" t="n">
        <v>5</v>
      </c>
      <c r="R28" t="n">
        <v>1</v>
      </c>
      <c r="S28" t="n">
        <v>6</v>
      </c>
      <c r="T28" t="n">
        <v>24</v>
      </c>
      <c r="U28" t="n">
        <v>23</v>
      </c>
      <c r="V28" s="2" t="inlineStr">
        <is>
          <t>Knärot
Dropptaggsvamp
Tretåig hackspett
Ullticka
Vedtrappmossa
Nattskärra</t>
        </is>
      </c>
      <c r="W28">
        <f>HYPERLINK("https://klasma.github.io/Logging_2081/artfynd/S 497-2023 artfynd.xlsx", "S 497-2023")</f>
        <v/>
      </c>
      <c r="X28">
        <f>HYPERLINK("https://klasma.github.io/Logging_2081/kartor/S 497-2023 karta.png", "S 497-2023")</f>
        <v/>
      </c>
      <c r="Y28">
        <f>HYPERLINK("https://klasma.github.io/Logging_2081/kartor_geotiff/S 497-2023 georefererad karta.tif", "S 497-2023")</f>
        <v/>
      </c>
      <c r="Z28">
        <f>HYPERLINK("https://klasma.github.io/Logging_2081/knärot/S 497-2023 karta knärot.png", "S 497-2023")</f>
        <v/>
      </c>
      <c r="AA28">
        <f>HYPERLINK("https://klasma.github.io/Logging_2081/klagomål/S 497-2023 FSC-klagomål.docx", "S 497-2023")</f>
        <v/>
      </c>
      <c r="AB28">
        <f>HYPERLINK("https://klasma.github.io/Logging_2081/klagomålsmail/S 497-2023 FSC-klagomål mail.docx", "S 497-2023")</f>
        <v/>
      </c>
      <c r="AC28">
        <f>HYPERLINK("https://klasma.github.io/Logging_2081/tillsyn/S 497-2023 tillsynsbegäran.docx", "S 497-2023")</f>
        <v/>
      </c>
      <c r="AD28">
        <f>HYPERLINK("https://klasma.github.io/Logging_2081/tillsynsmail/S 497-2023 tillsynsbegäran mail.docx", "S 497-2023")</f>
        <v/>
      </c>
      <c r="AE28">
        <f>HYPERLINK("https://klasma.github.io/Logging_2081/fåglar/S 497-2023 prioriterade fågelarter.docx", "S 497-2023")</f>
        <v/>
      </c>
    </row>
    <row r="29" ht="15" customHeight="1">
      <c r="A29" t="inlineStr">
        <is>
          <t>A 30216-2025</t>
        </is>
      </c>
      <c r="B29" t="inlineStr">
        <is>
          <t>avverkningsanmälan</t>
        </is>
      </c>
      <c r="C29" t="inlineStr">
        <is>
          <t>Föryngringsavverkning</t>
        </is>
      </c>
      <c r="D29" s="1" t="n">
        <v>45827</v>
      </c>
      <c r="E29" s="1" t="n">
        <v>46326</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10755-2024</t>
        </is>
      </c>
      <c r="B30" t="inlineStr">
        <is>
          <t>avverkningsanmälan</t>
        </is>
      </c>
      <c r="C30" t="inlineStr">
        <is>
          <t>Föryngringsavverkning</t>
        </is>
      </c>
      <c r="D30" s="1" t="n">
        <v>45369</v>
      </c>
      <c r="E30" s="1" t="n">
        <v>46326</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6823-2024</t>
        </is>
      </c>
      <c r="B31" t="inlineStr">
        <is>
          <t>avverkningsanmälan</t>
        </is>
      </c>
      <c r="C31" t="inlineStr">
        <is>
          <t>Föryngringsavverkning</t>
        </is>
      </c>
      <c r="D31" s="1" t="n">
        <v>45342</v>
      </c>
      <c r="E31" s="1" t="n">
        <v>46326</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17560-2025</t>
        </is>
      </c>
      <c r="B32" t="inlineStr">
        <is>
          <t>avverkningsanmälan</t>
        </is>
      </c>
      <c r="C32" t="inlineStr">
        <is>
          <t>Föryngringsavverkning</t>
        </is>
      </c>
      <c r="D32" s="1" t="n">
        <v>45757</v>
      </c>
      <c r="E32" s="1" t="n">
        <v>46326</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16943-2026</t>
        </is>
      </c>
      <c r="B33" t="inlineStr">
        <is>
          <t>avverkningsanmälan</t>
        </is>
      </c>
      <c r="C33" t="inlineStr">
        <is>
          <t>Föryngringsavverkning</t>
        </is>
      </c>
      <c r="D33" s="1" t="n">
        <v>46113</v>
      </c>
      <c r="E33" s="1" t="n">
        <v>46326</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28667-2025</t>
        </is>
      </c>
      <c r="B34" t="inlineStr">
        <is>
          <t>avverkningsanmälan</t>
        </is>
      </c>
      <c r="C34" t="inlineStr">
        <is>
          <t>Föryngringsavverkning</t>
        </is>
      </c>
      <c r="D34" s="1" t="n">
        <v>45819</v>
      </c>
      <c r="E34" s="1" t="n">
        <v>46326</v>
      </c>
      <c r="F34" t="inlineStr">
        <is>
          <t>DALARNAS LÄN</t>
        </is>
      </c>
      <c r="G34" t="inlineStr">
        <is>
          <t>BORLÄNGE</t>
        </is>
      </c>
      <c r="H34" t="inlineStr">
        <is>
          <t>Bergvik skog väst AB</t>
        </is>
      </c>
      <c r="I34" t="n">
        <v>2</v>
      </c>
      <c r="J34" t="n">
        <v>3</v>
      </c>
      <c r="K34" t="n">
        <v>0</v>
      </c>
      <c r="L34" t="n">
        <v>2</v>
      </c>
      <c r="M34" t="n">
        <v>0</v>
      </c>
      <c r="N34" t="n">
        <v>0</v>
      </c>
      <c r="O34" t="n">
        <v>0</v>
      </c>
      <c r="P34" t="n">
        <v>0</v>
      </c>
      <c r="Q34" t="n">
        <v>2</v>
      </c>
      <c r="R34" t="n">
        <v>0</v>
      </c>
      <c r="S34" t="n">
        <v>4</v>
      </c>
      <c r="T34" t="n">
        <v>6</v>
      </c>
      <c r="U34" t="n">
        <v>5</v>
      </c>
      <c r="V34" s="2" t="inlineStr">
        <is>
          <t>Dropptaggsvamp
Tretåig hackspett
Spillkråka
Tjäder</t>
        </is>
      </c>
      <c r="W34">
        <f>HYPERLINK("https://klasma.github.io/Logging_2081/artfynd/A 28667-2025 artfynd.xlsx", "A 28667-2025")</f>
        <v/>
      </c>
      <c r="X34">
        <f>HYPERLINK("https://klasma.github.io/Logging_2081/kartor/A 28667-2025 karta.png", "A 28667-2025")</f>
        <v/>
      </c>
      <c r="Y34">
        <f>HYPERLINK("https://klasma.github.io/Logging_2081/kartor_geotiff/A 28667-2025 georefererad karta.tif", "A 28667-2025")</f>
        <v/>
      </c>
      <c r="AA34">
        <f>HYPERLINK("https://klasma.github.io/Logging_2081/klagomål/A 28667-2025 FSC-klagomål.docx", "A 28667-2025")</f>
        <v/>
      </c>
      <c r="AB34">
        <f>HYPERLINK("https://klasma.github.io/Logging_2081/klagomålsmail/A 28667-2025 FSC-klagomål mail.docx", "A 28667-2025")</f>
        <v/>
      </c>
      <c r="AC34">
        <f>HYPERLINK("https://klasma.github.io/Logging_2081/tillsyn/A 28667-2025 tillsynsbegäran.docx", "A 28667-2025")</f>
        <v/>
      </c>
      <c r="AD34">
        <f>HYPERLINK("https://klasma.github.io/Logging_2081/tillsynsmail/A 28667-2025 tillsynsbegäran mail.docx", "A 28667-2025")</f>
        <v/>
      </c>
      <c r="AE34">
        <f>HYPERLINK("https://klasma.github.io/Logging_2081/fåglar/A 28667-2025 prioriterade fågelarter.docx", "A 28667-2025")</f>
        <v/>
      </c>
    </row>
    <row r="35" ht="15" customHeight="1">
      <c r="A35" t="inlineStr">
        <is>
          <t>A 16859-2025</t>
        </is>
      </c>
      <c r="B35" t="inlineStr">
        <is>
          <t>avverkningsanmälan</t>
        </is>
      </c>
      <c r="C35" t="inlineStr">
        <is>
          <t>Föryngringsavverkning</t>
        </is>
      </c>
      <c r="D35" s="1" t="n">
        <v>45751</v>
      </c>
      <c r="E35" s="1" t="n">
        <v>46326</v>
      </c>
      <c r="F35" t="inlineStr">
        <is>
          <t>DALARNAS LÄN</t>
        </is>
      </c>
      <c r="G35" t="inlineStr">
        <is>
          <t>BORLÄNGE</t>
        </is>
      </c>
      <c r="I35" t="n">
        <v>12.8</v>
      </c>
      <c r="J35" t="n">
        <v>1</v>
      </c>
      <c r="K35" t="n">
        <v>2</v>
      </c>
      <c r="L35" t="n">
        <v>0</v>
      </c>
      <c r="M35" t="n">
        <v>2</v>
      </c>
      <c r="N35" t="n">
        <v>0</v>
      </c>
      <c r="O35" t="n">
        <v>0</v>
      </c>
      <c r="P35" t="n">
        <v>0</v>
      </c>
      <c r="Q35" t="n">
        <v>2</v>
      </c>
      <c r="R35" t="n">
        <v>2</v>
      </c>
      <c r="S35" t="n">
        <v>4</v>
      </c>
      <c r="T35" t="n">
        <v>6</v>
      </c>
      <c r="U35" t="n">
        <v>0</v>
      </c>
      <c r="V35" s="2" t="inlineStr">
        <is>
          <t>Garnlav
Knärot
Korallblylav
Stuplav</t>
        </is>
      </c>
      <c r="W35">
        <f>HYPERLINK("https://klasma.github.io/Logging_2081/artfynd/A 16859-2025 artfynd.xlsx", "A 16859-2025")</f>
        <v/>
      </c>
      <c r="X35">
        <f>HYPERLINK("https://klasma.github.io/Logging_2081/kartor/A 16859-2025 karta.png", "A 16859-2025")</f>
        <v/>
      </c>
      <c r="Y35">
        <f>HYPERLINK("https://klasma.github.io/Logging_2081/kartor_geotiff/A 16859-2025 georefererad karta.tif", "A 16859-2025")</f>
        <v/>
      </c>
      <c r="Z35">
        <f>HYPERLINK("https://klasma.github.io/Logging_2081/knärot/A 16859-2025 karta knärot.png", "A 16859-2025")</f>
        <v/>
      </c>
      <c r="AA35">
        <f>HYPERLINK("https://klasma.github.io/Logging_2081/klagomål/A 16859-2025 FSC-klagomål.docx", "A 16859-2025")</f>
        <v/>
      </c>
      <c r="AB35">
        <f>HYPERLINK("https://klasma.github.io/Logging_2081/klagomålsmail/A 16859-2025 FSC-klagomål mail.docx", "A 16859-2025")</f>
        <v/>
      </c>
      <c r="AC35">
        <f>HYPERLINK("https://klasma.github.io/Logging_2081/tillsyn/A 16859-2025 tillsynsbegäran.docx", "A 16859-2025")</f>
        <v/>
      </c>
      <c r="AD35">
        <f>HYPERLINK("https://klasma.github.io/Logging_2081/tillsynsmail/A 16859-2025 tillsynsbegäran mail.docx", "A 16859-2025")</f>
        <v/>
      </c>
    </row>
    <row r="36" ht="15" customHeight="1">
      <c r="A36" t="inlineStr">
        <is>
          <t>A 49835-2025</t>
        </is>
      </c>
      <c r="B36" t="inlineStr">
        <is>
          <t>avverkningsanmälan</t>
        </is>
      </c>
      <c r="C36" t="inlineStr">
        <is>
          <t>Föryngringsavverkning</t>
        </is>
      </c>
      <c r="D36" s="1" t="n">
        <v>45940</v>
      </c>
      <c r="E36" s="1" t="n">
        <v>46326</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10712-2025</t>
        </is>
      </c>
      <c r="B37" t="inlineStr">
        <is>
          <t>avverkningsanmälan</t>
        </is>
      </c>
      <c r="C37" t="inlineStr">
        <is>
          <t>Föryngringsavverkning</t>
        </is>
      </c>
      <c r="D37" s="1" t="n">
        <v>45722</v>
      </c>
      <c r="E37" s="1" t="n">
        <v>46326</v>
      </c>
      <c r="F37" t="inlineStr">
        <is>
          <t>DALARNAS LÄN</t>
        </is>
      </c>
      <c r="G37" t="inlineStr">
        <is>
          <t>BORLÄNGE</t>
        </is>
      </c>
      <c r="I37" t="n">
        <v>5.3</v>
      </c>
      <c r="J37" t="n">
        <v>3</v>
      </c>
      <c r="K37" t="n">
        <v>0</v>
      </c>
      <c r="L37" t="n">
        <v>2</v>
      </c>
      <c r="M37" t="n">
        <v>0</v>
      </c>
      <c r="N37" t="n">
        <v>0</v>
      </c>
      <c r="O37" t="n">
        <v>0</v>
      </c>
      <c r="P37" t="n">
        <v>0</v>
      </c>
      <c r="Q37" t="n">
        <v>2</v>
      </c>
      <c r="R37" t="n">
        <v>0</v>
      </c>
      <c r="S37" t="n">
        <v>4</v>
      </c>
      <c r="T37" t="n">
        <v>11</v>
      </c>
      <c r="U37" t="n">
        <v>11</v>
      </c>
      <c r="V37" s="2" t="inlineStr">
        <is>
          <t>Tretåig hackspett
Ullticka
Spillkråka
Tjäder</t>
        </is>
      </c>
      <c r="W37">
        <f>HYPERLINK("https://klasma.github.io/Logging_2081/artfynd/A 10712-2025 artfynd.xlsx", "A 10712-2025")</f>
        <v/>
      </c>
      <c r="X37">
        <f>HYPERLINK("https://klasma.github.io/Logging_2081/kartor/A 10712-2025 karta.png", "A 10712-2025")</f>
        <v/>
      </c>
      <c r="Y37">
        <f>HYPERLINK("https://klasma.github.io/Logging_2081/kartor_geotiff/A 10712-2025 georefererad karta.tif", "A 10712-2025")</f>
        <v/>
      </c>
      <c r="AA37">
        <f>HYPERLINK("https://klasma.github.io/Logging_2081/klagomål/A 10712-2025 FSC-klagomål.docx", "A 10712-2025")</f>
        <v/>
      </c>
      <c r="AB37">
        <f>HYPERLINK("https://klasma.github.io/Logging_2081/klagomålsmail/A 10712-2025 FSC-klagomål mail.docx", "A 10712-2025")</f>
        <v/>
      </c>
      <c r="AC37">
        <f>HYPERLINK("https://klasma.github.io/Logging_2081/tillsyn/A 10712-2025 tillsynsbegäran.docx", "A 10712-2025")</f>
        <v/>
      </c>
      <c r="AD37">
        <f>HYPERLINK("https://klasma.github.io/Logging_2081/tillsynsmail/A 10712-2025 tillsynsbegäran mail.docx", "A 10712-2025")</f>
        <v/>
      </c>
      <c r="AE37">
        <f>HYPERLINK("https://klasma.github.io/Logging_2081/fåglar/A 10712-2025 prioriterade fågelarter.docx", "A 10712-2025")</f>
        <v/>
      </c>
    </row>
    <row r="38" ht="15" customHeight="1">
      <c r="A38" t="inlineStr">
        <is>
          <t>A 64124-2025</t>
        </is>
      </c>
      <c r="B38" t="inlineStr">
        <is>
          <t>avverkningsanmälan</t>
        </is>
      </c>
      <c r="C38" t="inlineStr">
        <is>
          <t>Föryngringsavverkning</t>
        </is>
      </c>
      <c r="D38" s="1" t="n">
        <v>46021</v>
      </c>
      <c r="E38" s="1" t="n">
        <v>46326</v>
      </c>
      <c r="F38" t="inlineStr">
        <is>
          <t>DALARNAS LÄN</t>
        </is>
      </c>
      <c r="G38" t="inlineStr">
        <is>
          <t>BORLÄNGE</t>
        </is>
      </c>
      <c r="I38" t="n">
        <v>1.4</v>
      </c>
      <c r="J38" t="n">
        <v>1</v>
      </c>
      <c r="K38" t="n">
        <v>0</v>
      </c>
      <c r="L38" t="n">
        <v>3</v>
      </c>
      <c r="M38" t="n">
        <v>1</v>
      </c>
      <c r="N38" t="n">
        <v>0</v>
      </c>
      <c r="O38" t="n">
        <v>0</v>
      </c>
      <c r="P38" t="n">
        <v>0</v>
      </c>
      <c r="Q38" t="n">
        <v>4</v>
      </c>
      <c r="R38" t="n">
        <v>1</v>
      </c>
      <c r="S38" t="n">
        <v>4</v>
      </c>
      <c r="T38" t="n">
        <v>9</v>
      </c>
      <c r="U38" t="n">
        <v>0</v>
      </c>
      <c r="V38" s="2" t="inlineStr">
        <is>
          <t>Knärot
Rosenticka
Rynkskinn
Ullticka</t>
        </is>
      </c>
      <c r="W38">
        <f>HYPERLINK("https://klasma.github.io/Logging_2081/artfynd/A 64124-2025 artfynd.xlsx", "A 64124-2025")</f>
        <v/>
      </c>
      <c r="X38">
        <f>HYPERLINK("https://klasma.github.io/Logging_2081/kartor/A 64124-2025 karta.png", "A 64124-2025")</f>
        <v/>
      </c>
      <c r="Y38">
        <f>HYPERLINK("https://klasma.github.io/Logging_2081/kartor_geotiff/A 64124-2025 georefererad karta.tif", "A 64124-2025")</f>
        <v/>
      </c>
      <c r="Z38">
        <f>HYPERLINK("https://klasma.github.io/Logging_2081/knärot/A 64124-2025 karta knärot.png", "A 64124-2025")</f>
        <v/>
      </c>
      <c r="AA38">
        <f>HYPERLINK("https://klasma.github.io/Logging_2081/klagomål/A 64124-2025 FSC-klagomål.docx", "A 64124-2025")</f>
        <v/>
      </c>
      <c r="AB38">
        <f>HYPERLINK("https://klasma.github.io/Logging_2081/klagomålsmail/A 64124-2025 FSC-klagomål mail.docx", "A 64124-2025")</f>
        <v/>
      </c>
      <c r="AC38">
        <f>HYPERLINK("https://klasma.github.io/Logging_2081/tillsyn/A 64124-2025 tillsynsbegäran.docx", "A 64124-2025")</f>
        <v/>
      </c>
      <c r="AD38">
        <f>HYPERLINK("https://klasma.github.io/Logging_2081/tillsynsmail/A 64124-2025 tillsynsbegäran mail.docx", "A 64124-2025")</f>
        <v/>
      </c>
    </row>
    <row r="39" ht="15" customHeight="1">
      <c r="A39" t="inlineStr">
        <is>
          <t>A 3087-2025</t>
        </is>
      </c>
      <c r="B39" t="inlineStr">
        <is>
          <t>avverkningsanmälan</t>
        </is>
      </c>
      <c r="C39" t="inlineStr">
        <is>
          <t>Föryngringsavverkning</t>
        </is>
      </c>
      <c r="D39" s="1" t="n">
        <v>45678</v>
      </c>
      <c r="E39" s="1" t="n">
        <v>46326</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46326</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26031-2026</t>
        </is>
      </c>
      <c r="B41" t="inlineStr">
        <is>
          <t>avverkningsanmälan</t>
        </is>
      </c>
      <c r="C41" t="inlineStr">
        <is>
          <t>Föryngringsavverkning</t>
        </is>
      </c>
      <c r="D41" s="1" t="n">
        <v>46181</v>
      </c>
      <c r="E41" s="1" t="n">
        <v>46326</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58614-2023</t>
        </is>
      </c>
      <c r="B42" t="inlineStr">
        <is>
          <t>avverkningsanmälan</t>
        </is>
      </c>
      <c r="C42" t="inlineStr">
        <is>
          <t>Föryngringsavverkning</t>
        </is>
      </c>
      <c r="D42" s="1" t="n">
        <v>45251</v>
      </c>
      <c r="E42" s="1" t="n">
        <v>46326</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37475-2025</t>
        </is>
      </c>
      <c r="B43" t="inlineStr">
        <is>
          <t>avverkningsanmälan</t>
        </is>
      </c>
      <c r="C43" t="inlineStr">
        <is>
          <t>Föryngringsavverkning</t>
        </is>
      </c>
      <c r="D43" s="1" t="n">
        <v>45877</v>
      </c>
      <c r="E43" s="1" t="n">
        <v>46326</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46326</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12314-2023</t>
        </is>
      </c>
      <c r="B45" t="inlineStr">
        <is>
          <t>avverkningsanmälan</t>
        </is>
      </c>
      <c r="C45" t="inlineStr">
        <is>
          <t>Föryngringsavverkning</t>
        </is>
      </c>
      <c r="D45" s="1" t="n">
        <v>44996</v>
      </c>
      <c r="E45" s="1" t="n">
        <v>46326</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54154-2023</t>
        </is>
      </c>
      <c r="B46" t="inlineStr">
        <is>
          <t>avverkningsanmälan</t>
        </is>
      </c>
      <c r="C46" t="inlineStr">
        <is>
          <t>Föryngringsavverkning</t>
        </is>
      </c>
      <c r="D46" s="1" t="n">
        <v>45232</v>
      </c>
      <c r="E46" s="1" t="n">
        <v>46326</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t="n">
        <v>3</v>
      </c>
      <c r="V46" s="2" t="inlineStr">
        <is>
          <t>Garnlav
Bronshjon
Vågbandad barkbock</t>
        </is>
      </c>
      <c r="W46">
        <f>HYPERLINK("https://klasma.github.io/Logging_2081/artfynd/A 54154-2023 artfynd.xlsx", "A 54154-2023")</f>
        <v/>
      </c>
      <c r="X46">
        <f>HYPERLINK("https://klasma.github.io/Logging_2081/kartor/A 54154-2023 karta.png", "A 54154-2023")</f>
        <v/>
      </c>
      <c r="Y46">
        <f>HYPERLINK("https://klasma.github.io/Logging_2081/kartor_geotiff/A 54154-2023 georefererad karta.tif", "A 54154-2023")</f>
        <v/>
      </c>
      <c r="AA46">
        <f>HYPERLINK("https://klasma.github.io/Logging_2081/klagomål/A 54154-2023 FSC-klagomål.docx", "A 54154-2023")</f>
        <v/>
      </c>
      <c r="AB46">
        <f>HYPERLINK("https://klasma.github.io/Logging_2081/klagomålsmail/A 54154-2023 FSC-klagomål mail.docx", "A 54154-2023")</f>
        <v/>
      </c>
      <c r="AC46">
        <f>HYPERLINK("https://klasma.github.io/Logging_2081/tillsyn/A 54154-2023 tillsynsbegäran.docx", "A 54154-2023")</f>
        <v/>
      </c>
      <c r="AD46">
        <f>HYPERLINK("https://klasma.github.io/Logging_2081/tillsynsmail/A 54154-2023 tillsynsbegäran mail.docx", "A 54154-2023")</f>
        <v/>
      </c>
    </row>
    <row r="47" ht="15" customHeight="1">
      <c r="A47" t="inlineStr">
        <is>
          <t>A 27720-2024</t>
        </is>
      </c>
      <c r="B47" t="inlineStr">
        <is>
          <t>avverkningsanmälan</t>
        </is>
      </c>
      <c r="C47" t="inlineStr">
        <is>
          <t>Avverkning för annat ändamål</t>
        </is>
      </c>
      <c r="D47" s="1" t="n">
        <v>45475</v>
      </c>
      <c r="E47" s="1" t="n">
        <v>46326</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t="n">
        <v>0</v>
      </c>
      <c r="V47" s="2" t="inlineStr">
        <is>
          <t>Spindelblomster
Fläcknycklar
Revlummer</t>
        </is>
      </c>
      <c r="W47">
        <f>HYPERLINK("https://klasma.github.io/Logging_2081/artfynd/A 27720-2024 artfynd.xlsx", "A 27720-2024")</f>
        <v/>
      </c>
      <c r="X47">
        <f>HYPERLINK("https://klasma.github.io/Logging_2081/kartor/A 27720-2024 karta.png", "A 27720-2024")</f>
        <v/>
      </c>
      <c r="Y47">
        <f>HYPERLINK("https://klasma.github.io/Logging_2081/kartor_geotiff/A 27720-2024 georefererad karta.tif", "A 27720-2024")</f>
        <v/>
      </c>
      <c r="AA47">
        <f>HYPERLINK("https://klasma.github.io/Logging_2081/klagomål/A 27720-2024 FSC-klagomål.docx", "A 27720-2024")</f>
        <v/>
      </c>
      <c r="AB47">
        <f>HYPERLINK("https://klasma.github.io/Logging_2081/klagomålsmail/A 27720-2024 FSC-klagomål mail.docx", "A 27720-2024")</f>
        <v/>
      </c>
      <c r="AC47">
        <f>HYPERLINK("https://klasma.github.io/Logging_2081/tillsyn/A 27720-2024 tillsynsbegäran.docx", "A 27720-2024")</f>
        <v/>
      </c>
      <c r="AD47">
        <f>HYPERLINK("https://klasma.github.io/Logging_2081/tillsynsmail/A 27720-2024 tillsynsbegäran mail.docx", "A 27720-2024")</f>
        <v/>
      </c>
    </row>
    <row r="48" ht="15" customHeight="1">
      <c r="A48" t="inlineStr">
        <is>
          <t>A 57530-2023</t>
        </is>
      </c>
      <c r="B48" t="inlineStr">
        <is>
          <t>avverkningsanmälan</t>
        </is>
      </c>
      <c r="C48" t="inlineStr">
        <is>
          <t>Föryngringsavverkning</t>
        </is>
      </c>
      <c r="D48" s="1" t="n">
        <v>45246</v>
      </c>
      <c r="E48" s="1" t="n">
        <v>46326</v>
      </c>
      <c r="F48" t="inlineStr">
        <is>
          <t>DALARNAS LÄN</t>
        </is>
      </c>
      <c r="G48" t="inlineStr">
        <is>
          <t>BORLÄNGE</t>
        </is>
      </c>
      <c r="I48" t="n">
        <v>1.2</v>
      </c>
      <c r="J48" t="n">
        <v>1</v>
      </c>
      <c r="K48" t="n">
        <v>1</v>
      </c>
      <c r="L48" t="n">
        <v>0</v>
      </c>
      <c r="M48" t="n">
        <v>0</v>
      </c>
      <c r="N48" t="n">
        <v>0</v>
      </c>
      <c r="O48" t="n">
        <v>0</v>
      </c>
      <c r="P48" t="n">
        <v>0</v>
      </c>
      <c r="Q48" t="n">
        <v>0</v>
      </c>
      <c r="R48" t="n">
        <v>0</v>
      </c>
      <c r="S48" t="n">
        <v>3</v>
      </c>
      <c r="T48" t="n">
        <v>3</v>
      </c>
      <c r="U48" t="n">
        <v>3</v>
      </c>
      <c r="V48" s="2" t="inlineStr">
        <is>
          <t>Grönpyrola
Kransmossa
Spillkråka</t>
        </is>
      </c>
      <c r="W48">
        <f>HYPERLINK("https://klasma.github.io/Logging_2081/artfynd/A 57530-2023 artfynd.xlsx", "A 57530-2023")</f>
        <v/>
      </c>
      <c r="X48">
        <f>HYPERLINK("https://klasma.github.io/Logging_2081/kartor/A 57530-2023 karta.png", "A 57530-2023")</f>
        <v/>
      </c>
      <c r="Y48">
        <f>HYPERLINK("https://klasma.github.io/Logging_2081/kartor_geotiff/A 57530-2023 georefererad karta.tif", "A 57530-2023")</f>
        <v/>
      </c>
      <c r="AA48">
        <f>HYPERLINK("https://klasma.github.io/Logging_2081/klagomål/A 57530-2023 FSC-klagomål.docx", "A 57530-2023")</f>
        <v/>
      </c>
      <c r="AB48">
        <f>HYPERLINK("https://klasma.github.io/Logging_2081/klagomålsmail/A 57530-2023 FSC-klagomål mail.docx", "A 57530-2023")</f>
        <v/>
      </c>
      <c r="AC48">
        <f>HYPERLINK("https://klasma.github.io/Logging_2081/tillsyn/A 57530-2023 tillsynsbegäran.docx", "A 57530-2023")</f>
        <v/>
      </c>
      <c r="AD48">
        <f>HYPERLINK("https://klasma.github.io/Logging_2081/tillsynsmail/A 57530-2023 tillsynsbegäran mail.docx", "A 57530-2023")</f>
        <v/>
      </c>
      <c r="AE48">
        <f>HYPERLINK("https://klasma.github.io/Logging_2081/fåglar/A 57530-2023 prioriterade fågelarter.docx", "A 57530-2023")</f>
        <v/>
      </c>
    </row>
    <row r="49" ht="15" customHeight="1">
      <c r="A49" t="inlineStr">
        <is>
          <t>A 2295-2026</t>
        </is>
      </c>
      <c r="B49" t="inlineStr">
        <is>
          <t>avverkningsanmälan</t>
        </is>
      </c>
      <c r="C49" t="inlineStr">
        <is>
          <t>Föryngringsavverkning</t>
        </is>
      </c>
      <c r="D49" s="1" t="n">
        <v>46036</v>
      </c>
      <c r="E49" s="1" t="n">
        <v>46326</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3067-2025</t>
        </is>
      </c>
      <c r="B50" t="inlineStr">
        <is>
          <t>avverkningsanmälan</t>
        </is>
      </c>
      <c r="C50" t="inlineStr">
        <is>
          <t>Föryngringsavverkning</t>
        </is>
      </c>
      <c r="D50" s="1" t="n">
        <v>45678</v>
      </c>
      <c r="E50" s="1" t="n">
        <v>46326</v>
      </c>
      <c r="F50" t="inlineStr">
        <is>
          <t>DALARNAS LÄN</t>
        </is>
      </c>
      <c r="G50" t="inlineStr">
        <is>
          <t>BORLÄNGE</t>
        </is>
      </c>
      <c r="H50" t="inlineStr">
        <is>
          <t>Kommuner</t>
        </is>
      </c>
      <c r="I50" t="n">
        <v>8</v>
      </c>
      <c r="J50" t="n">
        <v>2</v>
      </c>
      <c r="K50" t="n">
        <v>1</v>
      </c>
      <c r="L50" t="n">
        <v>0</v>
      </c>
      <c r="M50" t="n">
        <v>1</v>
      </c>
      <c r="N50" t="n">
        <v>0</v>
      </c>
      <c r="O50" t="n">
        <v>0</v>
      </c>
      <c r="P50" t="n">
        <v>0</v>
      </c>
      <c r="Q50" t="n">
        <v>1</v>
      </c>
      <c r="R50" t="n">
        <v>1</v>
      </c>
      <c r="S50" t="n">
        <v>3</v>
      </c>
      <c r="T50" t="n">
        <v>11</v>
      </c>
      <c r="U50" t="n">
        <v>11</v>
      </c>
      <c r="V50" s="2" t="inlineStr">
        <is>
          <t>Knärot
Vedticka
Tjäder</t>
        </is>
      </c>
      <c r="W50">
        <f>HYPERLINK("https://klasma.github.io/Logging_2081/artfynd/A 3067-2025 artfynd.xlsx", "A 3067-2025")</f>
        <v/>
      </c>
      <c r="X50">
        <f>HYPERLINK("https://klasma.github.io/Logging_2081/kartor/A 3067-2025 karta.png", "A 3067-2025")</f>
        <v/>
      </c>
      <c r="Y50">
        <f>HYPERLINK("https://klasma.github.io/Logging_2081/kartor_geotiff/A 3067-2025 georefererad karta.tif", "A 3067-2025")</f>
        <v/>
      </c>
      <c r="Z50">
        <f>HYPERLINK("https://klasma.github.io/Logging_2081/knärot/A 3067-2025 karta knärot.png", "A 3067-2025")</f>
        <v/>
      </c>
      <c r="AA50">
        <f>HYPERLINK("https://klasma.github.io/Logging_2081/klagomål/A 3067-2025 FSC-klagomål.docx", "A 3067-2025")</f>
        <v/>
      </c>
      <c r="AB50">
        <f>HYPERLINK("https://klasma.github.io/Logging_2081/klagomålsmail/A 3067-2025 FSC-klagomål mail.docx", "A 3067-2025")</f>
        <v/>
      </c>
      <c r="AC50">
        <f>HYPERLINK("https://klasma.github.io/Logging_2081/tillsyn/A 3067-2025 tillsynsbegäran.docx", "A 3067-2025")</f>
        <v/>
      </c>
      <c r="AD50">
        <f>HYPERLINK("https://klasma.github.io/Logging_2081/tillsynsmail/A 3067-2025 tillsynsbegäran mail.docx", "A 3067-2025")</f>
        <v/>
      </c>
      <c r="AE50">
        <f>HYPERLINK("https://klasma.github.io/Logging_2081/fåglar/A 3067-2025 prioriterade fågelarter.docx", "A 3067-2025")</f>
        <v/>
      </c>
    </row>
    <row r="51" ht="15" customHeight="1">
      <c r="A51" t="inlineStr">
        <is>
          <t>A 9315-2026</t>
        </is>
      </c>
      <c r="B51" t="inlineStr">
        <is>
          <t>avverkningsanmälan</t>
        </is>
      </c>
      <c r="C51" t="inlineStr">
        <is>
          <t>Föryngringsavverkning</t>
        </is>
      </c>
      <c r="D51" s="1" t="n">
        <v>46070</v>
      </c>
      <c r="E51" s="1" t="n">
        <v>46326</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9315-2026 artfynd.xlsx", "A 9315-2026")</f>
        <v/>
      </c>
      <c r="X51">
        <f>HYPERLINK("https://klasma.github.io/Logging_2081/kartor/A 9315-2026 karta.png", "A 9315-2026")</f>
        <v/>
      </c>
      <c r="Y51">
        <f>HYPERLINK("https://klasma.github.io/Logging_2081/kartor_geotiff/A 9315-2026 georefererad karta.tif", "A 9315-2026")</f>
        <v/>
      </c>
      <c r="AA51">
        <f>HYPERLINK("https://klasma.github.io/Logging_2081/klagomål/A 9315-2026 FSC-klagomål.docx", "A 9315-2026")</f>
        <v/>
      </c>
      <c r="AB51">
        <f>HYPERLINK("https://klasma.github.io/Logging_2081/klagomålsmail/A 9315-2026 FSC-klagomål mail.docx", "A 9315-2026")</f>
        <v/>
      </c>
      <c r="AC51">
        <f>HYPERLINK("https://klasma.github.io/Logging_2081/tillsyn/A 9315-2026 tillsynsbegäran.docx", "A 9315-2026")</f>
        <v/>
      </c>
      <c r="AD51">
        <f>HYPERLINK("https://klasma.github.io/Logging_2081/tillsynsmail/A 9315-2026 tillsynsbegäran mail.docx", "A 9315-2026")</f>
        <v/>
      </c>
      <c r="AE51">
        <f>HYPERLINK("https://klasma.github.io/Logging_2081/fåglar/A 9315-2026 prioriterade fågelarter.docx", "A 9315-2026")</f>
        <v/>
      </c>
    </row>
    <row r="52" ht="15" customHeight="1">
      <c r="A52" t="inlineStr">
        <is>
          <t>A 6832-2024</t>
        </is>
      </c>
      <c r="B52" t="inlineStr">
        <is>
          <t>avverkningsanmälan</t>
        </is>
      </c>
      <c r="C52" t="inlineStr">
        <is>
          <t>Föryngringsavverkning</t>
        </is>
      </c>
      <c r="D52" s="1" t="n">
        <v>45342</v>
      </c>
      <c r="E52" s="1" t="n">
        <v>46326</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9959-2026</t>
        </is>
      </c>
      <c r="B53" t="inlineStr">
        <is>
          <t>avverkningsanmälan</t>
        </is>
      </c>
      <c r="C53" t="inlineStr">
        <is>
          <t>Föryngringsavverkning</t>
        </is>
      </c>
      <c r="D53" s="1" t="n">
        <v>46073</v>
      </c>
      <c r="E53" s="1" t="n">
        <v>46326</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37708-2024</t>
        </is>
      </c>
      <c r="B54" t="inlineStr">
        <is>
          <t>avverkningsanmälan</t>
        </is>
      </c>
      <c r="C54" t="inlineStr">
        <is>
          <t>Föryngringsavverkning</t>
        </is>
      </c>
      <c r="D54" s="1" t="n">
        <v>45541</v>
      </c>
      <c r="E54" s="1" t="n">
        <v>46326</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40235-2026</t>
        </is>
      </c>
      <c r="B55" t="inlineStr">
        <is>
          <t>avverkningsanmälan</t>
        </is>
      </c>
      <c r="C55" t="inlineStr">
        <is>
          <t>Föryngringsavverkning</t>
        </is>
      </c>
      <c r="D55" s="1" t="n">
        <v>46290</v>
      </c>
      <c r="E55" s="1" t="n">
        <v>46326</v>
      </c>
      <c r="F55" t="inlineStr">
        <is>
          <t>DALARNAS LÄN</t>
        </is>
      </c>
      <c r="G55" t="inlineStr">
        <is>
          <t>BORLÄNGE</t>
        </is>
      </c>
      <c r="I55" t="n">
        <v>1.9</v>
      </c>
      <c r="J55" t="n">
        <v>3</v>
      </c>
      <c r="K55" t="n">
        <v>0</v>
      </c>
      <c r="L55" t="n">
        <v>1</v>
      </c>
      <c r="M55" t="n">
        <v>0</v>
      </c>
      <c r="N55" t="n">
        <v>0</v>
      </c>
      <c r="O55" t="n">
        <v>0</v>
      </c>
      <c r="P55" t="n">
        <v>0</v>
      </c>
      <c r="Q55" t="n">
        <v>1</v>
      </c>
      <c r="R55" t="n">
        <v>0</v>
      </c>
      <c r="S55" t="n">
        <v>3</v>
      </c>
      <c r="T55" t="n">
        <v>5</v>
      </c>
      <c r="U55" t="n">
        <v>0</v>
      </c>
      <c r="V55" s="2" t="inlineStr">
        <is>
          <t>Talltita
Tjäder
Kungsfågel</t>
        </is>
      </c>
      <c r="W55">
        <f>HYPERLINK("https://klasma.github.io/Logging_2081/artfynd/A 40235-2026 artfynd.xlsx", "A 40235-2026")</f>
        <v/>
      </c>
      <c r="X55">
        <f>HYPERLINK("https://klasma.github.io/Logging_2081/kartor/A 40235-2026 karta.png", "A 40235-2026")</f>
        <v/>
      </c>
      <c r="Y55">
        <f>HYPERLINK("https://klasma.github.io/Logging_2081/kartor_geotiff/A 40235-2026 georefererad karta.tif", "A 40235-2026")</f>
        <v/>
      </c>
      <c r="Z55">
        <f>HYPERLINK("https://klasma.github.io/Logging_2081/knärot/A 40235-2026 karta knärot.png", "A 40235-2026")</f>
        <v/>
      </c>
      <c r="AA55">
        <f>HYPERLINK("https://klasma.github.io/Logging_2081/klagomål/A 40235-2026 FSC-klagomål.docx", "A 40235-2026")</f>
        <v/>
      </c>
      <c r="AB55">
        <f>HYPERLINK("https://klasma.github.io/Logging_2081/klagomålsmail/A 40235-2026 FSC-klagomål mail.docx", "A 40235-2026")</f>
        <v/>
      </c>
      <c r="AC55">
        <f>HYPERLINK("https://klasma.github.io/Logging_2081/tillsyn/A 40235-2026 tillsynsbegäran.docx", "A 40235-2026")</f>
        <v/>
      </c>
      <c r="AD55">
        <f>HYPERLINK("https://klasma.github.io/Logging_2081/tillsynsmail/A 40235-2026 tillsynsbegäran mail.docx", "A 40235-2026")</f>
        <v/>
      </c>
      <c r="AE55">
        <f>HYPERLINK("https://klasma.github.io/Logging_2081/fåglar/A 40235-2026 prioriterade fågelarter.docx", "A 40235-2026")</f>
        <v/>
      </c>
    </row>
    <row r="56" ht="15" customHeight="1">
      <c r="A56" t="inlineStr">
        <is>
          <t>A 21302-2022</t>
        </is>
      </c>
      <c r="B56" t="inlineStr">
        <is>
          <t>avverkningsanmälan</t>
        </is>
      </c>
      <c r="C56" t="inlineStr">
        <is>
          <t>Föryngringsavverkning</t>
        </is>
      </c>
      <c r="D56" s="1" t="n">
        <v>44705</v>
      </c>
      <c r="E56" s="1" t="n">
        <v>46326</v>
      </c>
      <c r="F56" t="inlineStr">
        <is>
          <t>DALARNAS LÄN</t>
        </is>
      </c>
      <c r="G56" t="inlineStr">
        <is>
          <t>BORLÄNGE</t>
        </is>
      </c>
      <c r="I56" t="n">
        <v>0.9</v>
      </c>
      <c r="J56" t="n">
        <v>1</v>
      </c>
      <c r="K56" t="n">
        <v>0</v>
      </c>
      <c r="L56" t="n">
        <v>1</v>
      </c>
      <c r="M56" t="n">
        <v>1</v>
      </c>
      <c r="N56" t="n">
        <v>0</v>
      </c>
      <c r="O56" t="n">
        <v>0</v>
      </c>
      <c r="P56" t="n">
        <v>0</v>
      </c>
      <c r="Q56" t="n">
        <v>2</v>
      </c>
      <c r="R56" t="n">
        <v>1</v>
      </c>
      <c r="S56" t="n">
        <v>2</v>
      </c>
      <c r="T56" t="n">
        <v>27</v>
      </c>
      <c r="U56" t="n">
        <v>3</v>
      </c>
      <c r="V56" s="2" t="inlineStr">
        <is>
          <t>Brun gräsfjäril
Älg</t>
        </is>
      </c>
      <c r="W56">
        <f>HYPERLINK("https://klasma.github.io/Logging_2081/artfynd/A 21302-2022 artfynd.xlsx", "A 21302-2022")</f>
        <v/>
      </c>
      <c r="X56">
        <f>HYPERLINK("https://klasma.github.io/Logging_2081/kartor/A 21302-2022 karta.png", "A 21302-2022")</f>
        <v/>
      </c>
      <c r="Y56">
        <f>HYPERLINK("https://klasma.github.io/Logging_2081/kartor_geotiff/A 21302-2022 georefererad karta.tif", "A 21302-2022")</f>
        <v/>
      </c>
      <c r="AA56">
        <f>HYPERLINK("https://klasma.github.io/Logging_2081/klagomål/A 21302-2022 FSC-klagomål.docx", "A 21302-2022")</f>
        <v/>
      </c>
      <c r="AB56">
        <f>HYPERLINK("https://klasma.github.io/Logging_2081/klagomålsmail/A 21302-2022 FSC-klagomål mail.docx", "A 21302-2022")</f>
        <v/>
      </c>
      <c r="AC56">
        <f>HYPERLINK("https://klasma.github.io/Logging_2081/tillsyn/A 21302-2022 tillsynsbegäran.docx", "A 21302-2022")</f>
        <v/>
      </c>
      <c r="AD56">
        <f>HYPERLINK("https://klasma.github.io/Logging_2081/tillsynsmail/A 21302-2022 tillsynsbegäran mail.docx", "A 21302-2022")</f>
        <v/>
      </c>
    </row>
    <row r="57" ht="15" customHeight="1">
      <c r="A57" t="inlineStr">
        <is>
          <t>A 60150-2023</t>
        </is>
      </c>
      <c r="B57" t="inlineStr">
        <is>
          <t>avverkningsanmälan</t>
        </is>
      </c>
      <c r="C57" t="inlineStr">
        <is>
          <t>Föryngringsavverkning</t>
        </is>
      </c>
      <c r="D57" s="1" t="n">
        <v>45258</v>
      </c>
      <c r="E57" s="1" t="n">
        <v>46326</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90-2026</t>
        </is>
      </c>
      <c r="B58" t="inlineStr">
        <is>
          <t>avverkningsanmälan</t>
        </is>
      </c>
      <c r="C58" t="inlineStr">
        <is>
          <t>Föryngringsavverkning</t>
        </is>
      </c>
      <c r="D58" s="1" t="n">
        <v>46024</v>
      </c>
      <c r="E58" s="1" t="n">
        <v>46326</v>
      </c>
      <c r="F58" t="inlineStr">
        <is>
          <t>DALARNAS LÄN</t>
        </is>
      </c>
      <c r="G58" t="inlineStr">
        <is>
          <t>BORLÄNGE</t>
        </is>
      </c>
      <c r="I58" t="n">
        <v>8</v>
      </c>
      <c r="J58" t="n">
        <v>2</v>
      </c>
      <c r="K58" t="n">
        <v>0</v>
      </c>
      <c r="L58" t="n">
        <v>0</v>
      </c>
      <c r="M58" t="n">
        <v>0</v>
      </c>
      <c r="N58" t="n">
        <v>0</v>
      </c>
      <c r="O58" t="n">
        <v>0</v>
      </c>
      <c r="P58" t="n">
        <v>0</v>
      </c>
      <c r="Q58" t="n">
        <v>0</v>
      </c>
      <c r="R58" t="n">
        <v>0</v>
      </c>
      <c r="S58" t="n">
        <v>2</v>
      </c>
      <c r="T58" t="n">
        <v>5</v>
      </c>
      <c r="U58" t="n">
        <v>0</v>
      </c>
      <c r="V58" s="2" t="inlineStr">
        <is>
          <t>Fläcknycklar
Revlummer</t>
        </is>
      </c>
      <c r="W58">
        <f>HYPERLINK("https://klasma.github.io/Logging_2081/artfynd/A 90-2026 artfynd.xlsx", "A 90-2026")</f>
        <v/>
      </c>
      <c r="X58">
        <f>HYPERLINK("https://klasma.github.io/Logging_2081/kartor/A 90-2026 karta.png", "A 90-2026")</f>
        <v/>
      </c>
      <c r="Y58">
        <f>HYPERLINK("https://klasma.github.io/Logging_2081/kartor_geotiff/A 90-2026 georefererad karta.tif", "A 90-2026")</f>
        <v/>
      </c>
      <c r="AA58">
        <f>HYPERLINK("https://klasma.github.io/Logging_2081/klagomål/A 90-2026 FSC-klagomål.docx", "A 90-2026")</f>
        <v/>
      </c>
      <c r="AB58">
        <f>HYPERLINK("https://klasma.github.io/Logging_2081/klagomålsmail/A 90-2026 FSC-klagomål mail.docx", "A 90-2026")</f>
        <v/>
      </c>
      <c r="AC58">
        <f>HYPERLINK("https://klasma.github.io/Logging_2081/tillsyn/A 90-2026 tillsynsbegäran.docx", "A 90-2026")</f>
        <v/>
      </c>
      <c r="AD58">
        <f>HYPERLINK("https://klasma.github.io/Logging_2081/tillsynsmail/A 90-2026 tillsynsbegäran mail.docx", "A 90-2026")</f>
        <v/>
      </c>
    </row>
    <row r="59" ht="15" customHeight="1">
      <c r="A59" t="inlineStr">
        <is>
          <t>A 42040-2023</t>
        </is>
      </c>
      <c r="B59" t="inlineStr">
        <is>
          <t>avverkningsanmälan</t>
        </is>
      </c>
      <c r="C59" t="inlineStr">
        <is>
          <t>Föryngringsavverkning</t>
        </is>
      </c>
      <c r="D59" s="1" t="n">
        <v>45177</v>
      </c>
      <c r="E59" s="1" t="n">
        <v>46326</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3515-2023</t>
        </is>
      </c>
      <c r="B60" t="inlineStr">
        <is>
          <t>avverkningsanmälan</t>
        </is>
      </c>
      <c r="C60" t="inlineStr">
        <is>
          <t>Föryngringsavverkning</t>
        </is>
      </c>
      <c r="D60" s="1" t="n">
        <v>44950</v>
      </c>
      <c r="E60" s="1" t="n">
        <v>46326</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8504-2025</t>
        </is>
      </c>
      <c r="B61" t="inlineStr">
        <is>
          <t>avverkningsanmälan</t>
        </is>
      </c>
      <c r="C61" t="inlineStr">
        <is>
          <t>Avverkning för annat ändamål</t>
        </is>
      </c>
      <c r="D61" s="1" t="n">
        <v>45709</v>
      </c>
      <c r="E61" s="1" t="n">
        <v>46326</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21926-2023</t>
        </is>
      </c>
      <c r="B62" t="inlineStr">
        <is>
          <t>avverkningsanmälan</t>
        </is>
      </c>
      <c r="C62" t="inlineStr">
        <is>
          <t>Föryngringsavverkning</t>
        </is>
      </c>
      <c r="D62" s="1" t="n">
        <v>45068</v>
      </c>
      <c r="E62" s="1" t="n">
        <v>46326</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46326</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60152-2023</t>
        </is>
      </c>
      <c r="B64" t="inlineStr">
        <is>
          <t>avverkningsanmälan</t>
        </is>
      </c>
      <c r="C64" t="inlineStr">
        <is>
          <t>Föryngringsavverkning</t>
        </is>
      </c>
      <c r="D64" s="1" t="n">
        <v>45258</v>
      </c>
      <c r="E64" s="1" t="n">
        <v>46326</v>
      </c>
      <c r="F64" t="inlineStr">
        <is>
          <t>DALARNAS LÄN</t>
        </is>
      </c>
      <c r="G64" t="inlineStr">
        <is>
          <t>BORLÄNGE</t>
        </is>
      </c>
      <c r="I64" t="n">
        <v>1</v>
      </c>
      <c r="J64" t="n">
        <v>2</v>
      </c>
      <c r="K64" t="n">
        <v>1</v>
      </c>
      <c r="L64" t="n">
        <v>0</v>
      </c>
      <c r="M64" t="n">
        <v>0</v>
      </c>
      <c r="N64" t="n">
        <v>0</v>
      </c>
      <c r="O64" t="n">
        <v>0</v>
      </c>
      <c r="P64" t="n">
        <v>0</v>
      </c>
      <c r="Q64" t="n">
        <v>0</v>
      </c>
      <c r="R64" t="n">
        <v>0</v>
      </c>
      <c r="S64" t="n">
        <v>2</v>
      </c>
      <c r="T64" t="n">
        <v>3</v>
      </c>
      <c r="U64" t="n">
        <v>0</v>
      </c>
      <c r="V64" s="2" t="inlineStr">
        <is>
          <t>Tvåblad
Tjäder</t>
        </is>
      </c>
      <c r="W64">
        <f>HYPERLINK("https://klasma.github.io/Logging_2081/artfynd/A 60152-2023 artfynd.xlsx", "A 60152-2023")</f>
        <v/>
      </c>
      <c r="X64">
        <f>HYPERLINK("https://klasma.github.io/Logging_2081/kartor/A 60152-2023 karta.png", "A 60152-2023")</f>
        <v/>
      </c>
      <c r="Y64">
        <f>HYPERLINK("https://klasma.github.io/Logging_2081/kartor_geotiff/A 60152-2023 georefererad karta.tif", "A 60152-2023")</f>
        <v/>
      </c>
      <c r="AA64">
        <f>HYPERLINK("https://klasma.github.io/Logging_2081/klagomål/A 60152-2023 FSC-klagomål.docx", "A 60152-2023")</f>
        <v/>
      </c>
      <c r="AB64">
        <f>HYPERLINK("https://klasma.github.io/Logging_2081/klagomålsmail/A 60152-2023 FSC-klagomål mail.docx", "A 60152-2023")</f>
        <v/>
      </c>
      <c r="AC64">
        <f>HYPERLINK("https://klasma.github.io/Logging_2081/tillsyn/A 60152-2023 tillsynsbegäran.docx", "A 60152-2023")</f>
        <v/>
      </c>
      <c r="AD64">
        <f>HYPERLINK("https://klasma.github.io/Logging_2081/tillsynsmail/A 60152-2023 tillsynsbegäran mail.docx", "A 60152-2023")</f>
        <v/>
      </c>
      <c r="AE64">
        <f>HYPERLINK("https://klasma.github.io/Logging_2081/fåglar/A 60152-2023 prioriterade fågelarter.docx", "A 60152-2023")</f>
        <v/>
      </c>
    </row>
    <row r="65" ht="15" customHeight="1">
      <c r="A65" t="inlineStr">
        <is>
          <t>A 23652-2023</t>
        </is>
      </c>
      <c r="B65" t="inlineStr">
        <is>
          <t>avverkningsanmälan</t>
        </is>
      </c>
      <c r="C65" t="inlineStr">
        <is>
          <t>Avverkning för annat ändamål</t>
        </is>
      </c>
      <c r="D65" s="1" t="n">
        <v>45074</v>
      </c>
      <c r="E65" s="1" t="n">
        <v>46326</v>
      </c>
      <c r="F65" t="inlineStr">
        <is>
          <t>DALARNAS LÄN</t>
        </is>
      </c>
      <c r="G65" t="inlineStr">
        <is>
          <t>BORLÄNGE</t>
        </is>
      </c>
      <c r="I65" t="n">
        <v>1.4</v>
      </c>
      <c r="J65" t="n">
        <v>1</v>
      </c>
      <c r="K65" t="n">
        <v>1</v>
      </c>
      <c r="L65" t="n">
        <v>0</v>
      </c>
      <c r="M65" t="n">
        <v>0</v>
      </c>
      <c r="N65" t="n">
        <v>0</v>
      </c>
      <c r="O65" t="n">
        <v>0</v>
      </c>
      <c r="P65" t="n">
        <v>0</v>
      </c>
      <c r="Q65" t="n">
        <v>0</v>
      </c>
      <c r="R65" t="n">
        <v>0</v>
      </c>
      <c r="S65" t="n">
        <v>2</v>
      </c>
      <c r="T65" t="n">
        <v>2</v>
      </c>
      <c r="U65" t="n">
        <v>1</v>
      </c>
      <c r="V65" s="2" t="inlineStr">
        <is>
          <t>Tibast
Spillkråka</t>
        </is>
      </c>
      <c r="W65">
        <f>HYPERLINK("https://klasma.github.io/Logging_2081/artfynd/A 23652-2023 artfynd.xlsx", "A 23652-2023")</f>
        <v/>
      </c>
      <c r="X65">
        <f>HYPERLINK("https://klasma.github.io/Logging_2081/kartor/A 23652-2023 karta.png", "A 23652-2023")</f>
        <v/>
      </c>
      <c r="Y65">
        <f>HYPERLINK("https://klasma.github.io/Logging_2081/kartor_geotiff/A 23652-2023 georefererad karta.tif", "A 23652-2023")</f>
        <v/>
      </c>
      <c r="AA65">
        <f>HYPERLINK("https://klasma.github.io/Logging_2081/klagomål/A 23652-2023 FSC-klagomål.docx", "A 23652-2023")</f>
        <v/>
      </c>
      <c r="AB65">
        <f>HYPERLINK("https://klasma.github.io/Logging_2081/klagomålsmail/A 23652-2023 FSC-klagomål mail.docx", "A 23652-2023")</f>
        <v/>
      </c>
      <c r="AC65">
        <f>HYPERLINK("https://klasma.github.io/Logging_2081/tillsyn/A 23652-2023 tillsynsbegäran.docx", "A 23652-2023")</f>
        <v/>
      </c>
      <c r="AD65">
        <f>HYPERLINK("https://klasma.github.io/Logging_2081/tillsynsmail/A 23652-2023 tillsynsbegäran mail.docx", "A 23652-2023")</f>
        <v/>
      </c>
      <c r="AE65">
        <f>HYPERLINK("https://klasma.github.io/Logging_2081/fåglar/A 23652-2023 prioriterade fågelarter.docx", "A 23652-2023")</f>
        <v/>
      </c>
    </row>
    <row r="66" ht="15" customHeight="1">
      <c r="A66" t="inlineStr">
        <is>
          <t>A 4682-2025</t>
        </is>
      </c>
      <c r="B66" t="inlineStr">
        <is>
          <t>avverkningsanmälan</t>
        </is>
      </c>
      <c r="C66" t="inlineStr">
        <is>
          <t>Föryngringsavverkning</t>
        </is>
      </c>
      <c r="D66" s="1" t="n">
        <v>45687</v>
      </c>
      <c r="E66" s="1" t="n">
        <v>46326</v>
      </c>
      <c r="F66" t="inlineStr">
        <is>
          <t>DALARNAS LÄN</t>
        </is>
      </c>
      <c r="G66" t="inlineStr">
        <is>
          <t>BORLÄNGE</t>
        </is>
      </c>
      <c r="I66" t="n">
        <v>0.6</v>
      </c>
      <c r="J66" t="n">
        <v>1</v>
      </c>
      <c r="K66" t="n">
        <v>1</v>
      </c>
      <c r="L66" t="n">
        <v>0</v>
      </c>
      <c r="M66" t="n">
        <v>0</v>
      </c>
      <c r="N66" t="n">
        <v>0</v>
      </c>
      <c r="O66" t="n">
        <v>0</v>
      </c>
      <c r="P66" t="n">
        <v>0</v>
      </c>
      <c r="Q66" t="n">
        <v>0</v>
      </c>
      <c r="R66" t="n">
        <v>0</v>
      </c>
      <c r="S66" t="n">
        <v>2</v>
      </c>
      <c r="T66" t="n">
        <v>2</v>
      </c>
      <c r="U66" t="n">
        <v>2</v>
      </c>
      <c r="V66" s="2" t="inlineStr">
        <is>
          <t>Vedticka
Tjäder</t>
        </is>
      </c>
      <c r="W66">
        <f>HYPERLINK("https://klasma.github.io/Logging_2081/artfynd/A 4682-2025 artfynd.xlsx", "A 4682-2025")</f>
        <v/>
      </c>
      <c r="X66">
        <f>HYPERLINK("https://klasma.github.io/Logging_2081/kartor/A 4682-2025 karta.png", "A 4682-2025")</f>
        <v/>
      </c>
      <c r="Y66">
        <f>HYPERLINK("https://klasma.github.io/Logging_2081/kartor_geotiff/A 4682-2025 georefererad karta.tif", "A 4682-2025")</f>
        <v/>
      </c>
      <c r="AA66">
        <f>HYPERLINK("https://klasma.github.io/Logging_2081/klagomål/A 4682-2025 FSC-klagomål.docx", "A 4682-2025")</f>
        <v/>
      </c>
      <c r="AB66">
        <f>HYPERLINK("https://klasma.github.io/Logging_2081/klagomålsmail/A 4682-2025 FSC-klagomål mail.docx", "A 4682-2025")</f>
        <v/>
      </c>
      <c r="AC66">
        <f>HYPERLINK("https://klasma.github.io/Logging_2081/tillsyn/A 4682-2025 tillsynsbegäran.docx", "A 4682-2025")</f>
        <v/>
      </c>
      <c r="AD66">
        <f>HYPERLINK("https://klasma.github.io/Logging_2081/tillsynsmail/A 4682-2025 tillsynsbegäran mail.docx", "A 4682-2025")</f>
        <v/>
      </c>
      <c r="AE66">
        <f>HYPERLINK("https://klasma.github.io/Logging_2081/fåglar/A 4682-2025 prioriterade fågelarter.docx", "A 4682-2025")</f>
        <v/>
      </c>
    </row>
    <row r="67" ht="15" customHeight="1">
      <c r="A67" t="inlineStr">
        <is>
          <t>A 2303-2026</t>
        </is>
      </c>
      <c r="B67" t="inlineStr">
        <is>
          <t>avverkningsanmälan</t>
        </is>
      </c>
      <c r="C67" t="inlineStr">
        <is>
          <t>Föryngringsavverkning</t>
        </is>
      </c>
      <c r="D67" s="1" t="n">
        <v>46036</v>
      </c>
      <c r="E67" s="1" t="n">
        <v>46326</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t="n">
        <v>0</v>
      </c>
      <c r="V67" s="2" t="inlineStr">
        <is>
          <t>Skarp dropptaggsvamp
Järpe</t>
        </is>
      </c>
      <c r="W67">
        <f>HYPERLINK("https://klasma.github.io/Logging_2081/artfynd/A 2303-2026 artfynd.xlsx", "A 2303-2026")</f>
        <v/>
      </c>
      <c r="X67">
        <f>HYPERLINK("https://klasma.github.io/Logging_2081/kartor/A 2303-2026 karta.png", "A 2303-2026")</f>
        <v/>
      </c>
      <c r="Y67">
        <f>HYPERLINK("https://klasma.github.io/Logging_2081/kartor_geotiff/A 2303-2026 georefererad karta.tif", "A 2303-2026")</f>
        <v/>
      </c>
      <c r="AA67">
        <f>HYPERLINK("https://klasma.github.io/Logging_2081/klagomål/A 2303-2026 FSC-klagomål.docx", "A 2303-2026")</f>
        <v/>
      </c>
      <c r="AB67">
        <f>HYPERLINK("https://klasma.github.io/Logging_2081/klagomålsmail/A 2303-2026 FSC-klagomål mail.docx", "A 2303-2026")</f>
        <v/>
      </c>
      <c r="AC67">
        <f>HYPERLINK("https://klasma.github.io/Logging_2081/tillsyn/A 2303-2026 tillsynsbegäran.docx", "A 2303-2026")</f>
        <v/>
      </c>
      <c r="AD67">
        <f>HYPERLINK("https://klasma.github.io/Logging_2081/tillsynsmail/A 2303-2026 tillsynsbegäran mail.docx", "A 2303-2026")</f>
        <v/>
      </c>
      <c r="AE67">
        <f>HYPERLINK("https://klasma.github.io/Logging_2081/fåglar/A 2303-2026 prioriterade fågelarter.docx", "A 2303-2026")</f>
        <v/>
      </c>
    </row>
    <row r="68" ht="15" customHeight="1">
      <c r="A68" t="inlineStr">
        <is>
          <t>A 39377-2024</t>
        </is>
      </c>
      <c r="B68" t="inlineStr">
        <is>
          <t>avverkningsanmälan</t>
        </is>
      </c>
      <c r="C68" t="inlineStr">
        <is>
          <t>Föryngringsavverkning</t>
        </is>
      </c>
      <c r="D68" s="1" t="n">
        <v>45551</v>
      </c>
      <c r="E68" s="1" t="n">
        <v>46326</v>
      </c>
      <c r="F68" t="inlineStr">
        <is>
          <t>DALARNAS LÄN</t>
        </is>
      </c>
      <c r="G68" t="inlineStr">
        <is>
          <t>BORLÄNGE</t>
        </is>
      </c>
      <c r="I68" t="n">
        <v>1</v>
      </c>
      <c r="J68" t="n">
        <v>0</v>
      </c>
      <c r="K68" t="n">
        <v>0</v>
      </c>
      <c r="L68" t="n">
        <v>2</v>
      </c>
      <c r="M68" t="n">
        <v>0</v>
      </c>
      <c r="N68" t="n">
        <v>0</v>
      </c>
      <c r="O68" t="n">
        <v>0</v>
      </c>
      <c r="P68" t="n">
        <v>0</v>
      </c>
      <c r="Q68" t="n">
        <v>2</v>
      </c>
      <c r="R68" t="n">
        <v>0</v>
      </c>
      <c r="S68" t="n">
        <v>2</v>
      </c>
      <c r="T68" t="n">
        <v>2</v>
      </c>
      <c r="U68" t="n">
        <v>0</v>
      </c>
      <c r="V68" s="2" t="inlineStr">
        <is>
          <t>Rosenticka
Ullticka</t>
        </is>
      </c>
      <c r="W68">
        <f>HYPERLINK("https://klasma.github.io/Logging_2081/artfynd/A 39377-2024 artfynd.xlsx", "A 39377-2024")</f>
        <v/>
      </c>
      <c r="X68">
        <f>HYPERLINK("https://klasma.github.io/Logging_2081/kartor/A 39377-2024 karta.png", "A 39377-2024")</f>
        <v/>
      </c>
      <c r="Y68">
        <f>HYPERLINK("https://klasma.github.io/Logging_2081/kartor_geotiff/A 39377-2024 georefererad karta.tif", "A 39377-2024")</f>
        <v/>
      </c>
      <c r="AA68">
        <f>HYPERLINK("https://klasma.github.io/Logging_2081/klagomål/A 39377-2024 FSC-klagomål.docx", "A 39377-2024")</f>
        <v/>
      </c>
      <c r="AB68">
        <f>HYPERLINK("https://klasma.github.io/Logging_2081/klagomålsmail/A 39377-2024 FSC-klagomål mail.docx", "A 39377-2024")</f>
        <v/>
      </c>
      <c r="AC68">
        <f>HYPERLINK("https://klasma.github.io/Logging_2081/tillsyn/A 39377-2024 tillsynsbegäran.docx", "A 39377-2024")</f>
        <v/>
      </c>
      <c r="AD68">
        <f>HYPERLINK("https://klasma.github.io/Logging_2081/tillsynsmail/A 39377-2024 tillsynsbegäran mail.docx", "A 39377-2024")</f>
        <v/>
      </c>
    </row>
    <row r="69" ht="15" customHeight="1">
      <c r="A69" t="inlineStr">
        <is>
          <t>A 10740-2024</t>
        </is>
      </c>
      <c r="B69" t="inlineStr">
        <is>
          <t>avverkningsanmälan</t>
        </is>
      </c>
      <c r="C69" t="inlineStr">
        <is>
          <t>Föryngringsavverkning</t>
        </is>
      </c>
      <c r="D69" s="1" t="n">
        <v>45369</v>
      </c>
      <c r="E69" s="1" t="n">
        <v>46326</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52510-2022</t>
        </is>
      </c>
      <c r="B70" t="inlineStr">
        <is>
          <t>avverkningsanmälan</t>
        </is>
      </c>
      <c r="C70" t="inlineStr">
        <is>
          <t>Föryngringsavverkning</t>
        </is>
      </c>
      <c r="D70" s="1" t="n">
        <v>44874</v>
      </c>
      <c r="E70" s="1" t="n">
        <v>46326</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23947-2026</t>
        </is>
      </c>
      <c r="B71" t="inlineStr">
        <is>
          <t>avverkningsanmälan</t>
        </is>
      </c>
      <c r="C71" t="inlineStr">
        <is>
          <t>Föryngringsavverkning</t>
        </is>
      </c>
      <c r="D71" s="1" t="n">
        <v>46167</v>
      </c>
      <c r="E71" s="1" t="n">
        <v>46326</v>
      </c>
      <c r="F71" t="inlineStr">
        <is>
          <t>DALARNAS LÄN</t>
        </is>
      </c>
      <c r="G71" t="inlineStr">
        <is>
          <t>BORLÄNGE</t>
        </is>
      </c>
      <c r="H71" t="inlineStr">
        <is>
          <t>Kommuner</t>
        </is>
      </c>
      <c r="I71" t="n">
        <v>3</v>
      </c>
      <c r="J71" t="n">
        <v>1</v>
      </c>
      <c r="K71" t="n">
        <v>0</v>
      </c>
      <c r="L71" t="n">
        <v>1</v>
      </c>
      <c r="M71" t="n">
        <v>0</v>
      </c>
      <c r="N71" t="n">
        <v>0</v>
      </c>
      <c r="O71" t="n">
        <v>0</v>
      </c>
      <c r="P71" t="n">
        <v>0</v>
      </c>
      <c r="Q71" t="n">
        <v>1</v>
      </c>
      <c r="R71" t="n">
        <v>0</v>
      </c>
      <c r="S71" t="n">
        <v>2</v>
      </c>
      <c r="T71" t="n">
        <v>3</v>
      </c>
      <c r="U71" t="n">
        <v>0</v>
      </c>
      <c r="V71" s="2" t="inlineStr">
        <is>
          <t>Älg
Spillkråka</t>
        </is>
      </c>
      <c r="W71">
        <f>HYPERLINK("https://klasma.github.io/Logging_2081/artfynd/A 23947-2026 artfynd.xlsx", "A 23947-2026")</f>
        <v/>
      </c>
      <c r="X71">
        <f>HYPERLINK("https://klasma.github.io/Logging_2081/kartor/A 23947-2026 karta.png", "A 23947-2026")</f>
        <v/>
      </c>
      <c r="Y71">
        <f>HYPERLINK("https://klasma.github.io/Logging_2081/kartor_geotiff/A 23947-2026 georefererad karta.tif", "A 23947-2026")</f>
        <v/>
      </c>
      <c r="AA71">
        <f>HYPERLINK("https://klasma.github.io/Logging_2081/klagomål/A 23947-2026 FSC-klagomål.docx", "A 23947-2026")</f>
        <v/>
      </c>
      <c r="AB71">
        <f>HYPERLINK("https://klasma.github.io/Logging_2081/klagomålsmail/A 23947-2026 FSC-klagomål mail.docx", "A 23947-2026")</f>
        <v/>
      </c>
      <c r="AC71">
        <f>HYPERLINK("https://klasma.github.io/Logging_2081/tillsyn/A 23947-2026 tillsynsbegäran.docx", "A 23947-2026")</f>
        <v/>
      </c>
      <c r="AD71">
        <f>HYPERLINK("https://klasma.github.io/Logging_2081/tillsynsmail/A 23947-2026 tillsynsbegäran mail.docx", "A 23947-2026")</f>
        <v/>
      </c>
      <c r="AE71">
        <f>HYPERLINK("https://klasma.github.io/Logging_2081/fåglar/A 23947-2026 prioriterade fågelarter.docx", "A 23947-2026")</f>
        <v/>
      </c>
    </row>
    <row r="72" ht="15" customHeight="1">
      <c r="A72" t="inlineStr">
        <is>
          <t>A 35594-2022</t>
        </is>
      </c>
      <c r="B72" t="inlineStr">
        <is>
          <t>avverkningsanmälan</t>
        </is>
      </c>
      <c r="C72" t="inlineStr">
        <is>
          <t>Föryngringsavverkning</t>
        </is>
      </c>
      <c r="D72" s="1" t="n">
        <v>44799</v>
      </c>
      <c r="E72" s="1" t="n">
        <v>46326</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30369-2026</t>
        </is>
      </c>
      <c r="B73" t="inlineStr">
        <is>
          <t>avverkningsanmälan</t>
        </is>
      </c>
      <c r="C73" t="inlineStr">
        <is>
          <t>Föryngringsavverkning</t>
        </is>
      </c>
      <c r="D73" s="1" t="n">
        <v>46209</v>
      </c>
      <c r="E73" s="1" t="n">
        <v>46326</v>
      </c>
      <c r="F73" t="inlineStr">
        <is>
          <t>DALARNAS LÄN</t>
        </is>
      </c>
      <c r="G73" t="inlineStr">
        <is>
          <t>BORLÄNGE</t>
        </is>
      </c>
      <c r="I73" t="n">
        <v>0.8</v>
      </c>
      <c r="J73" t="n">
        <v>0</v>
      </c>
      <c r="K73" t="n">
        <v>1</v>
      </c>
      <c r="L73" t="n">
        <v>1</v>
      </c>
      <c r="M73" t="n">
        <v>0</v>
      </c>
      <c r="N73" t="n">
        <v>0</v>
      </c>
      <c r="O73" t="n">
        <v>0</v>
      </c>
      <c r="P73" t="n">
        <v>0</v>
      </c>
      <c r="Q73" t="n">
        <v>1</v>
      </c>
      <c r="R73" t="n">
        <v>0</v>
      </c>
      <c r="S73" t="n">
        <v>2</v>
      </c>
      <c r="T73" t="n">
        <v>2</v>
      </c>
      <c r="U73" t="n">
        <v>0</v>
      </c>
      <c r="V73" s="2" t="inlineStr">
        <is>
          <t>Brunklöver
Hagfingersvamp</t>
        </is>
      </c>
      <c r="W73">
        <f>HYPERLINK("https://klasma.github.io/Logging_2081/artfynd/A 30369-2026 artfynd.xlsx", "A 30369-2026")</f>
        <v/>
      </c>
      <c r="X73">
        <f>HYPERLINK("https://klasma.github.io/Logging_2081/kartor/A 30369-2026 karta.png", "A 30369-2026")</f>
        <v/>
      </c>
      <c r="Y73">
        <f>HYPERLINK("https://klasma.github.io/Logging_2081/kartor_geotiff/A 30369-2026 georefererad karta.tif", "A 30369-2026")</f>
        <v/>
      </c>
      <c r="AA73">
        <f>HYPERLINK("https://klasma.github.io/Logging_2081/klagomål/A 30369-2026 FSC-klagomål.docx", "A 30369-2026")</f>
        <v/>
      </c>
      <c r="AB73">
        <f>HYPERLINK("https://klasma.github.io/Logging_2081/klagomålsmail/A 30369-2026 FSC-klagomål mail.docx", "A 30369-2026")</f>
        <v/>
      </c>
      <c r="AC73">
        <f>HYPERLINK("https://klasma.github.io/Logging_2081/tillsyn/A 30369-2026 tillsynsbegäran.docx", "A 30369-2026")</f>
        <v/>
      </c>
      <c r="AD73">
        <f>HYPERLINK("https://klasma.github.io/Logging_2081/tillsynsmail/A 30369-2026 tillsynsbegäran mail.docx", "A 30369-2026")</f>
        <v/>
      </c>
    </row>
    <row r="74" ht="15" customHeight="1">
      <c r="A74" t="inlineStr">
        <is>
          <t>A 12787-2024</t>
        </is>
      </c>
      <c r="B74" t="inlineStr">
        <is>
          <t>avverkningsanmälan</t>
        </is>
      </c>
      <c r="C74" t="inlineStr">
        <is>
          <t>Föryngringsavverkning</t>
        </is>
      </c>
      <c r="D74" s="1" t="n">
        <v>45384</v>
      </c>
      <c r="E74" s="1" t="n">
        <v>46326</v>
      </c>
      <c r="F74" t="inlineStr">
        <is>
          <t>DALARNAS LÄN</t>
        </is>
      </c>
      <c r="G74" t="inlineStr">
        <is>
          <t>BORLÄNGE</t>
        </is>
      </c>
      <c r="I74" t="n">
        <v>1.1</v>
      </c>
      <c r="J74" t="n">
        <v>2</v>
      </c>
      <c r="K74" t="n">
        <v>0</v>
      </c>
      <c r="L74" t="n">
        <v>2</v>
      </c>
      <c r="M74" t="n">
        <v>0</v>
      </c>
      <c r="N74" t="n">
        <v>0</v>
      </c>
      <c r="O74" t="n">
        <v>0</v>
      </c>
      <c r="P74" t="n">
        <v>0</v>
      </c>
      <c r="Q74" t="n">
        <v>2</v>
      </c>
      <c r="R74" t="n">
        <v>0</v>
      </c>
      <c r="S74" t="n">
        <v>2</v>
      </c>
      <c r="T74" t="n">
        <v>2</v>
      </c>
      <c r="U74" t="n">
        <v>2</v>
      </c>
      <c r="V74" s="2" t="inlineStr">
        <is>
          <t>Gulsparv
Rödvingetrast</t>
        </is>
      </c>
      <c r="W74">
        <f>HYPERLINK("https://klasma.github.io/Logging_2081/artfynd/A 12787-2024 artfynd.xlsx", "A 12787-2024")</f>
        <v/>
      </c>
      <c r="X74">
        <f>HYPERLINK("https://klasma.github.io/Logging_2081/kartor/A 12787-2024 karta.png", "A 12787-2024")</f>
        <v/>
      </c>
      <c r="Y74">
        <f>HYPERLINK("https://klasma.github.io/Logging_2081/kartor_geotiff/A 12787-2024 georefererad karta.tif", "A 12787-2024")</f>
        <v/>
      </c>
      <c r="AA74">
        <f>HYPERLINK("https://klasma.github.io/Logging_2081/klagomål/A 12787-2024 FSC-klagomål.docx", "A 12787-2024")</f>
        <v/>
      </c>
      <c r="AB74">
        <f>HYPERLINK("https://klasma.github.io/Logging_2081/klagomålsmail/A 12787-2024 FSC-klagomål mail.docx", "A 12787-2024")</f>
        <v/>
      </c>
      <c r="AC74">
        <f>HYPERLINK("https://klasma.github.io/Logging_2081/tillsyn/A 12787-2024 tillsynsbegäran.docx", "A 12787-2024")</f>
        <v/>
      </c>
      <c r="AD74">
        <f>HYPERLINK("https://klasma.github.io/Logging_2081/tillsynsmail/A 12787-2024 tillsynsbegäran mail.docx", "A 12787-2024")</f>
        <v/>
      </c>
      <c r="AE74">
        <f>HYPERLINK("https://klasma.github.io/Logging_2081/fåglar/A 12787-2024 prioriterade fågelarter.docx", "A 12787-2024")</f>
        <v/>
      </c>
    </row>
    <row r="75" ht="15" customHeight="1">
      <c r="A75" t="inlineStr">
        <is>
          <t>A 39794-2026</t>
        </is>
      </c>
      <c r="B75" t="inlineStr">
        <is>
          <t>avverkningsanmälan</t>
        </is>
      </c>
      <c r="C75" t="inlineStr">
        <is>
          <t>Föryngringsavverkning</t>
        </is>
      </c>
      <c r="D75" s="1" t="n">
        <v>46290</v>
      </c>
      <c r="E75" s="1" t="n">
        <v>46326</v>
      </c>
      <c r="F75" t="inlineStr">
        <is>
          <t>DALARNAS LÄN</t>
        </is>
      </c>
      <c r="G75" t="inlineStr">
        <is>
          <t>BORLÄNGE</t>
        </is>
      </c>
      <c r="I75" t="n">
        <v>2.2</v>
      </c>
      <c r="J75" t="n">
        <v>1</v>
      </c>
      <c r="K75" t="n">
        <v>1</v>
      </c>
      <c r="L75" t="n">
        <v>0</v>
      </c>
      <c r="M75" t="n">
        <v>0</v>
      </c>
      <c r="N75" t="n">
        <v>0</v>
      </c>
      <c r="O75" t="n">
        <v>0</v>
      </c>
      <c r="P75" t="n">
        <v>0</v>
      </c>
      <c r="Q75" t="n">
        <v>0</v>
      </c>
      <c r="R75" t="n">
        <v>0</v>
      </c>
      <c r="S75" t="n">
        <v>2</v>
      </c>
      <c r="T75" t="n">
        <v>2</v>
      </c>
      <c r="U75" t="n">
        <v>0</v>
      </c>
      <c r="V75" s="2" t="inlineStr">
        <is>
          <t>Mindre märgborre
Tjäder</t>
        </is>
      </c>
      <c r="W75">
        <f>HYPERLINK("https://klasma.github.io/Logging_2081/artfynd/A 39794-2026 artfynd.xlsx", "A 39794-2026")</f>
        <v/>
      </c>
      <c r="X75">
        <f>HYPERLINK("https://klasma.github.io/Logging_2081/kartor/A 39794-2026 karta.png", "A 39794-2026")</f>
        <v/>
      </c>
      <c r="Y75">
        <f>HYPERLINK("https://klasma.github.io/Logging_2081/kartor_geotiff/A 39794-2026 georefererad karta.tif", "A 39794-2026")</f>
        <v/>
      </c>
      <c r="AA75">
        <f>HYPERLINK("https://klasma.github.io/Logging_2081/klagomål/A 39794-2026 FSC-klagomål.docx", "A 39794-2026")</f>
        <v/>
      </c>
      <c r="AB75">
        <f>HYPERLINK("https://klasma.github.io/Logging_2081/klagomålsmail/A 39794-2026 FSC-klagomål mail.docx", "A 39794-2026")</f>
        <v/>
      </c>
      <c r="AC75">
        <f>HYPERLINK("https://klasma.github.io/Logging_2081/tillsyn/A 39794-2026 tillsynsbegäran.docx", "A 39794-2026")</f>
        <v/>
      </c>
      <c r="AD75">
        <f>HYPERLINK("https://klasma.github.io/Logging_2081/tillsynsmail/A 39794-2026 tillsynsbegäran mail.docx", "A 39794-2026")</f>
        <v/>
      </c>
      <c r="AE75">
        <f>HYPERLINK("https://klasma.github.io/Logging_2081/fåglar/A 39794-2026 prioriterade fågelarter.docx", "A 39794-2026")</f>
        <v/>
      </c>
    </row>
    <row r="76" ht="15" customHeight="1">
      <c r="A76" t="inlineStr">
        <is>
          <t>A 37723-2024</t>
        </is>
      </c>
      <c r="B76" t="inlineStr">
        <is>
          <t>avverkningsanmälan</t>
        </is>
      </c>
      <c r="C76" t="inlineStr">
        <is>
          <t>Föryngringsavverkning</t>
        </is>
      </c>
      <c r="D76" s="1" t="n">
        <v>45541</v>
      </c>
      <c r="E76" s="1" t="n">
        <v>46326</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28299-2026</t>
        </is>
      </c>
      <c r="B77" t="inlineStr">
        <is>
          <t>avverkningsanmälan</t>
        </is>
      </c>
      <c r="C77" t="inlineStr">
        <is>
          <t>Föryngringsavverkning</t>
        </is>
      </c>
      <c r="D77" s="1" t="n">
        <v>46196</v>
      </c>
      <c r="E77" s="1" t="n">
        <v>46326</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46326</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S 3885-2023</t>
        </is>
      </c>
      <c r="B79" t="inlineStr">
        <is>
          <t>samrådsanmälan</t>
        </is>
      </c>
      <c r="C79" t="inlineStr">
        <is>
          <t>Annan skogsbruksåtgärd</t>
        </is>
      </c>
      <c r="D79" s="1" t="n">
        <v>45230</v>
      </c>
      <c r="E79" s="1" t="n">
        <v>46326</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46326</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46326</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46326</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22363-2022</t>
        </is>
      </c>
      <c r="B83" t="inlineStr">
        <is>
          <t>avverkningsanmälan</t>
        </is>
      </c>
      <c r="C83" t="inlineStr">
        <is>
          <t>Föryngringsavverkning</t>
        </is>
      </c>
      <c r="D83" s="1" t="n">
        <v>44713</v>
      </c>
      <c r="E83" s="1" t="n">
        <v>46326</v>
      </c>
      <c r="F83" t="inlineStr">
        <is>
          <t>DALARNAS LÄN</t>
        </is>
      </c>
      <c r="G83" t="inlineStr">
        <is>
          <t>BORLÄNGE</t>
        </is>
      </c>
      <c r="H83" t="inlineStr">
        <is>
          <t>Naturvårdsverket</t>
        </is>
      </c>
      <c r="I83" t="n">
        <v>0.8</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HYPERLINK("https://klasma.github.io/Logging_2081/artfynd/A 22363-2022 artfynd.xlsx", "A 22363-2022")</f>
        <v/>
      </c>
      <c r="X83">
        <f>HYPERLINK("https://klasma.github.io/Logging_2081/kartor/A 22363-2022 karta.png", "A 22363-2022")</f>
        <v/>
      </c>
      <c r="Y83">
        <f>HYPERLINK("https://klasma.github.io/Logging_2081/kartor_geotiff/A 22363-2022 georefererad karta.tif", "A 22363-2022")</f>
        <v/>
      </c>
      <c r="AA83">
        <f>HYPERLINK("https://klasma.github.io/Logging_2081/klagomål/A 22363-2022 FSC-klagomål.docx", "A 22363-2022")</f>
        <v/>
      </c>
      <c r="AB83">
        <f>HYPERLINK("https://klasma.github.io/Logging_2081/klagomålsmail/A 22363-2022 FSC-klagomål mail.docx", "A 22363-2022")</f>
        <v/>
      </c>
      <c r="AC83">
        <f>HYPERLINK("https://klasma.github.io/Logging_2081/tillsyn/A 22363-2022 tillsynsbegäran.docx", "A 22363-2022")</f>
        <v/>
      </c>
      <c r="AD83">
        <f>HYPERLINK("https://klasma.github.io/Logging_2081/tillsynsmail/A 22363-2022 tillsynsbegäran mail.docx", "A 22363-2022")</f>
        <v/>
      </c>
    </row>
    <row r="84" ht="15" customHeight="1">
      <c r="A84" t="inlineStr">
        <is>
          <t>A 7332-2022</t>
        </is>
      </c>
      <c r="B84" t="inlineStr">
        <is>
          <t>avverkningsanmälan</t>
        </is>
      </c>
      <c r="C84" t="inlineStr">
        <is>
          <t>Föryngringsavverkning</t>
        </is>
      </c>
      <c r="D84" s="1" t="n">
        <v>44606</v>
      </c>
      <c r="E84" s="1" t="n">
        <v>46326</v>
      </c>
      <c r="F84" t="inlineStr">
        <is>
          <t>DALARNAS LÄN</t>
        </is>
      </c>
      <c r="G84" t="inlineStr">
        <is>
          <t>BORLÄNGE</t>
        </is>
      </c>
      <c r="H84" t="inlineStr">
        <is>
          <t>Bergvik skog väst AB</t>
        </is>
      </c>
      <c r="I84" t="n">
        <v>1.4</v>
      </c>
      <c r="J84" t="n">
        <v>1</v>
      </c>
      <c r="K84" t="n">
        <v>0</v>
      </c>
      <c r="L84" t="n">
        <v>0</v>
      </c>
      <c r="M84" t="n">
        <v>0</v>
      </c>
      <c r="N84" t="n">
        <v>0</v>
      </c>
      <c r="O84" t="n">
        <v>0</v>
      </c>
      <c r="P84" t="n">
        <v>0</v>
      </c>
      <c r="Q84" t="n">
        <v>0</v>
      </c>
      <c r="R84" t="n">
        <v>0</v>
      </c>
      <c r="S84" t="n">
        <v>1</v>
      </c>
      <c r="T84" t="n">
        <v>1</v>
      </c>
      <c r="U84" t="n">
        <v>1</v>
      </c>
      <c r="V84" s="2" t="inlineStr">
        <is>
          <t>Nattviol</t>
        </is>
      </c>
      <c r="W84">
        <f>HYPERLINK("https://klasma.github.io/Logging_2081/artfynd/A 7332-2022 artfynd.xlsx", "A 7332-2022")</f>
        <v/>
      </c>
      <c r="X84">
        <f>HYPERLINK("https://klasma.github.io/Logging_2081/kartor/A 7332-2022 karta.png", "A 7332-2022")</f>
        <v/>
      </c>
      <c r="Y84">
        <f>HYPERLINK("https://klasma.github.io/Logging_2081/kartor_geotiff/A 7332-2022 georefererad karta.tif", "A 7332-2022")</f>
        <v/>
      </c>
      <c r="AA84">
        <f>HYPERLINK("https://klasma.github.io/Logging_2081/klagomål/A 7332-2022 FSC-klagomål.docx", "A 7332-2022")</f>
        <v/>
      </c>
      <c r="AB84">
        <f>HYPERLINK("https://klasma.github.io/Logging_2081/klagomålsmail/A 7332-2022 FSC-klagomål mail.docx", "A 7332-2022")</f>
        <v/>
      </c>
      <c r="AC84">
        <f>HYPERLINK("https://klasma.github.io/Logging_2081/tillsyn/A 7332-2022 tillsynsbegäran.docx", "A 7332-2022")</f>
        <v/>
      </c>
      <c r="AD84">
        <f>HYPERLINK("https://klasma.github.io/Logging_2081/tillsynsmail/A 7332-2022 tillsynsbegäran mail.docx", "A 7332-2022")</f>
        <v/>
      </c>
    </row>
    <row r="85" ht="15" customHeight="1">
      <c r="A85" t="inlineStr">
        <is>
          <t>A 24761-2025</t>
        </is>
      </c>
      <c r="B85" t="inlineStr">
        <is>
          <t>avverkningsanmälan</t>
        </is>
      </c>
      <c r="C85" t="inlineStr">
        <is>
          <t>Föryngringsavverkning</t>
        </is>
      </c>
      <c r="D85" s="1" t="n">
        <v>45799</v>
      </c>
      <c r="E85" s="1" t="n">
        <v>46326</v>
      </c>
      <c r="F85" t="inlineStr">
        <is>
          <t>DALARNAS LÄN</t>
        </is>
      </c>
      <c r="G85" t="inlineStr">
        <is>
          <t>BORLÄNGE</t>
        </is>
      </c>
      <c r="I85" t="n">
        <v>3</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HYPERLINK("https://klasma.github.io/Logging_2081/artfynd/A 24761-2025 artfynd.xlsx", "A 24761-2025")</f>
        <v/>
      </c>
      <c r="X85">
        <f>HYPERLINK("https://klasma.github.io/Logging_2081/kartor/A 24761-2025 karta.png", "A 24761-2025")</f>
        <v/>
      </c>
      <c r="Y85">
        <f>HYPERLINK("https://klasma.github.io/Logging_2081/kartor_geotiff/A 24761-2025 georefererad karta.tif", "A 24761-2025")</f>
        <v/>
      </c>
      <c r="AA85">
        <f>HYPERLINK("https://klasma.github.io/Logging_2081/klagomål/A 24761-2025 FSC-klagomål.docx", "A 24761-2025")</f>
        <v/>
      </c>
      <c r="AB85">
        <f>HYPERLINK("https://klasma.github.io/Logging_2081/klagomålsmail/A 24761-2025 FSC-klagomål mail.docx", "A 24761-2025")</f>
        <v/>
      </c>
      <c r="AC85">
        <f>HYPERLINK("https://klasma.github.io/Logging_2081/tillsyn/A 24761-2025 tillsynsbegäran.docx", "A 24761-2025")</f>
        <v/>
      </c>
      <c r="AD85">
        <f>HYPERLINK("https://klasma.github.io/Logging_2081/tillsynsmail/A 24761-2025 tillsynsbegäran mail.docx", "A 24761-2025")</f>
        <v/>
      </c>
    </row>
    <row r="86" ht="15" customHeight="1">
      <c r="A86" t="inlineStr">
        <is>
          <t>A 755-2026</t>
        </is>
      </c>
      <c r="B86" t="inlineStr">
        <is>
          <t>avverkningsanmälan</t>
        </is>
      </c>
      <c r="C86" t="inlineStr">
        <is>
          <t>Föryngringsavverkning</t>
        </is>
      </c>
      <c r="D86" s="1" t="n">
        <v>46029</v>
      </c>
      <c r="E86" s="1" t="n">
        <v>46326</v>
      </c>
      <c r="F86" t="inlineStr">
        <is>
          <t>DALARNAS LÄN</t>
        </is>
      </c>
      <c r="G86" t="inlineStr">
        <is>
          <t>BORLÄNGE</t>
        </is>
      </c>
      <c r="I86" t="n">
        <v>6.7</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HYPERLINK("https://klasma.github.io/Logging_2081/artfynd/A 755-2026 artfynd.xlsx", "A 755-2026")</f>
        <v/>
      </c>
      <c r="X86">
        <f>HYPERLINK("https://klasma.github.io/Logging_2081/kartor/A 755-2026 karta.png", "A 755-2026")</f>
        <v/>
      </c>
      <c r="Y86">
        <f>HYPERLINK("https://klasma.github.io/Logging_2081/kartor_geotiff/A 755-2026 georefererad karta.tif", "A 755-2026")</f>
        <v/>
      </c>
      <c r="Z86">
        <f>HYPERLINK("https://klasma.github.io/Logging_2081/knärot/A 755-2026 karta knärot.png", "A 755-2026")</f>
        <v/>
      </c>
      <c r="AA86">
        <f>HYPERLINK("https://klasma.github.io/Logging_2081/klagomål/A 755-2026 FSC-klagomål.docx", "A 755-2026")</f>
        <v/>
      </c>
      <c r="AB86">
        <f>HYPERLINK("https://klasma.github.io/Logging_2081/klagomålsmail/A 755-2026 FSC-klagomål mail.docx", "A 755-2026")</f>
        <v/>
      </c>
      <c r="AC86">
        <f>HYPERLINK("https://klasma.github.io/Logging_2081/tillsyn/A 755-2026 tillsynsbegäran.docx", "A 755-2026")</f>
        <v/>
      </c>
      <c r="AD86">
        <f>HYPERLINK("https://klasma.github.io/Logging_2081/tillsynsmail/A 755-2026 tillsynsbegäran mail.docx", "A 755-2026")</f>
        <v/>
      </c>
    </row>
    <row r="87" ht="15" customHeight="1">
      <c r="A87" t="inlineStr">
        <is>
          <t>A 58609-2023</t>
        </is>
      </c>
      <c r="B87" t="inlineStr">
        <is>
          <t>avverkningsanmälan</t>
        </is>
      </c>
      <c r="C87" t="inlineStr">
        <is>
          <t>Föryngringsavverkning</t>
        </is>
      </c>
      <c r="D87" s="1" t="n">
        <v>45251</v>
      </c>
      <c r="E87" s="1" t="n">
        <v>46326</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1843-2026</t>
        </is>
      </c>
      <c r="B88" t="inlineStr">
        <is>
          <t>avverkningsanmälan</t>
        </is>
      </c>
      <c r="C88" t="inlineStr">
        <is>
          <t>Föryngringsavverkning</t>
        </is>
      </c>
      <c r="D88" s="1" t="n">
        <v>46035</v>
      </c>
      <c r="E88" s="1" t="n">
        <v>46326</v>
      </c>
      <c r="F88" t="inlineStr">
        <is>
          <t>DALARNAS LÄN</t>
        </is>
      </c>
      <c r="G88" t="inlineStr">
        <is>
          <t>BORLÄNGE</t>
        </is>
      </c>
      <c r="H88" t="inlineStr">
        <is>
          <t>Kommuner</t>
        </is>
      </c>
      <c r="I88" t="n">
        <v>4</v>
      </c>
      <c r="J88" t="n">
        <v>0</v>
      </c>
      <c r="K88" t="n">
        <v>1</v>
      </c>
      <c r="L88" t="n">
        <v>0</v>
      </c>
      <c r="M88" t="n">
        <v>0</v>
      </c>
      <c r="N88" t="n">
        <v>0</v>
      </c>
      <c r="O88" t="n">
        <v>0</v>
      </c>
      <c r="P88" t="n">
        <v>0</v>
      </c>
      <c r="Q88" t="n">
        <v>0</v>
      </c>
      <c r="R88" t="n">
        <v>0</v>
      </c>
      <c r="S88" t="n">
        <v>1</v>
      </c>
      <c r="T88" t="n">
        <v>1</v>
      </c>
      <c r="U88" t="n">
        <v>0</v>
      </c>
      <c r="V88" s="2" t="inlineStr">
        <is>
          <t>Gullgröppa</t>
        </is>
      </c>
      <c r="W88">
        <f>HYPERLINK("https://klasma.github.io/Logging_2081/artfynd/A 1843-2026 artfynd.xlsx", "A 1843-2026")</f>
        <v/>
      </c>
      <c r="X88">
        <f>HYPERLINK("https://klasma.github.io/Logging_2081/kartor/A 1843-2026 karta.png", "A 1843-2026")</f>
        <v/>
      </c>
      <c r="Y88">
        <f>HYPERLINK("https://klasma.github.io/Logging_2081/kartor_geotiff/A 1843-2026 georefererad karta.tif", "A 1843-2026")</f>
        <v/>
      </c>
      <c r="AA88">
        <f>HYPERLINK("https://klasma.github.io/Logging_2081/klagomål/A 1843-2026 FSC-klagomål.docx", "A 1843-2026")</f>
        <v/>
      </c>
      <c r="AB88">
        <f>HYPERLINK("https://klasma.github.io/Logging_2081/klagomålsmail/A 1843-2026 FSC-klagomål mail.docx", "A 1843-2026")</f>
        <v/>
      </c>
      <c r="AC88">
        <f>HYPERLINK("https://klasma.github.io/Logging_2081/tillsyn/A 1843-2026 tillsynsbegäran.docx", "A 1843-2026")</f>
        <v/>
      </c>
      <c r="AD88">
        <f>HYPERLINK("https://klasma.github.io/Logging_2081/tillsynsmail/A 1843-2026 tillsynsbegäran mail.docx", "A 1843-2026")</f>
        <v/>
      </c>
    </row>
    <row r="89" ht="15" customHeight="1">
      <c r="A89" t="inlineStr">
        <is>
          <t>A 1591-2026</t>
        </is>
      </c>
      <c r="B89" t="inlineStr">
        <is>
          <t>avverkningsanmälan</t>
        </is>
      </c>
      <c r="C89" t="inlineStr">
        <is>
          <t>Föryngringsavverkning</t>
        </is>
      </c>
      <c r="D89" s="1" t="n">
        <v>46031</v>
      </c>
      <c r="E89" s="1" t="n">
        <v>46326</v>
      </c>
      <c r="F89" t="inlineStr">
        <is>
          <t>DALARNAS LÄN</t>
        </is>
      </c>
      <c r="G89" t="inlineStr">
        <is>
          <t>BORLÄNGE</t>
        </is>
      </c>
      <c r="I89" t="n">
        <v>15.6</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HYPERLINK("https://klasma.github.io/Logging_2081/artfynd/A 1591-2026 artfynd.xlsx", "A 1591-2026")</f>
        <v/>
      </c>
      <c r="X89">
        <f>HYPERLINK("https://klasma.github.io/Logging_2081/kartor/A 1591-2026 karta.png", "A 1591-2026")</f>
        <v/>
      </c>
      <c r="Y89">
        <f>HYPERLINK("https://klasma.github.io/Logging_2081/kartor_geotiff/A 1591-2026 georefererad karta.tif", "A 1591-2026")</f>
        <v/>
      </c>
      <c r="AA89">
        <f>HYPERLINK("https://klasma.github.io/Logging_2081/klagomål/A 1591-2026 FSC-klagomål.docx", "A 1591-2026")</f>
        <v/>
      </c>
      <c r="AB89">
        <f>HYPERLINK("https://klasma.github.io/Logging_2081/klagomålsmail/A 1591-2026 FSC-klagomål mail.docx", "A 1591-2026")</f>
        <v/>
      </c>
      <c r="AC89">
        <f>HYPERLINK("https://klasma.github.io/Logging_2081/tillsyn/A 1591-2026 tillsynsbegäran.docx", "A 1591-2026")</f>
        <v/>
      </c>
      <c r="AD89">
        <f>HYPERLINK("https://klasma.github.io/Logging_2081/tillsynsmail/A 1591-2026 tillsynsbegäran mail.docx", "A 1591-2026")</f>
        <v/>
      </c>
    </row>
    <row r="90" ht="15" customHeight="1">
      <c r="A90" t="inlineStr">
        <is>
          <t>A 34783-2024</t>
        </is>
      </c>
      <c r="B90" t="inlineStr">
        <is>
          <t>avverkningsanmälan</t>
        </is>
      </c>
      <c r="C90" t="inlineStr">
        <is>
          <t>Avverkning för annat ändamål</t>
        </is>
      </c>
      <c r="D90" s="1" t="n">
        <v>45526</v>
      </c>
      <c r="E90" s="1" t="n">
        <v>46326</v>
      </c>
      <c r="F90" t="inlineStr">
        <is>
          <t>DALARNAS LÄN</t>
        </is>
      </c>
      <c r="G90" t="inlineStr">
        <is>
          <t>BORLÄNGE</t>
        </is>
      </c>
      <c r="I90" t="n">
        <v>1.1</v>
      </c>
      <c r="J90" t="n">
        <v>1</v>
      </c>
      <c r="K90" t="n">
        <v>0</v>
      </c>
      <c r="L90" t="n">
        <v>0</v>
      </c>
      <c r="M90" t="n">
        <v>0</v>
      </c>
      <c r="N90" t="n">
        <v>0</v>
      </c>
      <c r="O90" t="n">
        <v>0</v>
      </c>
      <c r="P90" t="n">
        <v>0</v>
      </c>
      <c r="Q90" t="n">
        <v>0</v>
      </c>
      <c r="R90" t="n">
        <v>0</v>
      </c>
      <c r="S90" t="n">
        <v>1</v>
      </c>
      <c r="T90" t="n">
        <v>3</v>
      </c>
      <c r="U90" t="n">
        <v>3</v>
      </c>
      <c r="V90" s="2" t="inlineStr">
        <is>
          <t>Revlummer</t>
        </is>
      </c>
      <c r="W90">
        <f>HYPERLINK("https://klasma.github.io/Logging_2081/artfynd/A 34783-2024 artfynd.xlsx", "A 34783-2024")</f>
        <v/>
      </c>
      <c r="X90">
        <f>HYPERLINK("https://klasma.github.io/Logging_2081/kartor/A 34783-2024 karta.png", "A 34783-2024")</f>
        <v/>
      </c>
      <c r="Y90">
        <f>HYPERLINK("https://klasma.github.io/Logging_2081/kartor_geotiff/A 34783-2024 georefererad karta.tif", "A 34783-2024")</f>
        <v/>
      </c>
      <c r="AA90">
        <f>HYPERLINK("https://klasma.github.io/Logging_2081/klagomål/A 34783-2024 FSC-klagomål.docx", "A 34783-2024")</f>
        <v/>
      </c>
      <c r="AB90">
        <f>HYPERLINK("https://klasma.github.io/Logging_2081/klagomålsmail/A 34783-2024 FSC-klagomål mail.docx", "A 34783-2024")</f>
        <v/>
      </c>
      <c r="AC90">
        <f>HYPERLINK("https://klasma.github.io/Logging_2081/tillsyn/A 34783-2024 tillsynsbegäran.docx", "A 34783-2024")</f>
        <v/>
      </c>
      <c r="AD90">
        <f>HYPERLINK("https://klasma.github.io/Logging_2081/tillsynsmail/A 34783-2024 tillsynsbegäran mail.docx", "A 34783-2024")</f>
        <v/>
      </c>
    </row>
    <row r="91" ht="15" customHeight="1">
      <c r="A91" t="inlineStr">
        <is>
          <t>A 26886-2024</t>
        </is>
      </c>
      <c r="B91" t="inlineStr">
        <is>
          <t>avverkningsanmälan</t>
        </is>
      </c>
      <c r="C91" t="inlineStr">
        <is>
          <t>Föryngringsavverkning</t>
        </is>
      </c>
      <c r="D91" s="1" t="n">
        <v>45470</v>
      </c>
      <c r="E91" s="1" t="n">
        <v>46326</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30870-2024</t>
        </is>
      </c>
      <c r="B92" t="inlineStr">
        <is>
          <t>avverkningsanmälan</t>
        </is>
      </c>
      <c r="C92" t="inlineStr">
        <is>
          <t>Föryngringsavverkning</t>
        </is>
      </c>
      <c r="D92" s="1" t="n">
        <v>45497</v>
      </c>
      <c r="E92" s="1" t="n">
        <v>46326</v>
      </c>
      <c r="F92" t="inlineStr">
        <is>
          <t>DALARNAS LÄN</t>
        </is>
      </c>
      <c r="G92" t="inlineStr">
        <is>
          <t>BORLÄNGE</t>
        </is>
      </c>
      <c r="I92" t="n">
        <v>1.8</v>
      </c>
      <c r="J92" t="n">
        <v>1</v>
      </c>
      <c r="K92" t="n">
        <v>0</v>
      </c>
      <c r="L92" t="n">
        <v>0</v>
      </c>
      <c r="M92" t="n">
        <v>1</v>
      </c>
      <c r="N92" t="n">
        <v>0</v>
      </c>
      <c r="O92" t="n">
        <v>0</v>
      </c>
      <c r="P92" t="n">
        <v>0</v>
      </c>
      <c r="Q92" t="n">
        <v>1</v>
      </c>
      <c r="R92" t="n">
        <v>1</v>
      </c>
      <c r="S92" t="n">
        <v>1</v>
      </c>
      <c r="T92" t="n">
        <v>3</v>
      </c>
      <c r="U92" t="n">
        <v>0</v>
      </c>
      <c r="V92" s="2" t="inlineStr">
        <is>
          <t>Knärot</t>
        </is>
      </c>
      <c r="W92">
        <f>HYPERLINK("https://klasma.github.io/Logging_2081/artfynd/A 30870-2024 artfynd.xlsx", "A 30870-2024")</f>
        <v/>
      </c>
      <c r="X92">
        <f>HYPERLINK("https://klasma.github.io/Logging_2081/kartor/A 30870-2024 karta.png", "A 30870-2024")</f>
        <v/>
      </c>
      <c r="Y92">
        <f>HYPERLINK("https://klasma.github.io/Logging_2081/kartor_geotiff/A 30870-2024 georefererad karta.tif", "A 30870-2024")</f>
        <v/>
      </c>
      <c r="Z92">
        <f>HYPERLINK("https://klasma.github.io/Logging_2081/knärot/A 30870-2024 karta knärot.png", "A 30870-2024")</f>
        <v/>
      </c>
      <c r="AA92">
        <f>HYPERLINK("https://klasma.github.io/Logging_2081/klagomål/A 30870-2024 FSC-klagomål.docx", "A 30870-2024")</f>
        <v/>
      </c>
      <c r="AB92">
        <f>HYPERLINK("https://klasma.github.io/Logging_2081/klagomålsmail/A 30870-2024 FSC-klagomål mail.docx", "A 30870-2024")</f>
        <v/>
      </c>
      <c r="AC92">
        <f>HYPERLINK("https://klasma.github.io/Logging_2081/tillsyn/A 30870-2024 tillsynsbegäran.docx", "A 30870-2024")</f>
        <v/>
      </c>
      <c r="AD92">
        <f>HYPERLINK("https://klasma.github.io/Logging_2081/tillsynsmail/A 30870-2024 tillsynsbegäran mail.docx", "A 30870-2024")</f>
        <v/>
      </c>
    </row>
    <row r="93" ht="15" customHeight="1">
      <c r="A93" t="inlineStr">
        <is>
          <t>A 25763-2023</t>
        </is>
      </c>
      <c r="B93" t="inlineStr">
        <is>
          <t>avverkningsanmälan</t>
        </is>
      </c>
      <c r="C93" t="inlineStr">
        <is>
          <t>Föryngringsavverkning</t>
        </is>
      </c>
      <c r="D93" s="1" t="n">
        <v>45090</v>
      </c>
      <c r="E93" s="1" t="n">
        <v>46326</v>
      </c>
      <c r="F93" t="inlineStr">
        <is>
          <t>DALARNAS LÄN</t>
        </is>
      </c>
      <c r="G93" t="inlineStr">
        <is>
          <t>BORLÄNGE</t>
        </is>
      </c>
      <c r="I93" t="n">
        <v>2.9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HYPERLINK("https://klasma.github.io/Logging_2081/artfynd/A 25763-2023 artfynd.xlsx", "A 25763-2023")</f>
        <v/>
      </c>
      <c r="X93">
        <f>HYPERLINK("https://klasma.github.io/Logging_2081/kartor/A 25763-2023 karta.png", "A 25763-2023")</f>
        <v/>
      </c>
      <c r="Y93">
        <f>HYPERLINK("https://klasma.github.io/Logging_2081/kartor_geotiff/A 25763-2023 georefererad karta.tif", "A 25763-2023")</f>
        <v/>
      </c>
      <c r="AA93">
        <f>HYPERLINK("https://klasma.github.io/Logging_2081/klagomål/A 25763-2023 FSC-klagomål.docx", "A 25763-2023")</f>
        <v/>
      </c>
      <c r="AB93">
        <f>HYPERLINK("https://klasma.github.io/Logging_2081/klagomålsmail/A 25763-2023 FSC-klagomål mail.docx", "A 25763-2023")</f>
        <v/>
      </c>
      <c r="AC93">
        <f>HYPERLINK("https://klasma.github.io/Logging_2081/tillsyn/A 25763-2023 tillsynsbegäran.docx", "A 25763-2023")</f>
        <v/>
      </c>
      <c r="AD93">
        <f>HYPERLINK("https://klasma.github.io/Logging_2081/tillsynsmail/A 25763-2023 tillsynsbegäran mail.docx", "A 25763-2023")</f>
        <v/>
      </c>
    </row>
    <row r="94" ht="15" customHeight="1">
      <c r="A94" t="inlineStr">
        <is>
          <t>A 55298-2023</t>
        </is>
      </c>
      <c r="B94" t="inlineStr">
        <is>
          <t>avverkningsanmälan</t>
        </is>
      </c>
      <c r="C94" t="inlineStr">
        <is>
          <t>Avverkning för annat ändamål</t>
        </is>
      </c>
      <c r="D94" s="1" t="n">
        <v>45237</v>
      </c>
      <c r="E94" s="1" t="n">
        <v>46326</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t="n">
        <v>1</v>
      </c>
      <c r="V94" s="2" t="inlineStr">
        <is>
          <t>Höstlåsbräken</t>
        </is>
      </c>
      <c r="W94">
        <f>HYPERLINK("https://klasma.github.io/Logging_2081/artfynd/A 55298-2023 artfynd.xlsx", "A 55298-2023")</f>
        <v/>
      </c>
      <c r="X94">
        <f>HYPERLINK("https://klasma.github.io/Logging_2081/kartor/A 55298-2023 karta.png", "A 55298-2023")</f>
        <v/>
      </c>
      <c r="Y94">
        <f>HYPERLINK("https://klasma.github.io/Logging_2081/kartor_geotiff/A 55298-2023 georefererad karta.tif", "A 55298-2023")</f>
        <v/>
      </c>
      <c r="AA94">
        <f>HYPERLINK("https://klasma.github.io/Logging_2081/klagomål/A 55298-2023 FSC-klagomål.docx", "A 55298-2023")</f>
        <v/>
      </c>
      <c r="AB94">
        <f>HYPERLINK("https://klasma.github.io/Logging_2081/klagomålsmail/A 55298-2023 FSC-klagomål mail.docx", "A 55298-2023")</f>
        <v/>
      </c>
      <c r="AC94">
        <f>HYPERLINK("https://klasma.github.io/Logging_2081/tillsyn/A 55298-2023 tillsynsbegäran.docx", "A 55298-2023")</f>
        <v/>
      </c>
      <c r="AD94">
        <f>HYPERLINK("https://klasma.github.io/Logging_2081/tillsynsmail/A 55298-2023 tillsynsbegäran mail.docx", "A 55298-2023")</f>
        <v/>
      </c>
    </row>
    <row r="95" ht="15" customHeight="1">
      <c r="A95" t="inlineStr">
        <is>
          <t>A 35389-2022</t>
        </is>
      </c>
      <c r="B95" t="inlineStr">
        <is>
          <t>avverkningsanmälan</t>
        </is>
      </c>
      <c r="C95" t="inlineStr">
        <is>
          <t>Avverkning för annat ändamål</t>
        </is>
      </c>
      <c r="D95" s="1" t="n">
        <v>44798</v>
      </c>
      <c r="E95" s="1" t="n">
        <v>46326</v>
      </c>
      <c r="F95" t="inlineStr">
        <is>
          <t>DALARNAS LÄN</t>
        </is>
      </c>
      <c r="G95" t="inlineStr">
        <is>
          <t>BORLÄNGE</t>
        </is>
      </c>
      <c r="I95" t="n">
        <v>0.5</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HYPERLINK("https://klasma.github.io/Logging_2081/artfynd/A 35389-2022 artfynd.xlsx", "A 35389-2022")</f>
        <v/>
      </c>
      <c r="X95">
        <f>HYPERLINK("https://klasma.github.io/Logging_2081/kartor/A 35389-2022 karta.png", "A 35389-2022")</f>
        <v/>
      </c>
      <c r="Y95">
        <f>HYPERLINK("https://klasma.github.io/Logging_2081/kartor_geotiff/A 35389-2022 georefererad karta.tif", "A 35389-2022")</f>
        <v/>
      </c>
      <c r="AA95">
        <f>HYPERLINK("https://klasma.github.io/Logging_2081/klagomål/A 35389-2022 FSC-klagomål.docx", "A 35389-2022")</f>
        <v/>
      </c>
      <c r="AB95">
        <f>HYPERLINK("https://klasma.github.io/Logging_2081/klagomålsmail/A 35389-2022 FSC-klagomål mail.docx", "A 35389-2022")</f>
        <v/>
      </c>
      <c r="AC95">
        <f>HYPERLINK("https://klasma.github.io/Logging_2081/tillsyn/A 35389-2022 tillsynsbegäran.docx", "A 35389-2022")</f>
        <v/>
      </c>
      <c r="AD95">
        <f>HYPERLINK("https://klasma.github.io/Logging_2081/tillsynsmail/A 35389-2022 tillsynsbegäran mail.docx", "A 35389-2022")</f>
        <v/>
      </c>
    </row>
    <row r="96" ht="15" customHeight="1">
      <c r="A96" t="inlineStr">
        <is>
          <t>A 10381-2023</t>
        </is>
      </c>
      <c r="B96" t="inlineStr">
        <is>
          <t>avverkningsanmälan</t>
        </is>
      </c>
      <c r="C96" t="inlineStr">
        <is>
          <t>Föryngringsavverkning</t>
        </is>
      </c>
      <c r="D96" s="1" t="n">
        <v>44987</v>
      </c>
      <c r="E96" s="1" t="n">
        <v>46326</v>
      </c>
      <c r="F96" t="inlineStr">
        <is>
          <t>DALARNAS LÄN</t>
        </is>
      </c>
      <c r="G96" t="inlineStr">
        <is>
          <t>BORLÄNGE</t>
        </is>
      </c>
      <c r="I96" t="n">
        <v>2.4</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HYPERLINK("https://klasma.github.io/Logging_2081/artfynd/A 10381-2023 artfynd.xlsx", "A 10381-2023")</f>
        <v/>
      </c>
      <c r="X96">
        <f>HYPERLINK("https://klasma.github.io/Logging_2081/kartor/A 10381-2023 karta.png", "A 10381-2023")</f>
        <v/>
      </c>
      <c r="Y96">
        <f>HYPERLINK("https://klasma.github.io/Logging_2081/kartor_geotiff/A 10381-2023 georefererad karta.tif", "A 10381-2023")</f>
        <v/>
      </c>
      <c r="AA96">
        <f>HYPERLINK("https://klasma.github.io/Logging_2081/klagomål/A 10381-2023 FSC-klagomål.docx", "A 10381-2023")</f>
        <v/>
      </c>
      <c r="AB96">
        <f>HYPERLINK("https://klasma.github.io/Logging_2081/klagomålsmail/A 10381-2023 FSC-klagomål mail.docx", "A 10381-2023")</f>
        <v/>
      </c>
      <c r="AC96">
        <f>HYPERLINK("https://klasma.github.io/Logging_2081/tillsyn/A 10381-2023 tillsynsbegäran.docx", "A 10381-2023")</f>
        <v/>
      </c>
      <c r="AD96">
        <f>HYPERLINK("https://klasma.github.io/Logging_2081/tillsynsmail/A 10381-2023 tillsynsbegäran mail.docx", "A 10381-2023")</f>
        <v/>
      </c>
    </row>
    <row r="97" ht="15" customHeight="1">
      <c r="A97" t="inlineStr">
        <is>
          <t>A 431-2026</t>
        </is>
      </c>
      <c r="B97" t="inlineStr">
        <is>
          <t>avverkningsanmälan</t>
        </is>
      </c>
      <c r="C97" t="inlineStr">
        <is>
          <t>Föryngringsavverkning</t>
        </is>
      </c>
      <c r="D97" s="1" t="n">
        <v>46029</v>
      </c>
      <c r="E97" s="1" t="n">
        <v>46326</v>
      </c>
      <c r="F97" t="inlineStr">
        <is>
          <t>DALARNAS LÄN</t>
        </is>
      </c>
      <c r="G97" t="inlineStr">
        <is>
          <t>BORLÄNGE</t>
        </is>
      </c>
      <c r="H97" t="inlineStr">
        <is>
          <t>Bergvik skog väst AB</t>
        </is>
      </c>
      <c r="I97" t="n">
        <v>2.8</v>
      </c>
      <c r="J97" t="n">
        <v>0</v>
      </c>
      <c r="K97" t="n">
        <v>1</v>
      </c>
      <c r="L97" t="n">
        <v>0</v>
      </c>
      <c r="M97" t="n">
        <v>0</v>
      </c>
      <c r="N97" t="n">
        <v>0</v>
      </c>
      <c r="O97" t="n">
        <v>0</v>
      </c>
      <c r="P97" t="n">
        <v>0</v>
      </c>
      <c r="Q97" t="n">
        <v>0</v>
      </c>
      <c r="R97" t="n">
        <v>0</v>
      </c>
      <c r="S97" t="n">
        <v>1</v>
      </c>
      <c r="T97" t="n">
        <v>1</v>
      </c>
      <c r="U97" t="n">
        <v>0</v>
      </c>
      <c r="V97" s="2" t="inlineStr">
        <is>
          <t>Mindre märgborre</t>
        </is>
      </c>
      <c r="W97">
        <f>HYPERLINK("https://klasma.github.io/Logging_2081/artfynd/A 431-2026 artfynd.xlsx", "A 431-2026")</f>
        <v/>
      </c>
      <c r="X97">
        <f>HYPERLINK("https://klasma.github.io/Logging_2081/kartor/A 431-2026 karta.png", "A 431-2026")</f>
        <v/>
      </c>
      <c r="Y97">
        <f>HYPERLINK("https://klasma.github.io/Logging_2081/kartor_geotiff/A 431-2026 georefererad karta.tif", "A 431-2026")</f>
        <v/>
      </c>
      <c r="AA97">
        <f>HYPERLINK("https://klasma.github.io/Logging_2081/klagomål/A 431-2026 FSC-klagomål.docx", "A 431-2026")</f>
        <v/>
      </c>
      <c r="AB97">
        <f>HYPERLINK("https://klasma.github.io/Logging_2081/klagomålsmail/A 431-2026 FSC-klagomål mail.docx", "A 431-2026")</f>
        <v/>
      </c>
      <c r="AC97">
        <f>HYPERLINK("https://klasma.github.io/Logging_2081/tillsyn/A 431-2026 tillsynsbegäran.docx", "A 431-2026")</f>
        <v/>
      </c>
      <c r="AD97">
        <f>HYPERLINK("https://klasma.github.io/Logging_2081/tillsynsmail/A 431-2026 tillsynsbegäran mail.docx", "A 431-2026")</f>
        <v/>
      </c>
    </row>
    <row r="98" ht="15" customHeight="1">
      <c r="A98" t="inlineStr">
        <is>
          <t>A 33694-2022</t>
        </is>
      </c>
      <c r="B98" t="inlineStr">
        <is>
          <t>avverkningsanmälan</t>
        </is>
      </c>
      <c r="C98" t="inlineStr">
        <is>
          <t>Föryngringsavverkning</t>
        </is>
      </c>
      <c r="D98" s="1" t="n">
        <v>44789</v>
      </c>
      <c r="E98" s="1" t="n">
        <v>46326</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55056-2025</t>
        </is>
      </c>
      <c r="B99" t="inlineStr">
        <is>
          <t>avverkningsanmälan</t>
        </is>
      </c>
      <c r="C99" t="inlineStr">
        <is>
          <t>Föryngringsavverkning</t>
        </is>
      </c>
      <c r="D99" s="1" t="n">
        <v>45967</v>
      </c>
      <c r="E99" s="1" t="n">
        <v>46326</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12923-2026</t>
        </is>
      </c>
      <c r="B100" t="inlineStr">
        <is>
          <t>avverkningsanmälan</t>
        </is>
      </c>
      <c r="C100" t="inlineStr">
        <is>
          <t>Föryngringsavverkning</t>
        </is>
      </c>
      <c r="D100" s="1" t="n">
        <v>46092</v>
      </c>
      <c r="E100" s="1" t="n">
        <v>46326</v>
      </c>
      <c r="F100" t="inlineStr">
        <is>
          <t>DALARNAS LÄN</t>
        </is>
      </c>
      <c r="G100" t="inlineStr">
        <is>
          <t>BORLÄNGE</t>
        </is>
      </c>
      <c r="I100" t="n">
        <v>3.5</v>
      </c>
      <c r="J100" t="n">
        <v>1</v>
      </c>
      <c r="K100" t="n">
        <v>0</v>
      </c>
      <c r="L100" t="n">
        <v>0</v>
      </c>
      <c r="M100" t="n">
        <v>0</v>
      </c>
      <c r="N100" t="n">
        <v>0</v>
      </c>
      <c r="O100" t="n">
        <v>0</v>
      </c>
      <c r="P100" t="n">
        <v>0</v>
      </c>
      <c r="Q100" t="n">
        <v>0</v>
      </c>
      <c r="R100" t="n">
        <v>0</v>
      </c>
      <c r="S100" t="n">
        <v>1</v>
      </c>
      <c r="T100" t="n">
        <v>2</v>
      </c>
      <c r="U100" t="n">
        <v>0</v>
      </c>
      <c r="V100" s="2" t="inlineStr">
        <is>
          <t>Vanlig groda</t>
        </is>
      </c>
      <c r="W100">
        <f>HYPERLINK("https://klasma.github.io/Logging_2081/artfynd/A 12923-2026 artfynd.xlsx", "A 12923-2026")</f>
        <v/>
      </c>
      <c r="X100">
        <f>HYPERLINK("https://klasma.github.io/Logging_2081/kartor/A 12923-2026 karta.png", "A 12923-2026")</f>
        <v/>
      </c>
      <c r="Y100">
        <f>HYPERLINK("https://klasma.github.io/Logging_2081/kartor_geotiff/A 12923-2026 georefererad karta.tif", "A 12923-2026")</f>
        <v/>
      </c>
      <c r="AA100">
        <f>HYPERLINK("https://klasma.github.io/Logging_2081/klagomål/A 12923-2026 FSC-klagomål.docx", "A 12923-2026")</f>
        <v/>
      </c>
      <c r="AB100">
        <f>HYPERLINK("https://klasma.github.io/Logging_2081/klagomålsmail/A 12923-2026 FSC-klagomål mail.docx", "A 12923-2026")</f>
        <v/>
      </c>
      <c r="AC100">
        <f>HYPERLINK("https://klasma.github.io/Logging_2081/tillsyn/A 12923-2026 tillsynsbegäran.docx", "A 12923-2026")</f>
        <v/>
      </c>
      <c r="AD100">
        <f>HYPERLINK("https://klasma.github.io/Logging_2081/tillsynsmail/A 12923-2026 tillsynsbegäran mail.docx", "A 12923-2026")</f>
        <v/>
      </c>
    </row>
    <row r="101" ht="15" customHeight="1">
      <c r="A101" t="inlineStr">
        <is>
          <t>A 64121-2025</t>
        </is>
      </c>
      <c r="B101" t="inlineStr">
        <is>
          <t>avverkningsanmälan</t>
        </is>
      </c>
      <c r="C101" t="inlineStr">
        <is>
          <t>Föryngringsavverkning</t>
        </is>
      </c>
      <c r="D101" s="1" t="n">
        <v>46021</v>
      </c>
      <c r="E101" s="1" t="n">
        <v>46326</v>
      </c>
      <c r="F101" t="inlineStr">
        <is>
          <t>DALARNAS LÄN</t>
        </is>
      </c>
      <c r="G101" t="inlineStr">
        <is>
          <t>BORLÄNGE</t>
        </is>
      </c>
      <c r="I101" t="n">
        <v>4.1</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HYPERLINK("https://klasma.github.io/Logging_2081/artfynd/A 64121-2025 artfynd.xlsx", "A 64121-2025")</f>
        <v/>
      </c>
      <c r="X101">
        <f>HYPERLINK("https://klasma.github.io/Logging_2081/kartor/A 64121-2025 karta.png", "A 64121-2025")</f>
        <v/>
      </c>
      <c r="Y101">
        <f>HYPERLINK("https://klasma.github.io/Logging_2081/kartor_geotiff/A 64121-2025 georefererad karta.tif", "A 64121-2025")</f>
        <v/>
      </c>
      <c r="AA101">
        <f>HYPERLINK("https://klasma.github.io/Logging_2081/klagomål/A 64121-2025 FSC-klagomål.docx", "A 64121-2025")</f>
        <v/>
      </c>
      <c r="AB101">
        <f>HYPERLINK("https://klasma.github.io/Logging_2081/klagomålsmail/A 64121-2025 FSC-klagomål mail.docx", "A 64121-2025")</f>
        <v/>
      </c>
      <c r="AC101">
        <f>HYPERLINK("https://klasma.github.io/Logging_2081/tillsyn/A 64121-2025 tillsynsbegäran.docx", "A 64121-2025")</f>
        <v/>
      </c>
      <c r="AD101">
        <f>HYPERLINK("https://klasma.github.io/Logging_2081/tillsynsmail/A 64121-2025 tillsynsbegäran mail.docx", "A 64121-2025")</f>
        <v/>
      </c>
    </row>
    <row r="102" ht="15" customHeight="1">
      <c r="A102" t="inlineStr">
        <is>
          <t>A 8556-2023</t>
        </is>
      </c>
      <c r="B102" t="inlineStr">
        <is>
          <t>avverkningsanmälan</t>
        </is>
      </c>
      <c r="C102" t="inlineStr">
        <is>
          <t>Föryngringsavverkning</t>
        </is>
      </c>
      <c r="D102" s="1" t="n">
        <v>44977</v>
      </c>
      <c r="E102" s="1" t="n">
        <v>46326</v>
      </c>
      <c r="F102" t="inlineStr">
        <is>
          <t>DALARNAS LÄN</t>
        </is>
      </c>
      <c r="G102" t="inlineStr">
        <is>
          <t>BORLÄNGE</t>
        </is>
      </c>
      <c r="I102" t="n">
        <v>0.8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HYPERLINK("https://klasma.github.io/Logging_2081/artfynd/A 8556-2023 artfynd.xlsx", "A 8556-2023")</f>
        <v/>
      </c>
      <c r="X102">
        <f>HYPERLINK("https://klasma.github.io/Logging_2081/kartor/A 8556-2023 karta.png", "A 8556-2023")</f>
        <v/>
      </c>
      <c r="Y102">
        <f>HYPERLINK("https://klasma.github.io/Logging_2081/kartor_geotiff/A 8556-2023 georefererad karta.tif", "A 8556-2023")</f>
        <v/>
      </c>
      <c r="AA102">
        <f>HYPERLINK("https://klasma.github.io/Logging_2081/klagomål/A 8556-2023 FSC-klagomål.docx", "A 8556-2023")</f>
        <v/>
      </c>
      <c r="AB102">
        <f>HYPERLINK("https://klasma.github.io/Logging_2081/klagomålsmail/A 8556-2023 FSC-klagomål mail.docx", "A 8556-2023")</f>
        <v/>
      </c>
      <c r="AC102">
        <f>HYPERLINK("https://klasma.github.io/Logging_2081/tillsyn/A 8556-2023 tillsynsbegäran.docx", "A 8556-2023")</f>
        <v/>
      </c>
      <c r="AD102">
        <f>HYPERLINK("https://klasma.github.io/Logging_2081/tillsynsmail/A 8556-2023 tillsynsbegäran mail.docx", "A 8556-2023")</f>
        <v/>
      </c>
    </row>
    <row r="103" ht="15" customHeight="1">
      <c r="A103" t="inlineStr">
        <is>
          <t>A 43516-2023</t>
        </is>
      </c>
      <c r="B103" t="inlineStr">
        <is>
          <t>avverkningsanmälan</t>
        </is>
      </c>
      <c r="C103" t="inlineStr">
        <is>
          <t>Föryngringsavverkning</t>
        </is>
      </c>
      <c r="D103" s="1" t="n">
        <v>45184</v>
      </c>
      <c r="E103" s="1" t="n">
        <v>46326</v>
      </c>
      <c r="F103" t="inlineStr">
        <is>
          <t>DALARNAS LÄN</t>
        </is>
      </c>
      <c r="G103" t="inlineStr">
        <is>
          <t>BORLÄNGE</t>
        </is>
      </c>
      <c r="I103" t="n">
        <v>1.8</v>
      </c>
      <c r="J103" t="n">
        <v>1</v>
      </c>
      <c r="K103" t="n">
        <v>0</v>
      </c>
      <c r="L103" t="n">
        <v>1</v>
      </c>
      <c r="M103" t="n">
        <v>0</v>
      </c>
      <c r="N103" t="n">
        <v>0</v>
      </c>
      <c r="O103" t="n">
        <v>0</v>
      </c>
      <c r="P103" t="n">
        <v>0</v>
      </c>
      <c r="Q103" t="n">
        <v>1</v>
      </c>
      <c r="R103" t="n">
        <v>0</v>
      </c>
      <c r="S103" t="n">
        <v>1</v>
      </c>
      <c r="T103" t="n">
        <v>1</v>
      </c>
      <c r="U103" t="n">
        <v>1</v>
      </c>
      <c r="V103" s="2" t="inlineStr">
        <is>
          <t>Bivråk</t>
        </is>
      </c>
      <c r="W103">
        <f>HYPERLINK("https://klasma.github.io/Logging_2081/artfynd/A 43516-2023 artfynd.xlsx", "A 43516-2023")</f>
        <v/>
      </c>
      <c r="X103">
        <f>HYPERLINK("https://klasma.github.io/Logging_2081/kartor/A 43516-2023 karta.png", "A 43516-2023")</f>
        <v/>
      </c>
      <c r="Y103">
        <f>HYPERLINK("https://klasma.github.io/Logging_2081/kartor_geotiff/A 43516-2023 georefererad karta.tif", "A 43516-2023")</f>
        <v/>
      </c>
      <c r="AA103">
        <f>HYPERLINK("https://klasma.github.io/Logging_2081/klagomål/A 43516-2023 FSC-klagomål.docx", "A 43516-2023")</f>
        <v/>
      </c>
      <c r="AB103">
        <f>HYPERLINK("https://klasma.github.io/Logging_2081/klagomålsmail/A 43516-2023 FSC-klagomål mail.docx", "A 43516-2023")</f>
        <v/>
      </c>
      <c r="AC103">
        <f>HYPERLINK("https://klasma.github.io/Logging_2081/tillsyn/A 43516-2023 tillsynsbegäran.docx", "A 43516-2023")</f>
        <v/>
      </c>
      <c r="AD103">
        <f>HYPERLINK("https://klasma.github.io/Logging_2081/tillsynsmail/A 43516-2023 tillsynsbegäran mail.docx", "A 43516-2023")</f>
        <v/>
      </c>
      <c r="AE103">
        <f>HYPERLINK("https://klasma.github.io/Logging_2081/fåglar/A 43516-2023 prioriterade fågelarter.docx", "A 43516-2023")</f>
        <v/>
      </c>
    </row>
    <row r="104" ht="15" customHeight="1">
      <c r="A104" t="inlineStr">
        <is>
          <t>A 4785-2025</t>
        </is>
      </c>
      <c r="B104" t="inlineStr">
        <is>
          <t>avverkningsanmälan</t>
        </is>
      </c>
      <c r="C104" t="inlineStr">
        <is>
          <t>Avverkning för annat ändamål</t>
        </is>
      </c>
      <c r="D104" s="1" t="n">
        <v>45688</v>
      </c>
      <c r="E104" s="1" t="n">
        <v>46326</v>
      </c>
      <c r="F104" t="inlineStr">
        <is>
          <t>DALARNAS LÄN</t>
        </is>
      </c>
      <c r="G104" t="inlineStr">
        <is>
          <t>BORLÄNGE</t>
        </is>
      </c>
      <c r="I104" t="n">
        <v>0.4</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HYPERLINK("https://klasma.github.io/Logging_2081/artfynd/A 4785-2025 artfynd.xlsx", "A 4785-2025")</f>
        <v/>
      </c>
      <c r="X104">
        <f>HYPERLINK("https://klasma.github.io/Logging_2081/kartor/A 4785-2025 karta.png", "A 4785-2025")</f>
        <v/>
      </c>
      <c r="Y104">
        <f>HYPERLINK("https://klasma.github.io/Logging_2081/kartor_geotiff/A 4785-2025 georefererad karta.tif", "A 4785-2025")</f>
        <v/>
      </c>
      <c r="AA104">
        <f>HYPERLINK("https://klasma.github.io/Logging_2081/klagomål/A 4785-2025 FSC-klagomål.docx", "A 4785-2025")</f>
        <v/>
      </c>
      <c r="AB104">
        <f>HYPERLINK("https://klasma.github.io/Logging_2081/klagomålsmail/A 4785-2025 FSC-klagomål mail.docx", "A 4785-2025")</f>
        <v/>
      </c>
      <c r="AC104">
        <f>HYPERLINK("https://klasma.github.io/Logging_2081/tillsyn/A 4785-2025 tillsynsbegäran.docx", "A 4785-2025")</f>
        <v/>
      </c>
      <c r="AD104">
        <f>HYPERLINK("https://klasma.github.io/Logging_2081/tillsynsmail/A 4785-2025 tillsynsbegäran mail.docx", "A 4785-2025")</f>
        <v/>
      </c>
    </row>
    <row r="105" ht="15" customHeight="1">
      <c r="A105" t="inlineStr">
        <is>
          <t>A 63962-2025</t>
        </is>
      </c>
      <c r="B105" t="inlineStr">
        <is>
          <t>avverkningsanmälan</t>
        </is>
      </c>
      <c r="C105" t="inlineStr">
        <is>
          <t>Föryngringsavverkning</t>
        </is>
      </c>
      <c r="D105" s="1" t="n">
        <v>46020</v>
      </c>
      <c r="E105" s="1" t="n">
        <v>46326</v>
      </c>
      <c r="F105" t="inlineStr">
        <is>
          <t>DALARNAS LÄN</t>
        </is>
      </c>
      <c r="G105" t="inlineStr">
        <is>
          <t>BORLÄNGE</t>
        </is>
      </c>
      <c r="I105" t="n">
        <v>48.9</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63962-2025 artfynd.xlsx", "A 63962-2025")</f>
        <v/>
      </c>
      <c r="X105">
        <f>HYPERLINK("https://klasma.github.io/Logging_2081/kartor/A 63962-2025 karta.png", "A 63962-2025")</f>
        <v/>
      </c>
      <c r="Y105">
        <f>HYPERLINK("https://klasma.github.io/Logging_2081/kartor_geotiff/A 63962-2025 georefererad karta.tif", "A 63962-2025")</f>
        <v/>
      </c>
      <c r="AA105">
        <f>HYPERLINK("https://klasma.github.io/Logging_2081/klagomål/A 63962-2025 FSC-klagomål.docx", "A 63962-2025")</f>
        <v/>
      </c>
      <c r="AB105">
        <f>HYPERLINK("https://klasma.github.io/Logging_2081/klagomålsmail/A 63962-2025 FSC-klagomål mail.docx", "A 63962-2025")</f>
        <v/>
      </c>
      <c r="AC105">
        <f>HYPERLINK("https://klasma.github.io/Logging_2081/tillsyn/A 63962-2025 tillsynsbegäran.docx", "A 63962-2025")</f>
        <v/>
      </c>
      <c r="AD105">
        <f>HYPERLINK("https://klasma.github.io/Logging_2081/tillsynsmail/A 63962-2025 tillsynsbegäran mail.docx", "A 63962-2025")</f>
        <v/>
      </c>
    </row>
    <row r="106" ht="15" customHeight="1">
      <c r="A106" t="inlineStr">
        <is>
          <t>A 18800-2026</t>
        </is>
      </c>
      <c r="B106" t="inlineStr">
        <is>
          <t>avverkningsanmälan</t>
        </is>
      </c>
      <c r="C106" t="inlineStr">
        <is>
          <t>Föryngringsavverkning</t>
        </is>
      </c>
      <c r="D106" s="1" t="n">
        <v>46128</v>
      </c>
      <c r="E106" s="1" t="n">
        <v>46326</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t="n">
        <v>0</v>
      </c>
      <c r="V106" s="2" t="inlineStr">
        <is>
          <t>Ärtsångare</t>
        </is>
      </c>
      <c r="W106">
        <f>HYPERLINK("https://klasma.github.io/Logging_2081/artfynd/A 18800-2026 artfynd.xlsx", "A 18800-2026")</f>
        <v/>
      </c>
      <c r="X106">
        <f>HYPERLINK("https://klasma.github.io/Logging_2081/kartor/A 18800-2026 karta.png", "A 18800-2026")</f>
        <v/>
      </c>
      <c r="Y106">
        <f>HYPERLINK("https://klasma.github.io/Logging_2081/kartor_geotiff/A 18800-2026 georefererad karta.tif", "A 18800-2026")</f>
        <v/>
      </c>
      <c r="AA106">
        <f>HYPERLINK("https://klasma.github.io/Logging_2081/klagomål/A 18800-2026 FSC-klagomål.docx", "A 18800-2026")</f>
        <v/>
      </c>
      <c r="AB106">
        <f>HYPERLINK("https://klasma.github.io/Logging_2081/klagomålsmail/A 18800-2026 FSC-klagomål mail.docx", "A 18800-2026")</f>
        <v/>
      </c>
      <c r="AC106">
        <f>HYPERLINK("https://klasma.github.io/Logging_2081/tillsyn/A 18800-2026 tillsynsbegäran.docx", "A 18800-2026")</f>
        <v/>
      </c>
      <c r="AD106">
        <f>HYPERLINK("https://klasma.github.io/Logging_2081/tillsynsmail/A 18800-2026 tillsynsbegäran mail.docx", "A 18800-2026")</f>
        <v/>
      </c>
    </row>
    <row r="107" ht="15" customHeight="1">
      <c r="A107" t="inlineStr">
        <is>
          <t>A 15978-2026</t>
        </is>
      </c>
      <c r="B107" t="inlineStr">
        <is>
          <t>avverkningsanmälan</t>
        </is>
      </c>
      <c r="C107" t="inlineStr">
        <is>
          <t>Föryngringsavverkning</t>
        </is>
      </c>
      <c r="D107" s="1" t="n">
        <v>46108</v>
      </c>
      <c r="E107" s="1" t="n">
        <v>46326</v>
      </c>
      <c r="F107" t="inlineStr">
        <is>
          <t>DALARNAS LÄN</t>
        </is>
      </c>
      <c r="G107" t="inlineStr">
        <is>
          <t>BORLÄNGE</t>
        </is>
      </c>
      <c r="I107" t="n">
        <v>10.6</v>
      </c>
      <c r="J107" t="n">
        <v>0</v>
      </c>
      <c r="K107" t="n">
        <v>1</v>
      </c>
      <c r="L107" t="n">
        <v>0</v>
      </c>
      <c r="M107" t="n">
        <v>0</v>
      </c>
      <c r="N107" t="n">
        <v>0</v>
      </c>
      <c r="O107" t="n">
        <v>0</v>
      </c>
      <c r="P107" t="n">
        <v>0</v>
      </c>
      <c r="Q107" t="n">
        <v>0</v>
      </c>
      <c r="R107" t="n">
        <v>0</v>
      </c>
      <c r="S107" t="n">
        <v>1</v>
      </c>
      <c r="T107" t="n">
        <v>1</v>
      </c>
      <c r="U107" t="n">
        <v>0</v>
      </c>
      <c r="V107" s="2" t="inlineStr">
        <is>
          <t>Rödgul trumpetsvamp</t>
        </is>
      </c>
      <c r="W107">
        <f>HYPERLINK("https://klasma.github.io/Logging_2081/artfynd/A 15978-2026 artfynd.xlsx", "A 15978-2026")</f>
        <v/>
      </c>
      <c r="X107">
        <f>HYPERLINK("https://klasma.github.io/Logging_2081/kartor/A 15978-2026 karta.png", "A 15978-2026")</f>
        <v/>
      </c>
      <c r="Y107">
        <f>HYPERLINK("https://klasma.github.io/Logging_2081/kartor_geotiff/A 15978-2026 georefererad karta.tif", "A 15978-2026")</f>
        <v/>
      </c>
      <c r="AA107">
        <f>HYPERLINK("https://klasma.github.io/Logging_2081/klagomål/A 15978-2026 FSC-klagomål.docx", "A 15978-2026")</f>
        <v/>
      </c>
      <c r="AB107">
        <f>HYPERLINK("https://klasma.github.io/Logging_2081/klagomålsmail/A 15978-2026 FSC-klagomål mail.docx", "A 15978-2026")</f>
        <v/>
      </c>
      <c r="AC107">
        <f>HYPERLINK("https://klasma.github.io/Logging_2081/tillsyn/A 15978-2026 tillsynsbegäran.docx", "A 15978-2026")</f>
        <v/>
      </c>
      <c r="AD107">
        <f>HYPERLINK("https://klasma.github.io/Logging_2081/tillsynsmail/A 15978-2026 tillsynsbegäran mail.docx", "A 15978-2026")</f>
        <v/>
      </c>
    </row>
    <row r="108" ht="15" customHeight="1">
      <c r="A108" t="inlineStr">
        <is>
          <t>A 3006-2025</t>
        </is>
      </c>
      <c r="B108" t="inlineStr">
        <is>
          <t>avverkningsanmälan</t>
        </is>
      </c>
      <c r="C108" t="inlineStr">
        <is>
          <t>Avverkning för att bevara och utveckla /försöksver</t>
        </is>
      </c>
      <c r="D108" s="1" t="n">
        <v>45678</v>
      </c>
      <c r="E108" s="1" t="n">
        <v>46326</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37722-2024</t>
        </is>
      </c>
      <c r="B109" t="inlineStr">
        <is>
          <t>avverkningsanmälan</t>
        </is>
      </c>
      <c r="C109" t="inlineStr">
        <is>
          <t>Föryngringsavverkning</t>
        </is>
      </c>
      <c r="D109" s="1" t="n">
        <v>45541</v>
      </c>
      <c r="E109" s="1" t="n">
        <v>46326</v>
      </c>
      <c r="F109" t="inlineStr">
        <is>
          <t>DALARNAS LÄN</t>
        </is>
      </c>
      <c r="G109" t="inlineStr">
        <is>
          <t>BORLÄNGE</t>
        </is>
      </c>
      <c r="I109" t="n">
        <v>1.2</v>
      </c>
      <c r="J109" t="n">
        <v>0</v>
      </c>
      <c r="K109" t="n">
        <v>0</v>
      </c>
      <c r="L109" t="n">
        <v>1</v>
      </c>
      <c r="M109" t="n">
        <v>0</v>
      </c>
      <c r="N109" t="n">
        <v>0</v>
      </c>
      <c r="O109" t="n">
        <v>0</v>
      </c>
      <c r="P109" t="n">
        <v>0</v>
      </c>
      <c r="Q109" t="n">
        <v>1</v>
      </c>
      <c r="R109" t="n">
        <v>0</v>
      </c>
      <c r="S109" t="n">
        <v>1</v>
      </c>
      <c r="T109" t="n">
        <v>1</v>
      </c>
      <c r="U109" t="n">
        <v>0</v>
      </c>
      <c r="V109" s="2" t="inlineStr">
        <is>
          <t>Motaggsvamp</t>
        </is>
      </c>
      <c r="W109">
        <f>HYPERLINK("https://klasma.github.io/Logging_2081/artfynd/A 37722-2024 artfynd.xlsx", "A 37722-2024")</f>
        <v/>
      </c>
      <c r="X109">
        <f>HYPERLINK("https://klasma.github.io/Logging_2081/kartor/A 37722-2024 karta.png", "A 37722-2024")</f>
        <v/>
      </c>
      <c r="Y109">
        <f>HYPERLINK("https://klasma.github.io/Logging_2081/kartor_geotiff/A 37722-2024 georefererad karta.tif", "A 37722-2024")</f>
        <v/>
      </c>
      <c r="AA109">
        <f>HYPERLINK("https://klasma.github.io/Logging_2081/klagomål/A 37722-2024 FSC-klagomål.docx", "A 37722-2024")</f>
        <v/>
      </c>
      <c r="AB109">
        <f>HYPERLINK("https://klasma.github.io/Logging_2081/klagomålsmail/A 37722-2024 FSC-klagomål mail.docx", "A 37722-2024")</f>
        <v/>
      </c>
      <c r="AC109">
        <f>HYPERLINK("https://klasma.github.io/Logging_2081/tillsyn/A 37722-2024 tillsynsbegäran.docx", "A 37722-2024")</f>
        <v/>
      </c>
      <c r="AD109">
        <f>HYPERLINK("https://klasma.github.io/Logging_2081/tillsynsmail/A 37722-2024 tillsynsbegäran mail.docx", "A 37722-2024")</f>
        <v/>
      </c>
    </row>
    <row r="110" ht="15" customHeight="1">
      <c r="A110" t="inlineStr">
        <is>
          <t>A 61396-2021</t>
        </is>
      </c>
      <c r="B110" t="inlineStr">
        <is>
          <t>avverkningsanmälan</t>
        </is>
      </c>
      <c r="C110" t="inlineStr">
        <is>
          <t>Föryngringsavverkning</t>
        </is>
      </c>
      <c r="D110" s="1" t="n">
        <v>44500</v>
      </c>
      <c r="E110" s="1" t="n">
        <v>46326</v>
      </c>
      <c r="F110" t="inlineStr">
        <is>
          <t>DALARNAS LÄN</t>
        </is>
      </c>
      <c r="G110" t="inlineStr">
        <is>
          <t>BORLÄNGE</t>
        </is>
      </c>
      <c r="I110" t="n">
        <v>2.7</v>
      </c>
      <c r="J110" t="n">
        <v>1</v>
      </c>
      <c r="K110" t="n">
        <v>0</v>
      </c>
      <c r="L110" t="n">
        <v>1</v>
      </c>
      <c r="M110" t="n">
        <v>0</v>
      </c>
      <c r="N110" t="n">
        <v>0</v>
      </c>
      <c r="O110" t="n">
        <v>0</v>
      </c>
      <c r="P110" t="n">
        <v>0</v>
      </c>
      <c r="Q110" t="n">
        <v>1</v>
      </c>
      <c r="R110" t="n">
        <v>0</v>
      </c>
      <c r="S110" t="n">
        <v>1</v>
      </c>
      <c r="T110" t="n">
        <v>2</v>
      </c>
      <c r="U110" t="n">
        <v>2</v>
      </c>
      <c r="V110" s="2" t="inlineStr">
        <is>
          <t>Bivråk</t>
        </is>
      </c>
      <c r="W110">
        <f>HYPERLINK("https://klasma.github.io/Logging_2081/artfynd/A 61396-2021 artfynd.xlsx", "A 61396-2021")</f>
        <v/>
      </c>
      <c r="X110">
        <f>HYPERLINK("https://klasma.github.io/Logging_2081/kartor/A 61396-2021 karta.png", "A 61396-2021")</f>
        <v/>
      </c>
      <c r="Y110">
        <f>HYPERLINK("https://klasma.github.io/Logging_2081/kartor_geotiff/A 61396-2021 georefererad karta.tif", "A 61396-2021")</f>
        <v/>
      </c>
      <c r="AA110">
        <f>HYPERLINK("https://klasma.github.io/Logging_2081/klagomål/A 61396-2021 FSC-klagomål.docx", "A 61396-2021")</f>
        <v/>
      </c>
      <c r="AB110">
        <f>HYPERLINK("https://klasma.github.io/Logging_2081/klagomålsmail/A 61396-2021 FSC-klagomål mail.docx", "A 61396-2021")</f>
        <v/>
      </c>
      <c r="AC110">
        <f>HYPERLINK("https://klasma.github.io/Logging_2081/tillsyn/A 61396-2021 tillsynsbegäran.docx", "A 61396-2021")</f>
        <v/>
      </c>
      <c r="AD110">
        <f>HYPERLINK("https://klasma.github.io/Logging_2081/tillsynsmail/A 61396-2021 tillsynsbegäran mail.docx", "A 61396-2021")</f>
        <v/>
      </c>
      <c r="AE110">
        <f>HYPERLINK("https://klasma.github.io/Logging_2081/fåglar/A 61396-2021 prioriterade fågelarter.docx", "A 61396-2021")</f>
        <v/>
      </c>
    </row>
    <row r="111" ht="15" customHeight="1">
      <c r="A111" t="inlineStr">
        <is>
          <t>A 1166-2025</t>
        </is>
      </c>
      <c r="B111" t="inlineStr">
        <is>
          <t>avverkningsanmälan</t>
        </is>
      </c>
      <c r="C111" t="inlineStr">
        <is>
          <t>Föryngringsavverkning</t>
        </is>
      </c>
      <c r="D111" s="1" t="n">
        <v>45666</v>
      </c>
      <c r="E111" s="1" t="n">
        <v>46326</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58616-2023</t>
        </is>
      </c>
      <c r="B112" t="inlineStr">
        <is>
          <t>avverkningsanmälan</t>
        </is>
      </c>
      <c r="C112" t="inlineStr">
        <is>
          <t>Avverkning för annat ändamål</t>
        </is>
      </c>
      <c r="D112" s="1" t="n">
        <v>45251</v>
      </c>
      <c r="E112" s="1" t="n">
        <v>46326</v>
      </c>
      <c r="F112" t="inlineStr">
        <is>
          <t>DALARNAS LÄN</t>
        </is>
      </c>
      <c r="G112" t="inlineStr">
        <is>
          <t>BORLÄNGE</t>
        </is>
      </c>
      <c r="I112" t="n">
        <v>2.5</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HYPERLINK("https://klasma.github.io/Logging_2081/artfynd/A 58616-2023 artfynd.xlsx", "A 58616-2023")</f>
        <v/>
      </c>
      <c r="X112">
        <f>HYPERLINK("https://klasma.github.io/Logging_2081/kartor/A 58616-2023 karta.png", "A 58616-2023")</f>
        <v/>
      </c>
      <c r="Y112">
        <f>HYPERLINK("https://klasma.github.io/Logging_2081/kartor_geotiff/A 58616-2023 georefererad karta.tif", "A 58616-2023")</f>
        <v/>
      </c>
      <c r="AA112">
        <f>HYPERLINK("https://klasma.github.io/Logging_2081/klagomål/A 58616-2023 FSC-klagomål.docx", "A 58616-2023")</f>
        <v/>
      </c>
      <c r="AB112">
        <f>HYPERLINK("https://klasma.github.io/Logging_2081/klagomålsmail/A 58616-2023 FSC-klagomål mail.docx", "A 58616-2023")</f>
        <v/>
      </c>
      <c r="AC112">
        <f>HYPERLINK("https://klasma.github.io/Logging_2081/tillsyn/A 58616-2023 tillsynsbegäran.docx", "A 58616-2023")</f>
        <v/>
      </c>
      <c r="AD112">
        <f>HYPERLINK("https://klasma.github.io/Logging_2081/tillsynsmail/A 58616-2023 tillsynsbegäran mail.docx", "A 58616-2023")</f>
        <v/>
      </c>
    </row>
    <row r="113" ht="15" customHeight="1">
      <c r="A113" t="inlineStr">
        <is>
          <t>A 27121-2026</t>
        </is>
      </c>
      <c r="B113" t="inlineStr">
        <is>
          <t>avverkningsanmälan</t>
        </is>
      </c>
      <c r="C113" t="inlineStr">
        <is>
          <t>Föryngringsavverkning</t>
        </is>
      </c>
      <c r="D113" s="1" t="n">
        <v>46188</v>
      </c>
      <c r="E113" s="1" t="n">
        <v>46326</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21131-2023</t>
        </is>
      </c>
      <c r="B114" t="inlineStr">
        <is>
          <t>avverkningsanmälan</t>
        </is>
      </c>
      <c r="C114" t="inlineStr">
        <is>
          <t>Föryngringsavverkning</t>
        </is>
      </c>
      <c r="D114" s="1" t="n">
        <v>45062</v>
      </c>
      <c r="E114" s="1" t="n">
        <v>46326</v>
      </c>
      <c r="F114" t="inlineStr">
        <is>
          <t>DALARNAS LÄN</t>
        </is>
      </c>
      <c r="G114" t="inlineStr">
        <is>
          <t>BORLÄNGE</t>
        </is>
      </c>
      <c r="I114" t="n">
        <v>4.4</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HYPERLINK("https://klasma.github.io/Logging_2081/artfynd/A 21131-2023 artfynd.xlsx", "A 21131-2023")</f>
        <v/>
      </c>
      <c r="X114">
        <f>HYPERLINK("https://klasma.github.io/Logging_2081/kartor/A 21131-2023 karta.png", "A 21131-2023")</f>
        <v/>
      </c>
      <c r="Y114">
        <f>HYPERLINK("https://klasma.github.io/Logging_2081/kartor_geotiff/A 21131-2023 georefererad karta.tif", "A 21131-2023")</f>
        <v/>
      </c>
      <c r="AA114">
        <f>HYPERLINK("https://klasma.github.io/Logging_2081/klagomål/A 21131-2023 FSC-klagomål.docx", "A 21131-2023")</f>
        <v/>
      </c>
      <c r="AB114">
        <f>HYPERLINK("https://klasma.github.io/Logging_2081/klagomålsmail/A 21131-2023 FSC-klagomål mail.docx", "A 21131-2023")</f>
        <v/>
      </c>
      <c r="AC114">
        <f>HYPERLINK("https://klasma.github.io/Logging_2081/tillsyn/A 21131-2023 tillsynsbegäran.docx", "A 21131-2023")</f>
        <v/>
      </c>
      <c r="AD114">
        <f>HYPERLINK("https://klasma.github.io/Logging_2081/tillsynsmail/A 21131-2023 tillsynsbegäran mail.docx", "A 21131-2023")</f>
        <v/>
      </c>
    </row>
    <row r="115" ht="15" customHeight="1">
      <c r="A115" t="inlineStr">
        <is>
          <t>S 2959-2023</t>
        </is>
      </c>
      <c r="B115" t="inlineStr">
        <is>
          <t>samrådsanmälan</t>
        </is>
      </c>
      <c r="C115" t="inlineStr">
        <is>
          <t>Askåterföring</t>
        </is>
      </c>
      <c r="D115" s="1" t="n">
        <v>45173</v>
      </c>
      <c r="E115" s="1" t="n">
        <v>46326</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46326</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46326</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46326</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46326</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46326</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55123-2022</t>
        </is>
      </c>
      <c r="B121" t="inlineStr">
        <is>
          <t>avverkningsanmälan</t>
        </is>
      </c>
      <c r="C121" t="inlineStr">
        <is>
          <t>Föryngringsavverkning</t>
        </is>
      </c>
      <c r="D121" s="1" t="n">
        <v>44886</v>
      </c>
      <c r="E121" s="1" t="n">
        <v>46326</v>
      </c>
      <c r="F121" t="inlineStr">
        <is>
          <t>DALARNAS LÄN</t>
        </is>
      </c>
      <c r="G121" t="inlineStr">
        <is>
          <t>BORLÄNGE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41638-2022</t>
        </is>
      </c>
      <c r="B122" t="inlineStr">
        <is>
          <t>avverkningsanmälan</t>
        </is>
      </c>
      <c r="C122" t="inlineStr">
        <is>
          <t>Föryngringsavverkning</t>
        </is>
      </c>
      <c r="D122" s="1" t="n">
        <v>44827</v>
      </c>
      <c r="E122" s="1" t="n">
        <v>46326</v>
      </c>
      <c r="F122" t="inlineStr">
        <is>
          <t>DALARNAS LÄN</t>
        </is>
      </c>
      <c r="G122" t="inlineStr">
        <is>
          <t>BORLÄNGE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35592-2022</t>
        </is>
      </c>
      <c r="B123" t="inlineStr">
        <is>
          <t>avverkningsanmälan</t>
        </is>
      </c>
      <c r="C123" t="inlineStr">
        <is>
          <t>Föryngringsavverkning</t>
        </is>
      </c>
      <c r="D123" s="1" t="n">
        <v>44799</v>
      </c>
      <c r="E123" s="1" t="n">
        <v>46326</v>
      </c>
      <c r="F123" t="inlineStr">
        <is>
          <t>DALARNAS LÄN</t>
        </is>
      </c>
      <c r="G123" t="inlineStr">
        <is>
          <t>BORLÄNGE</t>
        </is>
      </c>
      <c r="H123" t="inlineStr">
        <is>
          <t>Bergvik skog väst AB</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10421-2022</t>
        </is>
      </c>
      <c r="B124" t="inlineStr">
        <is>
          <t>avverkningsanmälan</t>
        </is>
      </c>
      <c r="C124" t="inlineStr">
        <is>
          <t>Föryngringsavverkning</t>
        </is>
      </c>
      <c r="D124" s="1" t="n">
        <v>44623</v>
      </c>
      <c r="E124" s="1" t="n">
        <v>46326</v>
      </c>
      <c r="F124" t="inlineStr">
        <is>
          <t>DALARNAS LÄN</t>
        </is>
      </c>
      <c r="G124" t="inlineStr">
        <is>
          <t>BORLÄNGE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2008-2022</t>
        </is>
      </c>
      <c r="B125" t="inlineStr">
        <is>
          <t>avverkningsanmälan</t>
        </is>
      </c>
      <c r="C125" t="inlineStr">
        <is>
          <t>Föryngringsavverkning</t>
        </is>
      </c>
      <c r="D125" s="1" t="n">
        <v>44575</v>
      </c>
      <c r="E125" s="1" t="n">
        <v>46326</v>
      </c>
      <c r="F125" t="inlineStr">
        <is>
          <t>DALARNAS LÄN</t>
        </is>
      </c>
      <c r="G125" t="inlineStr">
        <is>
          <t>BORLÄNGE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27424-2022</t>
        </is>
      </c>
      <c r="B126" t="inlineStr">
        <is>
          <t>avverkningsanmälan</t>
        </is>
      </c>
      <c r="C126" t="inlineStr">
        <is>
          <t>Föryngringsavverkning</t>
        </is>
      </c>
      <c r="D126" s="1" t="n">
        <v>44742</v>
      </c>
      <c r="E126" s="1" t="n">
        <v>46326</v>
      </c>
      <c r="F126" t="inlineStr">
        <is>
          <t>DALARNAS LÄN</t>
        </is>
      </c>
      <c r="G126" t="inlineStr">
        <is>
          <t>BORLÄNGE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18600-2022</t>
        </is>
      </c>
      <c r="B127" t="inlineStr">
        <is>
          <t>avverkningsanmälan</t>
        </is>
      </c>
      <c r="C127" t="inlineStr">
        <is>
          <t>Föryngringsavverkning</t>
        </is>
      </c>
      <c r="D127" s="1" t="n">
        <v>44687</v>
      </c>
      <c r="E127" s="1" t="n">
        <v>46326</v>
      </c>
      <c r="F127" t="inlineStr">
        <is>
          <t>DALARNAS LÄN</t>
        </is>
      </c>
      <c r="G127" t="inlineStr">
        <is>
          <t>BORLÄNGE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25895-2022</t>
        </is>
      </c>
      <c r="B128" t="inlineStr">
        <is>
          <t>avverkningsanmälan</t>
        </is>
      </c>
      <c r="C128" t="inlineStr">
        <is>
          <t>Avverkning för annat ändamål</t>
        </is>
      </c>
      <c r="D128" s="1" t="n">
        <v>44733</v>
      </c>
      <c r="E128" s="1" t="n">
        <v>46326</v>
      </c>
      <c r="F128" t="inlineStr">
        <is>
          <t>DALARNAS LÄN</t>
        </is>
      </c>
      <c r="G128" t="inlineStr">
        <is>
          <t>BORLÄNGE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16767-2022</t>
        </is>
      </c>
      <c r="B129" t="inlineStr">
        <is>
          <t>avverkningsanmälan</t>
        </is>
      </c>
      <c r="C129" t="inlineStr">
        <is>
          <t>Föryngringsavverkning</t>
        </is>
      </c>
      <c r="D129" s="1" t="n">
        <v>44673</v>
      </c>
      <c r="E129" s="1" t="n">
        <v>46326</v>
      </c>
      <c r="F129" t="inlineStr">
        <is>
          <t>DALARNAS LÄN</t>
        </is>
      </c>
      <c r="G129" t="inlineStr">
        <is>
          <t>BORLÄNGE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19047-2022</t>
        </is>
      </c>
      <c r="B130" t="inlineStr">
        <is>
          <t>avverkningsanmälan</t>
        </is>
      </c>
      <c r="C130" t="inlineStr">
        <is>
          <t>Föryngringsavverkning</t>
        </is>
      </c>
      <c r="D130" s="1" t="n">
        <v>44691</v>
      </c>
      <c r="E130" s="1" t="n">
        <v>46326</v>
      </c>
      <c r="F130" t="inlineStr">
        <is>
          <t>DALARNAS LÄN</t>
        </is>
      </c>
      <c r="G130" t="inlineStr">
        <is>
          <t>BORLÄNGE</t>
        </is>
      </c>
      <c r="H130" t="inlineStr">
        <is>
          <t>Bergvik skog väst AB</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42732-2022</t>
        </is>
      </c>
      <c r="B131" t="inlineStr">
        <is>
          <t>avverkningsanmälan</t>
        </is>
      </c>
      <c r="C131" t="inlineStr">
        <is>
          <t>Föryngringsavverkning</t>
        </is>
      </c>
      <c r="D131" s="1" t="n">
        <v>44832</v>
      </c>
      <c r="E131" s="1" t="n">
        <v>46326</v>
      </c>
      <c r="F131" t="inlineStr">
        <is>
          <t>DALARNAS LÄN</t>
        </is>
      </c>
      <c r="G131" t="inlineStr">
        <is>
          <t>BORLÄNGE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46326</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11435-2022</t>
        </is>
      </c>
      <c r="B133" t="inlineStr">
        <is>
          <t>avverkningsanmälan</t>
        </is>
      </c>
      <c r="C133" t="inlineStr">
        <is>
          <t>Föryngringsavverkning</t>
        </is>
      </c>
      <c r="D133" s="1" t="n">
        <v>44630</v>
      </c>
      <c r="E133" s="1" t="n">
        <v>46326</v>
      </c>
      <c r="F133" t="inlineStr">
        <is>
          <t>DALARNAS LÄN</t>
        </is>
      </c>
      <c r="G133" t="inlineStr">
        <is>
          <t>BORLÄNGE</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28362-2022</t>
        </is>
      </c>
      <c r="B134" t="inlineStr">
        <is>
          <t>avverkningsanmälan</t>
        </is>
      </c>
      <c r="C134" t="inlineStr">
        <is>
          <t>Föryngringsavverkning</t>
        </is>
      </c>
      <c r="D134" s="1" t="n">
        <v>44747</v>
      </c>
      <c r="E134" s="1" t="n">
        <v>46326</v>
      </c>
      <c r="F134" t="inlineStr">
        <is>
          <t>DALARNAS LÄN</t>
        </is>
      </c>
      <c r="G134" t="inlineStr">
        <is>
          <t>BORLÄNGE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16320-2022</t>
        </is>
      </c>
      <c r="B135" t="inlineStr">
        <is>
          <t>avverkningsanmälan</t>
        </is>
      </c>
      <c r="C135" t="inlineStr">
        <is>
          <t>Föryngringsavverkning</t>
        </is>
      </c>
      <c r="D135" s="1" t="n">
        <v>44670</v>
      </c>
      <c r="E135" s="1" t="n">
        <v>46326</v>
      </c>
      <c r="F135" t="inlineStr">
        <is>
          <t>DALARNAS LÄN</t>
        </is>
      </c>
      <c r="G135" t="inlineStr">
        <is>
          <t>BORLÄNGE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15818-2022</t>
        </is>
      </c>
      <c r="B136" t="inlineStr">
        <is>
          <t>avverkningsanmälan</t>
        </is>
      </c>
      <c r="C136" t="inlineStr">
        <is>
          <t>Föryngringsavverkning</t>
        </is>
      </c>
      <c r="D136" s="1" t="n">
        <v>44664</v>
      </c>
      <c r="E136" s="1" t="n">
        <v>46326</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64262-2021</t>
        </is>
      </c>
      <c r="B137" t="inlineStr">
        <is>
          <t>avverkningsanmälan</t>
        </is>
      </c>
      <c r="C137" t="inlineStr">
        <is>
          <t>Avverkning för annat ändamål</t>
        </is>
      </c>
      <c r="D137" s="1" t="n">
        <v>44510</v>
      </c>
      <c r="E137" s="1" t="n">
        <v>46326</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36544-2022</t>
        </is>
      </c>
      <c r="B138" t="inlineStr">
        <is>
          <t>avverkningsanmälan</t>
        </is>
      </c>
      <c r="C138" t="inlineStr">
        <is>
          <t>Föryngringsavverkning</t>
        </is>
      </c>
      <c r="D138" s="1" t="n">
        <v>44804</v>
      </c>
      <c r="E138" s="1" t="n">
        <v>46326</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42861-2022</t>
        </is>
      </c>
      <c r="B139" t="inlineStr">
        <is>
          <t>avverkningsanmälan</t>
        </is>
      </c>
      <c r="C139" t="inlineStr">
        <is>
          <t>Föryngringsavverkning</t>
        </is>
      </c>
      <c r="D139" s="1" t="n">
        <v>44832</v>
      </c>
      <c r="E139" s="1" t="n">
        <v>46326</v>
      </c>
      <c r="F139" t="inlineStr">
        <is>
          <t>DALARNAS LÄN</t>
        </is>
      </c>
      <c r="G139" t="inlineStr">
        <is>
          <t>BORLÄNGE</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69798-2021</t>
        </is>
      </c>
      <c r="B140" t="inlineStr">
        <is>
          <t>avverkningsanmälan</t>
        </is>
      </c>
      <c r="C140" t="inlineStr">
        <is>
          <t>Föryngringsavverkning</t>
        </is>
      </c>
      <c r="D140" s="1" t="n">
        <v>44532</v>
      </c>
      <c r="E140" s="1" t="n">
        <v>46326</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32243-2022</t>
        </is>
      </c>
      <c r="B141" t="inlineStr">
        <is>
          <t>avverkningsanmälan</t>
        </is>
      </c>
      <c r="C141" t="inlineStr">
        <is>
          <t>Föryngringsavverkning</t>
        </is>
      </c>
      <c r="D141" s="1" t="n">
        <v>44781</v>
      </c>
      <c r="E141" s="1" t="n">
        <v>46326</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34323-2022</t>
        </is>
      </c>
      <c r="B142" t="inlineStr">
        <is>
          <t>avverkningsanmälan</t>
        </is>
      </c>
      <c r="C142" t="inlineStr">
        <is>
          <t>Föryngringsavverkning</t>
        </is>
      </c>
      <c r="D142" s="1" t="n">
        <v>44792</v>
      </c>
      <c r="E142" s="1" t="n">
        <v>46326</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36759-2022</t>
        </is>
      </c>
      <c r="B143" t="inlineStr">
        <is>
          <t>avverkningsanmälan</t>
        </is>
      </c>
      <c r="C143" t="inlineStr">
        <is>
          <t>Föryngringsavverkning</t>
        </is>
      </c>
      <c r="D143" s="1" t="n">
        <v>44805</v>
      </c>
      <c r="E143" s="1" t="n">
        <v>46326</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34320-2022</t>
        </is>
      </c>
      <c r="B144" t="inlineStr">
        <is>
          <t>avverkningsanmälan</t>
        </is>
      </c>
      <c r="C144" t="inlineStr">
        <is>
          <t>Föryngringsavverkning</t>
        </is>
      </c>
      <c r="D144" s="1" t="n">
        <v>44792</v>
      </c>
      <c r="E144" s="1" t="n">
        <v>46326</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27423-2022</t>
        </is>
      </c>
      <c r="B145" t="inlineStr">
        <is>
          <t>avverkningsanmälan</t>
        </is>
      </c>
      <c r="C145" t="inlineStr">
        <is>
          <t>Föryngringsavverkning</t>
        </is>
      </c>
      <c r="D145" s="1" t="n">
        <v>44742</v>
      </c>
      <c r="E145" s="1" t="n">
        <v>46326</v>
      </c>
      <c r="F145" t="inlineStr">
        <is>
          <t>DALARNAS LÄN</t>
        </is>
      </c>
      <c r="G145" t="inlineStr">
        <is>
          <t>BORLÄNGE</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21322-2022</t>
        </is>
      </c>
      <c r="B146" t="inlineStr">
        <is>
          <t>avverkningsanmälan</t>
        </is>
      </c>
      <c r="C146" t="inlineStr">
        <is>
          <t>Föryngringsavverkning</t>
        </is>
      </c>
      <c r="D146" s="1" t="n">
        <v>44705</v>
      </c>
      <c r="E146" s="1" t="n">
        <v>46326</v>
      </c>
      <c r="F146" t="inlineStr">
        <is>
          <t>DALARNAS LÄN</t>
        </is>
      </c>
      <c r="G146" t="inlineStr">
        <is>
          <t>BORLÄNGE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2454-2022</t>
        </is>
      </c>
      <c r="B147" t="inlineStr">
        <is>
          <t>avverkningsanmälan</t>
        </is>
      </c>
      <c r="C147" t="inlineStr">
        <is>
          <t>Föryngringsavverkning</t>
        </is>
      </c>
      <c r="D147" s="1" t="n">
        <v>44579</v>
      </c>
      <c r="E147" s="1" t="n">
        <v>46326</v>
      </c>
      <c r="F147" t="inlineStr">
        <is>
          <t>DALARNAS LÄN</t>
        </is>
      </c>
      <c r="G147" t="inlineStr">
        <is>
          <t>BORLÄNGE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36214-2024</t>
        </is>
      </c>
      <c r="B148" t="inlineStr">
        <is>
          <t>avverkningsanmälan</t>
        </is>
      </c>
      <c r="C148" t="inlineStr">
        <is>
          <t>Föryngringsavverkning</t>
        </is>
      </c>
      <c r="D148" s="1" t="n">
        <v>45534</v>
      </c>
      <c r="E148" s="1" t="n">
        <v>46326</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36217-2024</t>
        </is>
      </c>
      <c r="B149" t="inlineStr">
        <is>
          <t>avverkningsanmälan</t>
        </is>
      </c>
      <c r="C149" t="inlineStr">
        <is>
          <t>Föryngringsavverkning</t>
        </is>
      </c>
      <c r="D149" s="1" t="n">
        <v>45534</v>
      </c>
      <c r="E149" s="1" t="n">
        <v>46326</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58903-2023</t>
        </is>
      </c>
      <c r="B150" t="inlineStr">
        <is>
          <t>avverkningsanmälan</t>
        </is>
      </c>
      <c r="C150" t="inlineStr">
        <is>
          <t>Föryngringsavverkning</t>
        </is>
      </c>
      <c r="D150" s="1" t="n">
        <v>45252</v>
      </c>
      <c r="E150" s="1" t="n">
        <v>46326</v>
      </c>
      <c r="F150" t="inlineStr">
        <is>
          <t>DALARNAS LÄN</t>
        </is>
      </c>
      <c r="G150" t="inlineStr">
        <is>
          <t>BORLÄNGE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10774-2024</t>
        </is>
      </c>
      <c r="B151" t="inlineStr">
        <is>
          <t>avverkningsanmälan</t>
        </is>
      </c>
      <c r="C151" t="inlineStr">
        <is>
          <t>Föryngringsavverkning</t>
        </is>
      </c>
      <c r="D151" s="1" t="n">
        <v>45369</v>
      </c>
      <c r="E151" s="1" t="n">
        <v>46326</v>
      </c>
      <c r="F151" t="inlineStr">
        <is>
          <t>DALARNAS LÄN</t>
        </is>
      </c>
      <c r="G151" t="inlineStr">
        <is>
          <t>BORLÄNGE</t>
        </is>
      </c>
      <c r="H151" t="inlineStr">
        <is>
          <t>Bergvik skog väst AB</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33163-2022</t>
        </is>
      </c>
      <c r="B152" t="inlineStr">
        <is>
          <t>avverkningsanmälan</t>
        </is>
      </c>
      <c r="C152" t="inlineStr">
        <is>
          <t>Föryngringsavverkning</t>
        </is>
      </c>
      <c r="D152" s="1" t="n">
        <v>44785</v>
      </c>
      <c r="E152" s="1" t="n">
        <v>46326</v>
      </c>
      <c r="F152" t="inlineStr">
        <is>
          <t>DALARNAS LÄN</t>
        </is>
      </c>
      <c r="G152" t="inlineStr">
        <is>
          <t>BORLÄNGE</t>
        </is>
      </c>
      <c r="I152" t="n">
        <v>10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30162-2024</t>
        </is>
      </c>
      <c r="B153" t="inlineStr">
        <is>
          <t>avverkningsanmälan</t>
        </is>
      </c>
      <c r="C153" t="inlineStr">
        <is>
          <t>Föryngringsavverkning</t>
        </is>
      </c>
      <c r="D153" s="1" t="n">
        <v>45489</v>
      </c>
      <c r="E153" s="1" t="n">
        <v>46326</v>
      </c>
      <c r="F153" t="inlineStr">
        <is>
          <t>DALARNAS LÄN</t>
        </is>
      </c>
      <c r="G153" t="inlineStr">
        <is>
          <t>BORLÄNGE</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15393-2023</t>
        </is>
      </c>
      <c r="B154" t="inlineStr">
        <is>
          <t>avverkningsanmälan</t>
        </is>
      </c>
      <c r="C154" t="inlineStr">
        <is>
          <t>Avverkning för annat ändamål</t>
        </is>
      </c>
      <c r="D154" s="1" t="n">
        <v>45016</v>
      </c>
      <c r="E154" s="1" t="n">
        <v>46326</v>
      </c>
      <c r="F154" t="inlineStr">
        <is>
          <t>DALARNAS LÄN</t>
        </is>
      </c>
      <c r="G154" t="inlineStr">
        <is>
          <t>BORLÄNGE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49938-2023</t>
        </is>
      </c>
      <c r="B155" t="inlineStr">
        <is>
          <t>avverkningsanmälan</t>
        </is>
      </c>
      <c r="C155" t="inlineStr">
        <is>
          <t>Föryngringsavverkning</t>
        </is>
      </c>
      <c r="D155" s="1" t="n">
        <v>45215</v>
      </c>
      <c r="E155" s="1" t="n">
        <v>46326</v>
      </c>
      <c r="F155" t="inlineStr">
        <is>
          <t>DALARNAS LÄN</t>
        </is>
      </c>
      <c r="G155" t="inlineStr">
        <is>
          <t>BORLÄNGE</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422-2023</t>
        </is>
      </c>
      <c r="B156" t="inlineStr">
        <is>
          <t>avverkningsanmälan</t>
        </is>
      </c>
      <c r="C156" t="inlineStr">
        <is>
          <t>Föryngringsavverkning</t>
        </is>
      </c>
      <c r="D156" s="1" t="n">
        <v>44929</v>
      </c>
      <c r="E156" s="1" t="n">
        <v>46326</v>
      </c>
      <c r="F156" t="inlineStr">
        <is>
          <t>DALARNAS LÄN</t>
        </is>
      </c>
      <c r="G156" t="inlineStr">
        <is>
          <t>BORLÄNGE</t>
        </is>
      </c>
      <c r="H156" t="inlineStr">
        <is>
          <t>Bergvik skog väst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43662-2022</t>
        </is>
      </c>
      <c r="B157" t="inlineStr">
        <is>
          <t>avverkningsanmälan</t>
        </is>
      </c>
      <c r="C157" t="inlineStr">
        <is>
          <t>Föryngringsavverkning</t>
        </is>
      </c>
      <c r="D157" s="1" t="n">
        <v>44837</v>
      </c>
      <c r="E157" s="1" t="n">
        <v>46326</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17510-2022</t>
        </is>
      </c>
      <c r="B158" t="inlineStr">
        <is>
          <t>avverkningsanmälan</t>
        </is>
      </c>
      <c r="C158" t="inlineStr">
        <is>
          <t>Föryngringsavverkning</t>
        </is>
      </c>
      <c r="D158" s="1" t="n">
        <v>44679</v>
      </c>
      <c r="E158" s="1" t="n">
        <v>46326</v>
      </c>
      <c r="F158" t="inlineStr">
        <is>
          <t>DALARNAS LÄN</t>
        </is>
      </c>
      <c r="G158" t="inlineStr">
        <is>
          <t>BORLÄNGE</t>
        </is>
      </c>
      <c r="H158" t="inlineStr">
        <is>
          <t>Kommuner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49888-2023</t>
        </is>
      </c>
      <c r="B159" t="inlineStr">
        <is>
          <t>avverkningsanmälan</t>
        </is>
      </c>
      <c r="C159" t="inlineStr">
        <is>
          <t>Föryngringsavverkning</t>
        </is>
      </c>
      <c r="D159" s="1" t="n">
        <v>45213</v>
      </c>
      <c r="E159" s="1" t="n">
        <v>46326</v>
      </c>
      <c r="F159" t="inlineStr">
        <is>
          <t>DALARNAS LÄN</t>
        </is>
      </c>
      <c r="G159" t="inlineStr">
        <is>
          <t>BORLÄNGE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43324-2023</t>
        </is>
      </c>
      <c r="B160" t="inlineStr">
        <is>
          <t>avverkningsanmälan</t>
        </is>
      </c>
      <c r="C160" t="inlineStr">
        <is>
          <t>Föryngringsavverkning</t>
        </is>
      </c>
      <c r="D160" s="1" t="n">
        <v>45183</v>
      </c>
      <c r="E160" s="1" t="n">
        <v>46326</v>
      </c>
      <c r="F160" t="inlineStr">
        <is>
          <t>DALARNAS LÄN</t>
        </is>
      </c>
      <c r="G160" t="inlineStr">
        <is>
          <t>BORLÄNGE</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18529-2024</t>
        </is>
      </c>
      <c r="B161" t="inlineStr">
        <is>
          <t>avverkningsanmälan</t>
        </is>
      </c>
      <c r="C161" t="inlineStr">
        <is>
          <t>Föryngringsavverkning</t>
        </is>
      </c>
      <c r="D161" s="1" t="n">
        <v>45425</v>
      </c>
      <c r="E161" s="1" t="n">
        <v>46326</v>
      </c>
      <c r="F161" t="inlineStr">
        <is>
          <t>DALARNAS LÄN</t>
        </is>
      </c>
      <c r="G161" t="inlineStr">
        <is>
          <t>BORLÄNGE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57533-2023</t>
        </is>
      </c>
      <c r="B162" t="inlineStr">
        <is>
          <t>avverkningsanmälan</t>
        </is>
      </c>
      <c r="C162" t="inlineStr">
        <is>
          <t>Föryngringsavverkning</t>
        </is>
      </c>
      <c r="D162" s="1" t="n">
        <v>45246</v>
      </c>
      <c r="E162" s="1" t="n">
        <v>46326</v>
      </c>
      <c r="F162" t="inlineStr">
        <is>
          <t>DALARNAS LÄN</t>
        </is>
      </c>
      <c r="G162" t="inlineStr">
        <is>
          <t>BORLÄNGE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43713-2024</t>
        </is>
      </c>
      <c r="B163" t="inlineStr">
        <is>
          <t>avverkningsanmälan</t>
        </is>
      </c>
      <c r="C163" t="inlineStr">
        <is>
          <t>Föryngringsavverkning</t>
        </is>
      </c>
      <c r="D163" s="1" t="n">
        <v>45569</v>
      </c>
      <c r="E163" s="1" t="n">
        <v>46326</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47109-2024</t>
        </is>
      </c>
      <c r="B164" t="inlineStr">
        <is>
          <t>avverkningsanmälan</t>
        </is>
      </c>
      <c r="C164" t="inlineStr">
        <is>
          <t>Föryngringsavverkning</t>
        </is>
      </c>
      <c r="D164" s="1" t="n">
        <v>45586</v>
      </c>
      <c r="E164" s="1" t="n">
        <v>46326</v>
      </c>
      <c r="F164" t="inlineStr">
        <is>
          <t>DALARNAS LÄN</t>
        </is>
      </c>
      <c r="G164" t="inlineStr">
        <is>
          <t>BORLÄNGE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28312-2022</t>
        </is>
      </c>
      <c r="B165" t="inlineStr">
        <is>
          <t>avverkningsanmälan</t>
        </is>
      </c>
      <c r="C165" t="inlineStr">
        <is>
          <t>Föryngringsavverkning</t>
        </is>
      </c>
      <c r="D165" s="1" t="n">
        <v>44747</v>
      </c>
      <c r="E165" s="1" t="n">
        <v>46326</v>
      </c>
      <c r="F165" t="inlineStr">
        <is>
          <t>DALARNAS LÄN</t>
        </is>
      </c>
      <c r="G165" t="inlineStr">
        <is>
          <t>BORLÄNGE</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41257-2024</t>
        </is>
      </c>
      <c r="B166" t="inlineStr">
        <is>
          <t>avverkningsanmälan</t>
        </is>
      </c>
      <c r="C166" t="inlineStr">
        <is>
          <t>Föryngringsavverkning</t>
        </is>
      </c>
      <c r="D166" s="1" t="n">
        <v>45559</v>
      </c>
      <c r="E166" s="1" t="n">
        <v>46326</v>
      </c>
      <c r="F166" t="inlineStr">
        <is>
          <t>DALARNAS LÄN</t>
        </is>
      </c>
      <c r="G166" t="inlineStr">
        <is>
          <t>BORLÄNGE</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41276-2024</t>
        </is>
      </c>
      <c r="B167" t="inlineStr">
        <is>
          <t>avverkningsanmälan</t>
        </is>
      </c>
      <c r="C167" t="inlineStr">
        <is>
          <t>Föryngringsavverkning</t>
        </is>
      </c>
      <c r="D167" s="1" t="n">
        <v>45559</v>
      </c>
      <c r="E167" s="1" t="n">
        <v>46326</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14995-2023</t>
        </is>
      </c>
      <c r="B168" t="inlineStr">
        <is>
          <t>avverkningsanmälan</t>
        </is>
      </c>
      <c r="C168" t="inlineStr">
        <is>
          <t>Föryngringsavverkning</t>
        </is>
      </c>
      <c r="D168" s="1" t="n">
        <v>45015</v>
      </c>
      <c r="E168" s="1" t="n">
        <v>46326</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34674-2023</t>
        </is>
      </c>
      <c r="B169" t="inlineStr">
        <is>
          <t>avverkningsanmälan</t>
        </is>
      </c>
      <c r="C169" t="inlineStr">
        <is>
          <t>Föryngringsavverkning</t>
        </is>
      </c>
      <c r="D169" s="1" t="n">
        <v>45140</v>
      </c>
      <c r="E169" s="1" t="n">
        <v>46326</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30248-2023</t>
        </is>
      </c>
      <c r="B170" t="inlineStr">
        <is>
          <t>avverkningsanmälan</t>
        </is>
      </c>
      <c r="C170" t="inlineStr">
        <is>
          <t>Föryngringsavverkning</t>
        </is>
      </c>
      <c r="D170" s="1" t="n">
        <v>45110</v>
      </c>
      <c r="E170" s="1" t="n">
        <v>46326</v>
      </c>
      <c r="F170" t="inlineStr">
        <is>
          <t>DALARNAS LÄN</t>
        </is>
      </c>
      <c r="G170" t="inlineStr">
        <is>
          <t>BORLÄNGE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30253-2023</t>
        </is>
      </c>
      <c r="B171" t="inlineStr">
        <is>
          <t>avverkningsanmälan</t>
        </is>
      </c>
      <c r="C171" t="inlineStr">
        <is>
          <t>Föryngringsavverkning</t>
        </is>
      </c>
      <c r="D171" s="1" t="n">
        <v>45110</v>
      </c>
      <c r="E171" s="1" t="n">
        <v>46326</v>
      </c>
      <c r="F171" t="inlineStr">
        <is>
          <t>DALARNAS LÄN</t>
        </is>
      </c>
      <c r="G171" t="inlineStr">
        <is>
          <t>BORLÄNGE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1966-2024</t>
        </is>
      </c>
      <c r="B172" t="inlineStr">
        <is>
          <t>avverkningsanmälan</t>
        </is>
      </c>
      <c r="C172" t="inlineStr">
        <is>
          <t>Föryngringsavverkning</t>
        </is>
      </c>
      <c r="D172" s="1" t="n">
        <v>45308</v>
      </c>
      <c r="E172" s="1" t="n">
        <v>46326</v>
      </c>
      <c r="F172" t="inlineStr">
        <is>
          <t>DALARNAS LÄN</t>
        </is>
      </c>
      <c r="G172" t="inlineStr">
        <is>
          <t>BORLÄNGE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36422-2024</t>
        </is>
      </c>
      <c r="B173" t="inlineStr">
        <is>
          <t>avverkningsanmälan</t>
        </is>
      </c>
      <c r="C173" t="inlineStr">
        <is>
          <t>Föryngringsavverkning</t>
        </is>
      </c>
      <c r="D173" s="1" t="n">
        <v>45536</v>
      </c>
      <c r="E173" s="1" t="n">
        <v>46326</v>
      </c>
      <c r="F173" t="inlineStr">
        <is>
          <t>DALARNAS LÄN</t>
        </is>
      </c>
      <c r="G173" t="inlineStr">
        <is>
          <t>BORLÄNGE</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36423-2024</t>
        </is>
      </c>
      <c r="B174" t="inlineStr">
        <is>
          <t>avverkningsanmälan</t>
        </is>
      </c>
      <c r="C174" t="inlineStr">
        <is>
          <t>Föryngringsavverkning</t>
        </is>
      </c>
      <c r="D174" s="1" t="n">
        <v>45536</v>
      </c>
      <c r="E174" s="1" t="n">
        <v>46326</v>
      </c>
      <c r="F174" t="inlineStr">
        <is>
          <t>DALARNAS LÄN</t>
        </is>
      </c>
      <c r="G174" t="inlineStr">
        <is>
          <t>BORLÄNGE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38754-2023</t>
        </is>
      </c>
      <c r="B175" t="inlineStr">
        <is>
          <t>avverkningsanmälan</t>
        </is>
      </c>
      <c r="C175" t="inlineStr">
        <is>
          <t>Avverkning för annat ändamål</t>
        </is>
      </c>
      <c r="D175" s="1" t="n">
        <v>45163</v>
      </c>
      <c r="E175" s="1" t="n">
        <v>46326</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60625-2023</t>
        </is>
      </c>
      <c r="B176" t="inlineStr">
        <is>
          <t>avverkningsanmälan</t>
        </is>
      </c>
      <c r="C176" t="inlineStr">
        <is>
          <t>Föryngringsavverkning</t>
        </is>
      </c>
      <c r="D176" s="1" t="n">
        <v>45260</v>
      </c>
      <c r="E176" s="1" t="n">
        <v>46326</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8473-2022</t>
        </is>
      </c>
      <c r="B177" t="inlineStr">
        <is>
          <t>avverkningsanmälan</t>
        </is>
      </c>
      <c r="C177" t="inlineStr">
        <is>
          <t>Föryngringsavverkning</t>
        </is>
      </c>
      <c r="D177" s="1" t="n">
        <v>44613</v>
      </c>
      <c r="E177" s="1" t="n">
        <v>46326</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40654-2022</t>
        </is>
      </c>
      <c r="B178" t="inlineStr">
        <is>
          <t>avverkningsanmälan</t>
        </is>
      </c>
      <c r="C178" t="inlineStr">
        <is>
          <t>Föryngringsavverkning</t>
        </is>
      </c>
      <c r="D178" s="1" t="n">
        <v>44824</v>
      </c>
      <c r="E178" s="1" t="n">
        <v>46326</v>
      </c>
      <c r="F178" t="inlineStr">
        <is>
          <t>DALARNAS LÄN</t>
        </is>
      </c>
      <c r="G178" t="inlineStr">
        <is>
          <t>BORLÄNGE</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25611-2025</t>
        </is>
      </c>
      <c r="B179" t="inlineStr">
        <is>
          <t>avverkningsanmälan</t>
        </is>
      </c>
      <c r="C179" t="inlineStr">
        <is>
          <t>Föryngringsavverkning</t>
        </is>
      </c>
      <c r="D179" s="1" t="n">
        <v>45803</v>
      </c>
      <c r="E179" s="1" t="n">
        <v>46326</v>
      </c>
      <c r="F179" t="inlineStr">
        <is>
          <t>DALARNAS LÄN</t>
        </is>
      </c>
      <c r="G179" t="inlineStr">
        <is>
          <t>BORLÄNGE</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42612-2024</t>
        </is>
      </c>
      <c r="B180" t="inlineStr">
        <is>
          <t>avverkningsanmälan</t>
        </is>
      </c>
      <c r="C180" t="inlineStr">
        <is>
          <t>Föryngringsavverkning</t>
        </is>
      </c>
      <c r="D180" s="1" t="n">
        <v>45565</v>
      </c>
      <c r="E180" s="1" t="n">
        <v>46326</v>
      </c>
      <c r="F180" t="inlineStr">
        <is>
          <t>DALARNAS LÄN</t>
        </is>
      </c>
      <c r="G180" t="inlineStr">
        <is>
          <t>BORLÄNGE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25932-2025</t>
        </is>
      </c>
      <c r="B181" t="inlineStr">
        <is>
          <t>avverkningsanmälan</t>
        </is>
      </c>
      <c r="C181" t="inlineStr">
        <is>
          <t>Föryngringsavverkning</t>
        </is>
      </c>
      <c r="D181" s="1" t="n">
        <v>45804</v>
      </c>
      <c r="E181" s="1" t="n">
        <v>46326</v>
      </c>
      <c r="F181" t="inlineStr">
        <is>
          <t>DALARNAS LÄN</t>
        </is>
      </c>
      <c r="G181" t="inlineStr">
        <is>
          <t>BORLÄNGE</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45959-2024</t>
        </is>
      </c>
      <c r="B182" t="inlineStr">
        <is>
          <t>avverkningsanmälan</t>
        </is>
      </c>
      <c r="C182" t="inlineStr">
        <is>
          <t>Föryngringsavverkning</t>
        </is>
      </c>
      <c r="D182" s="1" t="n">
        <v>45580</v>
      </c>
      <c r="E182" s="1" t="n">
        <v>46326</v>
      </c>
      <c r="F182" t="inlineStr">
        <is>
          <t>DALARNAS LÄN</t>
        </is>
      </c>
      <c r="G182" t="inlineStr">
        <is>
          <t>BORLÄNGE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48606-2023</t>
        </is>
      </c>
      <c r="B183" t="inlineStr">
        <is>
          <t>avverkningsanmälan</t>
        </is>
      </c>
      <c r="C183" t="inlineStr">
        <is>
          <t>Föryngringsavverkning</t>
        </is>
      </c>
      <c r="D183" s="1" t="n">
        <v>45208</v>
      </c>
      <c r="E183" s="1" t="n">
        <v>46326</v>
      </c>
      <c r="F183" t="inlineStr">
        <is>
          <t>DALARNAS LÄN</t>
        </is>
      </c>
      <c r="G183" t="inlineStr">
        <is>
          <t>BORLÄNGE</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349-2026</t>
        </is>
      </c>
      <c r="B184" t="inlineStr">
        <is>
          <t>avverkningsanmälan</t>
        </is>
      </c>
      <c r="C184" t="inlineStr">
        <is>
          <t>Föryngringsavverkning</t>
        </is>
      </c>
      <c r="D184" s="1" t="n">
        <v>46027</v>
      </c>
      <c r="E184" s="1" t="n">
        <v>46326</v>
      </c>
      <c r="F184" t="inlineStr">
        <is>
          <t>DALARNAS LÄN</t>
        </is>
      </c>
      <c r="G184" t="inlineStr">
        <is>
          <t>BORLÄNGE</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470-2026</t>
        </is>
      </c>
      <c r="B185" t="inlineStr">
        <is>
          <t>avverkningsanmälan</t>
        </is>
      </c>
      <c r="C185" t="inlineStr">
        <is>
          <t>Föryngringsavverkning</t>
        </is>
      </c>
      <c r="D185" s="1" t="n">
        <v>46029</v>
      </c>
      <c r="E185" s="1" t="n">
        <v>46326</v>
      </c>
      <c r="F185" t="inlineStr">
        <is>
          <t>DALARNAS LÄN</t>
        </is>
      </c>
      <c r="G185" t="inlineStr">
        <is>
          <t>BORLÄNGE</t>
        </is>
      </c>
      <c r="H185" t="inlineStr">
        <is>
          <t>Bergvik skog väst AB</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27233-2025</t>
        </is>
      </c>
      <c r="B186" t="inlineStr">
        <is>
          <t>avverkningsanmälan</t>
        </is>
      </c>
      <c r="C186" t="inlineStr">
        <is>
          <t>Föryngringsavverkning</t>
        </is>
      </c>
      <c r="D186" s="1" t="n">
        <v>45812</v>
      </c>
      <c r="E186" s="1" t="n">
        <v>46326</v>
      </c>
      <c r="F186" t="inlineStr">
        <is>
          <t>DALARNAS LÄN</t>
        </is>
      </c>
      <c r="G186" t="inlineStr">
        <is>
          <t>BORLÄNGE</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55735-2023</t>
        </is>
      </c>
      <c r="B187" t="inlineStr">
        <is>
          <t>avverkningsanmälan</t>
        </is>
      </c>
      <c r="C187" t="inlineStr">
        <is>
          <t>Föryngringsavverkning</t>
        </is>
      </c>
      <c r="D187" s="1" t="n">
        <v>45239</v>
      </c>
      <c r="E187" s="1" t="n">
        <v>46326</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11136-2023</t>
        </is>
      </c>
      <c r="B188" t="inlineStr">
        <is>
          <t>avverkningsanmälan</t>
        </is>
      </c>
      <c r="C188" t="inlineStr">
        <is>
          <t>Föryngringsavverkning</t>
        </is>
      </c>
      <c r="D188" s="1" t="n">
        <v>44992</v>
      </c>
      <c r="E188" s="1" t="n">
        <v>46326</v>
      </c>
      <c r="F188" t="inlineStr">
        <is>
          <t>DALARNAS LÄN</t>
        </is>
      </c>
      <c r="G188" t="inlineStr">
        <is>
          <t>BORLÄNGE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11138-2023</t>
        </is>
      </c>
      <c r="B189" t="inlineStr">
        <is>
          <t>avverkningsanmälan</t>
        </is>
      </c>
      <c r="C189" t="inlineStr">
        <is>
          <t>Föryngringsavverkning</t>
        </is>
      </c>
      <c r="D189" s="1" t="n">
        <v>44992</v>
      </c>
      <c r="E189" s="1" t="n">
        <v>46326</v>
      </c>
      <c r="F189" t="inlineStr">
        <is>
          <t>DALARNAS LÄN</t>
        </is>
      </c>
      <c r="G189" t="inlineStr">
        <is>
          <t>BORLÄNGE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27670-2025</t>
        </is>
      </c>
      <c r="B190" t="inlineStr">
        <is>
          <t>avverkningsanmälan</t>
        </is>
      </c>
      <c r="C190" t="inlineStr">
        <is>
          <t>Föryngringsavverkning</t>
        </is>
      </c>
      <c r="D190" s="1" t="n">
        <v>45813</v>
      </c>
      <c r="E190" s="1" t="n">
        <v>46326</v>
      </c>
      <c r="F190" t="inlineStr">
        <is>
          <t>DALARNAS LÄN</t>
        </is>
      </c>
      <c r="G190" t="inlineStr">
        <is>
          <t>BORLÄNGE</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64688-2023</t>
        </is>
      </c>
      <c r="B191" t="inlineStr">
        <is>
          <t>avverkningsanmälan</t>
        </is>
      </c>
      <c r="C191" t="inlineStr">
        <is>
          <t>Föryngringsavverkning</t>
        </is>
      </c>
      <c r="D191" s="1" t="n">
        <v>45281</v>
      </c>
      <c r="E191" s="1" t="n">
        <v>46326</v>
      </c>
      <c r="F191" t="inlineStr">
        <is>
          <t>DALARNAS LÄN</t>
        </is>
      </c>
      <c r="G191" t="inlineStr">
        <is>
          <t>BORLÄNGE</t>
        </is>
      </c>
      <c r="H191" t="inlineStr">
        <is>
          <t>Kyrkan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27717-2024</t>
        </is>
      </c>
      <c r="B192" t="inlineStr">
        <is>
          <t>avverkningsanmälan</t>
        </is>
      </c>
      <c r="C192" t="inlineStr">
        <is>
          <t>Avverkning för annat ändamål</t>
        </is>
      </c>
      <c r="D192" s="1" t="n">
        <v>45475</v>
      </c>
      <c r="E192" s="1" t="n">
        <v>46326</v>
      </c>
      <c r="F192" t="inlineStr">
        <is>
          <t>DALARNAS LÄN</t>
        </is>
      </c>
      <c r="G192" t="inlineStr">
        <is>
          <t>BORLÄNGE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1030-2026</t>
        </is>
      </c>
      <c r="B193" t="inlineStr">
        <is>
          <t>avverkningsanmälan</t>
        </is>
      </c>
      <c r="C193" t="inlineStr">
        <is>
          <t>Föryngringsavverkning</t>
        </is>
      </c>
      <c r="D193" s="1" t="n">
        <v>46030</v>
      </c>
      <c r="E193" s="1" t="n">
        <v>46326</v>
      </c>
      <c r="F193" t="inlineStr">
        <is>
          <t>DALARNAS LÄN</t>
        </is>
      </c>
      <c r="G193" t="inlineStr">
        <is>
          <t>BORLÄNGE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27714-2025</t>
        </is>
      </c>
      <c r="B194" t="inlineStr">
        <is>
          <t>avverkningsanmälan</t>
        </is>
      </c>
      <c r="C194" t="inlineStr">
        <is>
          <t>Föryngringsavverkning</t>
        </is>
      </c>
      <c r="D194" s="1" t="n">
        <v>45813</v>
      </c>
      <c r="E194" s="1" t="n">
        <v>46326</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5529-2025</t>
        </is>
      </c>
      <c r="B195" t="inlineStr">
        <is>
          <t>avverkningsanmälan</t>
        </is>
      </c>
      <c r="C195" t="inlineStr">
        <is>
          <t>Föryngringsavverkning</t>
        </is>
      </c>
      <c r="D195" s="1" t="n">
        <v>45693</v>
      </c>
      <c r="E195" s="1" t="n">
        <v>46326</v>
      </c>
      <c r="F195" t="inlineStr">
        <is>
          <t>DALARNAS LÄN</t>
        </is>
      </c>
      <c r="G195" t="inlineStr">
        <is>
          <t>BORLÄNGE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1023-2026</t>
        </is>
      </c>
      <c r="B196" t="inlineStr">
        <is>
          <t>avverkningsanmälan</t>
        </is>
      </c>
      <c r="C196" t="inlineStr">
        <is>
          <t>Föryngringsavverkning</t>
        </is>
      </c>
      <c r="D196" s="1" t="n">
        <v>46030</v>
      </c>
      <c r="E196" s="1" t="n">
        <v>46326</v>
      </c>
      <c r="F196" t="inlineStr">
        <is>
          <t>DALARNAS LÄN</t>
        </is>
      </c>
      <c r="G196" t="inlineStr">
        <is>
          <t>BORLÄNGE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1111-2026</t>
        </is>
      </c>
      <c r="B197" t="inlineStr">
        <is>
          <t>avverkningsanmälan</t>
        </is>
      </c>
      <c r="C197" t="inlineStr">
        <is>
          <t>Föryngringsavverkning</t>
        </is>
      </c>
      <c r="D197" s="1" t="n">
        <v>46030</v>
      </c>
      <c r="E197" s="1" t="n">
        <v>46326</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39520-2025</t>
        </is>
      </c>
      <c r="B198" t="inlineStr">
        <is>
          <t>avverkningsanmälan</t>
        </is>
      </c>
      <c r="C198" t="inlineStr">
        <is>
          <t>Föryngringsavverkning</t>
        </is>
      </c>
      <c r="D198" s="1" t="n">
        <v>45890</v>
      </c>
      <c r="E198" s="1" t="n">
        <v>46326</v>
      </c>
      <c r="F198" t="inlineStr">
        <is>
          <t>DALARNAS LÄN</t>
        </is>
      </c>
      <c r="G198" t="inlineStr">
        <is>
          <t>BORLÄNGE</t>
        </is>
      </c>
      <c r="H198" t="inlineStr">
        <is>
          <t>Bergvik skog väst AB</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39740-2025</t>
        </is>
      </c>
      <c r="B199" t="inlineStr">
        <is>
          <t>avverkningsanmälan</t>
        </is>
      </c>
      <c r="C199" t="inlineStr">
        <is>
          <t>Föryngringsavverkning</t>
        </is>
      </c>
      <c r="D199" s="1" t="n">
        <v>45891</v>
      </c>
      <c r="E199" s="1" t="n">
        <v>46326</v>
      </c>
      <c r="F199" t="inlineStr">
        <is>
          <t>DALARNAS LÄN</t>
        </is>
      </c>
      <c r="G199" t="inlineStr">
        <is>
          <t>BORLÄNGE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1831-2026</t>
        </is>
      </c>
      <c r="B200" t="inlineStr">
        <is>
          <t>avverkningsanmälan</t>
        </is>
      </c>
      <c r="C200" t="inlineStr">
        <is>
          <t>Föryngringsavverkning</t>
        </is>
      </c>
      <c r="D200" s="1" t="n">
        <v>46035</v>
      </c>
      <c r="E200" s="1" t="n">
        <v>46326</v>
      </c>
      <c r="F200" t="inlineStr">
        <is>
          <t>DALARNAS LÄN</t>
        </is>
      </c>
      <c r="G200" t="inlineStr">
        <is>
          <t>BORLÄNGE</t>
        </is>
      </c>
      <c r="H200" t="inlineStr">
        <is>
          <t>Övriga statliga verk och myndigheter</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39734-2025</t>
        </is>
      </c>
      <c r="B201" t="inlineStr">
        <is>
          <t>avverkningsanmälan</t>
        </is>
      </c>
      <c r="C201" t="inlineStr">
        <is>
          <t>Föryngringsavverkning</t>
        </is>
      </c>
      <c r="D201" s="1" t="n">
        <v>45891</v>
      </c>
      <c r="E201" s="1" t="n">
        <v>46326</v>
      </c>
      <c r="F201" t="inlineStr">
        <is>
          <t>DALARNAS LÄN</t>
        </is>
      </c>
      <c r="G201" t="inlineStr">
        <is>
          <t>BORLÄNGE</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62080-2024</t>
        </is>
      </c>
      <c r="B202" t="inlineStr">
        <is>
          <t>avverkningsanmälan</t>
        </is>
      </c>
      <c r="C202" t="inlineStr">
        <is>
          <t>Föryngringsavverkning</t>
        </is>
      </c>
      <c r="D202" s="1" t="n">
        <v>45656</v>
      </c>
      <c r="E202" s="1" t="n">
        <v>46326</v>
      </c>
      <c r="F202" t="inlineStr">
        <is>
          <t>DALARNAS LÄN</t>
        </is>
      </c>
      <c r="G202" t="inlineStr">
        <is>
          <t>BORLÄNGE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61195-2023</t>
        </is>
      </c>
      <c r="B203" t="inlineStr">
        <is>
          <t>avverkningsanmälan</t>
        </is>
      </c>
      <c r="C203" t="inlineStr">
        <is>
          <t>Föryngringsavverkning</t>
        </is>
      </c>
      <c r="D203" s="1" t="n">
        <v>45264</v>
      </c>
      <c r="E203" s="1" t="n">
        <v>46326</v>
      </c>
      <c r="F203" t="inlineStr">
        <is>
          <t>DALARNAS LÄN</t>
        </is>
      </c>
      <c r="G203" t="inlineStr">
        <is>
          <t>BORLÄNGE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1492-2025</t>
        </is>
      </c>
      <c r="B204" t="inlineStr">
        <is>
          <t>avverkningsanmälan</t>
        </is>
      </c>
      <c r="C204" t="inlineStr">
        <is>
          <t>Föryngringsavverkning</t>
        </is>
      </c>
      <c r="D204" s="1" t="n">
        <v>45670</v>
      </c>
      <c r="E204" s="1" t="n">
        <v>46326</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28321-2024</t>
        </is>
      </c>
      <c r="B205" t="inlineStr">
        <is>
          <t>avverkningsanmälan</t>
        </is>
      </c>
      <c r="C205" t="inlineStr">
        <is>
          <t>Föryngringsavverkning</t>
        </is>
      </c>
      <c r="D205" s="1" t="n">
        <v>45477</v>
      </c>
      <c r="E205" s="1" t="n">
        <v>46326</v>
      </c>
      <c r="F205" t="inlineStr">
        <is>
          <t>DALARNAS LÄN</t>
        </is>
      </c>
      <c r="G205" t="inlineStr">
        <is>
          <t>BORLÄNGE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2399-2026</t>
        </is>
      </c>
      <c r="B206" t="inlineStr">
        <is>
          <t>avverkningsanmälan</t>
        </is>
      </c>
      <c r="C206" t="inlineStr">
        <is>
          <t>Föryngringsavverkning</t>
        </is>
      </c>
      <c r="D206" s="1" t="n">
        <v>46036</v>
      </c>
      <c r="E206" s="1" t="n">
        <v>46326</v>
      </c>
      <c r="F206" t="inlineStr">
        <is>
          <t>DALARNAS LÄN</t>
        </is>
      </c>
      <c r="G206" t="inlineStr">
        <is>
          <t>BORLÄNGE</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2244-2026</t>
        </is>
      </c>
      <c r="B207" t="inlineStr">
        <is>
          <t>avverkningsanmälan</t>
        </is>
      </c>
      <c r="C207" t="inlineStr">
        <is>
          <t>Föryngringsavverkning</t>
        </is>
      </c>
      <c r="D207" s="1" t="n">
        <v>46036</v>
      </c>
      <c r="E207" s="1" t="n">
        <v>46326</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2160-2026</t>
        </is>
      </c>
      <c r="B208" t="inlineStr">
        <is>
          <t>avverkningsanmälan</t>
        </is>
      </c>
      <c r="C208" t="inlineStr">
        <is>
          <t>Föryngringsavverkning</t>
        </is>
      </c>
      <c r="D208" s="1" t="n">
        <v>46036</v>
      </c>
      <c r="E208" s="1" t="n">
        <v>46326</v>
      </c>
      <c r="F208" t="inlineStr">
        <is>
          <t>DALARNAS LÄN</t>
        </is>
      </c>
      <c r="G208" t="inlineStr">
        <is>
          <t>BORLÄNGE</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39574-2023</t>
        </is>
      </c>
      <c r="B209" t="inlineStr">
        <is>
          <t>avverkningsanmälan</t>
        </is>
      </c>
      <c r="C209" t="inlineStr">
        <is>
          <t>Föryngringsavverkning</t>
        </is>
      </c>
      <c r="D209" s="1" t="n">
        <v>45167</v>
      </c>
      <c r="E209" s="1" t="n">
        <v>46326</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22652-2024</t>
        </is>
      </c>
      <c r="B210" t="inlineStr">
        <is>
          <t>avverkningsanmälan</t>
        </is>
      </c>
      <c r="C210" t="inlineStr">
        <is>
          <t>Föryngringsavverkning</t>
        </is>
      </c>
      <c r="D210" s="1" t="n">
        <v>45447</v>
      </c>
      <c r="E210" s="1" t="n">
        <v>46326</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30540-2025</t>
        </is>
      </c>
      <c r="B211" t="inlineStr">
        <is>
          <t>avverkningsanmälan</t>
        </is>
      </c>
      <c r="C211" t="inlineStr">
        <is>
          <t>Föryngringsavverkning</t>
        </is>
      </c>
      <c r="D211" s="1" t="n">
        <v>45831</v>
      </c>
      <c r="E211" s="1" t="n">
        <v>46326</v>
      </c>
      <c r="F211" t="inlineStr">
        <is>
          <t>DALARNAS LÄN</t>
        </is>
      </c>
      <c r="G211" t="inlineStr">
        <is>
          <t>BORLÄNGE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61809-2022</t>
        </is>
      </c>
      <c r="B212" t="inlineStr">
        <is>
          <t>avverkningsanmälan</t>
        </is>
      </c>
      <c r="C212" t="inlineStr">
        <is>
          <t>Föryngringsavverkning</t>
        </is>
      </c>
      <c r="D212" s="1" t="n">
        <v>44917</v>
      </c>
      <c r="E212" s="1" t="n">
        <v>46326</v>
      </c>
      <c r="F212" t="inlineStr">
        <is>
          <t>DALARNAS LÄN</t>
        </is>
      </c>
      <c r="G212" t="inlineStr">
        <is>
          <t>BORLÄNGE</t>
        </is>
      </c>
      <c r="H212" t="inlineStr">
        <is>
          <t>Bergvik skog väst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1599-2026</t>
        </is>
      </c>
      <c r="B213" t="inlineStr">
        <is>
          <t>avverkningsanmälan</t>
        </is>
      </c>
      <c r="C213" t="inlineStr">
        <is>
          <t>Föryngringsavverkning</t>
        </is>
      </c>
      <c r="D213" s="1" t="n">
        <v>46031</v>
      </c>
      <c r="E213" s="1" t="n">
        <v>46326</v>
      </c>
      <c r="F213" t="inlineStr">
        <is>
          <t>DALARNAS LÄN</t>
        </is>
      </c>
      <c r="G213" t="inlineStr">
        <is>
          <t>BORLÄNGE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28039-2023</t>
        </is>
      </c>
      <c r="B214" t="inlineStr">
        <is>
          <t>avverkningsanmälan</t>
        </is>
      </c>
      <c r="C214" t="inlineStr">
        <is>
          <t>Avverkning för annat ändamål</t>
        </is>
      </c>
      <c r="D214" s="1" t="n">
        <v>45099</v>
      </c>
      <c r="E214" s="1" t="n">
        <v>46326</v>
      </c>
      <c r="F214" t="inlineStr">
        <is>
          <t>DALARNAS LÄN</t>
        </is>
      </c>
      <c r="G214" t="inlineStr">
        <is>
          <t>BORLÄNGE</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1596-2026</t>
        </is>
      </c>
      <c r="B215" t="inlineStr">
        <is>
          <t>avverkningsanmälan</t>
        </is>
      </c>
      <c r="C215" t="inlineStr">
        <is>
          <t>Föryngringsavverkning</t>
        </is>
      </c>
      <c r="D215" s="1" t="n">
        <v>46031</v>
      </c>
      <c r="E215" s="1" t="n">
        <v>46326</v>
      </c>
      <c r="F215" t="inlineStr">
        <is>
          <t>DALARNAS LÄN</t>
        </is>
      </c>
      <c r="G215" t="inlineStr">
        <is>
          <t>BORLÄNGE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31589-2025</t>
        </is>
      </c>
      <c r="B216" t="inlineStr">
        <is>
          <t>avverkningsanmälan</t>
        </is>
      </c>
      <c r="C216" t="inlineStr">
        <is>
          <t>Föryngringsavverkning</t>
        </is>
      </c>
      <c r="D216" s="1" t="n">
        <v>45833</v>
      </c>
      <c r="E216" s="1" t="n">
        <v>46326</v>
      </c>
      <c r="F216" t="inlineStr">
        <is>
          <t>DALARNAS LÄN</t>
        </is>
      </c>
      <c r="G216" t="inlineStr">
        <is>
          <t>BORLÄNGE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5802-2025</t>
        </is>
      </c>
      <c r="B217" t="inlineStr">
        <is>
          <t>avverkningsanmälan</t>
        </is>
      </c>
      <c r="C217" t="inlineStr">
        <is>
          <t>Föryngringsavverkning</t>
        </is>
      </c>
      <c r="D217" s="1" t="n">
        <v>45694</v>
      </c>
      <c r="E217" s="1" t="n">
        <v>46326</v>
      </c>
      <c r="F217" t="inlineStr">
        <is>
          <t>DALARNAS LÄN</t>
        </is>
      </c>
      <c r="G217" t="inlineStr">
        <is>
          <t>BORLÄNGE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44244-2025</t>
        </is>
      </c>
      <c r="B218" t="inlineStr">
        <is>
          <t>avverkningsanmälan</t>
        </is>
      </c>
      <c r="C218" t="inlineStr">
        <is>
          <t>Avverkning för annat ändamål</t>
        </is>
      </c>
      <c r="D218" s="1" t="n">
        <v>45915</v>
      </c>
      <c r="E218" s="1" t="n">
        <v>46326</v>
      </c>
      <c r="F218" t="inlineStr">
        <is>
          <t>DALARNAS LÄN</t>
        </is>
      </c>
      <c r="G218" t="inlineStr">
        <is>
          <t>BORLÄNGE</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32941-2024</t>
        </is>
      </c>
      <c r="B219" t="inlineStr">
        <is>
          <t>avverkningsanmälan</t>
        </is>
      </c>
      <c r="C219" t="inlineStr">
        <is>
          <t>Föryngringsavverkning</t>
        </is>
      </c>
      <c r="D219" s="1" t="n">
        <v>45517</v>
      </c>
      <c r="E219" s="1" t="n">
        <v>46326</v>
      </c>
      <c r="F219" t="inlineStr">
        <is>
          <t>DALARNAS LÄN</t>
        </is>
      </c>
      <c r="G219" t="inlineStr">
        <is>
          <t>BORLÄNGE</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5133-2026</t>
        </is>
      </c>
      <c r="B220" t="inlineStr">
        <is>
          <t>avverkningsanmälan</t>
        </is>
      </c>
      <c r="C220" t="inlineStr">
        <is>
          <t>Föryngringsavverkning</t>
        </is>
      </c>
      <c r="D220" s="1" t="n">
        <v>46049</v>
      </c>
      <c r="E220" s="1" t="n">
        <v>46326</v>
      </c>
      <c r="F220" t="inlineStr">
        <is>
          <t>DALARNAS LÄN</t>
        </is>
      </c>
      <c r="G220" t="inlineStr">
        <is>
          <t>BORLÄNGE</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4567-2026</t>
        </is>
      </c>
      <c r="B221" t="inlineStr">
        <is>
          <t>avverkningsanmälan</t>
        </is>
      </c>
      <c r="C221" t="inlineStr">
        <is>
          <t>Föryngringsavverkning</t>
        </is>
      </c>
      <c r="D221" s="1" t="n">
        <v>46047</v>
      </c>
      <c r="E221" s="1" t="n">
        <v>46326</v>
      </c>
      <c r="F221" t="inlineStr">
        <is>
          <t>DALARNAS LÄN</t>
        </is>
      </c>
      <c r="G221" t="inlineStr">
        <is>
          <t>BORLÄNGE</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1088-2023</t>
        </is>
      </c>
      <c r="B222" t="inlineStr">
        <is>
          <t>avverkningsanmälan</t>
        </is>
      </c>
      <c r="C222" t="inlineStr">
        <is>
          <t>Föryngringsavverkning</t>
        </is>
      </c>
      <c r="D222" s="1" t="n">
        <v>44935</v>
      </c>
      <c r="E222" s="1" t="n">
        <v>46326</v>
      </c>
      <c r="F222" t="inlineStr">
        <is>
          <t>DALARNAS LÄN</t>
        </is>
      </c>
      <c r="G222" t="inlineStr">
        <is>
          <t>BORLÄNGE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58650-2024</t>
        </is>
      </c>
      <c r="B223" t="inlineStr">
        <is>
          <t>avverkningsanmälan</t>
        </is>
      </c>
      <c r="C223" t="inlineStr">
        <is>
          <t>Föryngringsavverkning</t>
        </is>
      </c>
      <c r="D223" s="1" t="n">
        <v>45632</v>
      </c>
      <c r="E223" s="1" t="n">
        <v>46326</v>
      </c>
      <c r="F223" t="inlineStr">
        <is>
          <t>DALARNAS LÄN</t>
        </is>
      </c>
      <c r="G223" t="inlineStr">
        <is>
          <t>BORLÄNGE</t>
        </is>
      </c>
      <c r="H223" t="inlineStr">
        <is>
          <t>Bergvik skog väst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12783-2024</t>
        </is>
      </c>
      <c r="B224" t="inlineStr">
        <is>
          <t>avverkningsanmälan</t>
        </is>
      </c>
      <c r="C224" t="inlineStr">
        <is>
          <t>Föryngringsavverkning</t>
        </is>
      </c>
      <c r="D224" s="1" t="n">
        <v>45384</v>
      </c>
      <c r="E224" s="1" t="n">
        <v>46326</v>
      </c>
      <c r="F224" t="inlineStr">
        <is>
          <t>DALARNAS LÄN</t>
        </is>
      </c>
      <c r="G224" t="inlineStr">
        <is>
          <t>BORLÄNGE</t>
        </is>
      </c>
      <c r="H224" t="inlineStr">
        <is>
          <t>Övriga statliga verk och myndigheter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35816-2025</t>
        </is>
      </c>
      <c r="B225" t="inlineStr">
        <is>
          <t>avverkningsanmälan</t>
        </is>
      </c>
      <c r="C225" t="inlineStr">
        <is>
          <t>Föryngringsavverkning</t>
        </is>
      </c>
      <c r="D225" s="1" t="n">
        <v>45861</v>
      </c>
      <c r="E225" s="1" t="n">
        <v>46326</v>
      </c>
      <c r="F225" t="inlineStr">
        <is>
          <t>DALARNAS LÄN</t>
        </is>
      </c>
      <c r="G225" t="inlineStr">
        <is>
          <t>BORLÄNGE</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47001-2025</t>
        </is>
      </c>
      <c r="B226" t="inlineStr">
        <is>
          <t>avverkningsanmälan</t>
        </is>
      </c>
      <c r="C226" t="inlineStr">
        <is>
          <t>Föryngringsavverkning</t>
        </is>
      </c>
      <c r="D226" s="1" t="n">
        <v>45929</v>
      </c>
      <c r="E226" s="1" t="n">
        <v>46326</v>
      </c>
      <c r="F226" t="inlineStr">
        <is>
          <t>DALARNAS LÄN</t>
        </is>
      </c>
      <c r="G226" t="inlineStr">
        <is>
          <t>BORLÄNGE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47006-2025</t>
        </is>
      </c>
      <c r="B227" t="inlineStr">
        <is>
          <t>avverkningsanmälan</t>
        </is>
      </c>
      <c r="C227" t="inlineStr">
        <is>
          <t>Föryngringsavverkning</t>
        </is>
      </c>
      <c r="D227" s="1" t="n">
        <v>45929</v>
      </c>
      <c r="E227" s="1" t="n">
        <v>46326</v>
      </c>
      <c r="F227" t="inlineStr">
        <is>
          <t>DALARNAS LÄN</t>
        </is>
      </c>
      <c r="G227" t="inlineStr">
        <is>
          <t>BORLÄNGE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24181-2023</t>
        </is>
      </c>
      <c r="B228" t="inlineStr">
        <is>
          <t>avverkningsanmälan</t>
        </is>
      </c>
      <c r="C228" t="inlineStr">
        <is>
          <t>Föryngringsavverkning</t>
        </is>
      </c>
      <c r="D228" s="1" t="n">
        <v>45079</v>
      </c>
      <c r="E228" s="1" t="n">
        <v>46326</v>
      </c>
      <c r="F228" t="inlineStr">
        <is>
          <t>DALARNAS LÄN</t>
        </is>
      </c>
      <c r="G228" t="inlineStr">
        <is>
          <t>BORLÄNGE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36696-2025</t>
        </is>
      </c>
      <c r="B229" t="inlineStr">
        <is>
          <t>avverkningsanmälan</t>
        </is>
      </c>
      <c r="C229" t="inlineStr">
        <is>
          <t>Föryngringsavverkning</t>
        </is>
      </c>
      <c r="D229" s="1" t="n">
        <v>45873</v>
      </c>
      <c r="E229" s="1" t="n">
        <v>46326</v>
      </c>
      <c r="F229" t="inlineStr">
        <is>
          <t>DALARNAS LÄN</t>
        </is>
      </c>
      <c r="G229" t="inlineStr">
        <is>
          <t>BORLÄNGE</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6654-2024</t>
        </is>
      </c>
      <c r="B230" t="inlineStr">
        <is>
          <t>avverkningsanmälan</t>
        </is>
      </c>
      <c r="C230" t="inlineStr">
        <is>
          <t>Föryngringsavverkning</t>
        </is>
      </c>
      <c r="D230" s="1" t="n">
        <v>45341</v>
      </c>
      <c r="E230" s="1" t="n">
        <v>46326</v>
      </c>
      <c r="F230" t="inlineStr">
        <is>
          <t>DALARNAS LÄN</t>
        </is>
      </c>
      <c r="G230" t="inlineStr">
        <is>
          <t>BORLÄNGE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49462-2025</t>
        </is>
      </c>
      <c r="B231" t="inlineStr">
        <is>
          <t>avverkningsanmälan</t>
        </is>
      </c>
      <c r="C231" t="inlineStr">
        <is>
          <t>Föryngringsavverkning</t>
        </is>
      </c>
      <c r="D231" s="1" t="n">
        <v>45939</v>
      </c>
      <c r="E231" s="1" t="n">
        <v>46326</v>
      </c>
      <c r="F231" t="inlineStr">
        <is>
          <t>DALARNAS LÄN</t>
        </is>
      </c>
      <c r="G231" t="inlineStr">
        <is>
          <t>BORLÄNGE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49936-2023</t>
        </is>
      </c>
      <c r="B232" t="inlineStr">
        <is>
          <t>avverkningsanmälan</t>
        </is>
      </c>
      <c r="C232" t="inlineStr">
        <is>
          <t>Föryngringsavverkning</t>
        </is>
      </c>
      <c r="D232" s="1" t="n">
        <v>45215</v>
      </c>
      <c r="E232" s="1" t="n">
        <v>46326</v>
      </c>
      <c r="F232" t="inlineStr">
        <is>
          <t>DALARNAS LÄN</t>
        </is>
      </c>
      <c r="G232" t="inlineStr">
        <is>
          <t>BORLÄNGE</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37034-2025</t>
        </is>
      </c>
      <c r="B233" t="inlineStr">
        <is>
          <t>avverkningsanmälan</t>
        </is>
      </c>
      <c r="C233" t="inlineStr">
        <is>
          <t>Avverkning för annat ändamål</t>
        </is>
      </c>
      <c r="D233" s="1" t="n">
        <v>45874</v>
      </c>
      <c r="E233" s="1" t="n">
        <v>46326</v>
      </c>
      <c r="F233" t="inlineStr">
        <is>
          <t>DALARNAS LÄN</t>
        </is>
      </c>
      <c r="G233" t="inlineStr">
        <is>
          <t>BORLÄNGE</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37221-2025</t>
        </is>
      </c>
      <c r="B234" t="inlineStr">
        <is>
          <t>avverkningsanmälan</t>
        </is>
      </c>
      <c r="C234" t="inlineStr">
        <is>
          <t>Föryngringsavverkning</t>
        </is>
      </c>
      <c r="D234" s="1" t="n">
        <v>45875</v>
      </c>
      <c r="E234" s="1" t="n">
        <v>46326</v>
      </c>
      <c r="F234" t="inlineStr">
        <is>
          <t>DALARNAS LÄN</t>
        </is>
      </c>
      <c r="G234" t="inlineStr">
        <is>
          <t>BORLÄNGE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37223-2025</t>
        </is>
      </c>
      <c r="B235" t="inlineStr">
        <is>
          <t>avverkningsanmälan</t>
        </is>
      </c>
      <c r="C235" t="inlineStr">
        <is>
          <t>Föryngringsavverkning</t>
        </is>
      </c>
      <c r="D235" s="1" t="n">
        <v>45875</v>
      </c>
      <c r="E235" s="1" t="n">
        <v>46326</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6331-2026</t>
        </is>
      </c>
      <c r="B236" t="inlineStr">
        <is>
          <t>avverkningsanmälan</t>
        </is>
      </c>
      <c r="C236" t="inlineStr">
        <is>
          <t>Föryngringsavverkning</t>
        </is>
      </c>
      <c r="D236" s="1" t="n">
        <v>46055</v>
      </c>
      <c r="E236" s="1" t="n">
        <v>46326</v>
      </c>
      <c r="F236" t="inlineStr">
        <is>
          <t>DALARNAS LÄN</t>
        </is>
      </c>
      <c r="G236" t="inlineStr">
        <is>
          <t>BORLÄNGE</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51849-2022</t>
        </is>
      </c>
      <c r="B237" t="inlineStr">
        <is>
          <t>avverkningsanmälan</t>
        </is>
      </c>
      <c r="C237" t="inlineStr">
        <is>
          <t>Föryngringsavverkning</t>
        </is>
      </c>
      <c r="D237" s="1" t="n">
        <v>44867</v>
      </c>
      <c r="E237" s="1" t="n">
        <v>46326</v>
      </c>
      <c r="F237" t="inlineStr">
        <is>
          <t>DALARNAS LÄN</t>
        </is>
      </c>
      <c r="G237" t="inlineStr">
        <is>
          <t>BORLÄNGE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37743-2025</t>
        </is>
      </c>
      <c r="B238" t="inlineStr">
        <is>
          <t>avverkningsanmälan</t>
        </is>
      </c>
      <c r="C238" t="inlineStr">
        <is>
          <t>Föryngringsavverkning</t>
        </is>
      </c>
      <c r="D238" s="1" t="n">
        <v>45880</v>
      </c>
      <c r="E238" s="1" t="n">
        <v>46326</v>
      </c>
      <c r="F238" t="inlineStr">
        <is>
          <t>DALARNAS LÄN</t>
        </is>
      </c>
      <c r="G238" t="inlineStr">
        <is>
          <t>BORLÄNGE</t>
        </is>
      </c>
      <c r="H238" t="inlineStr">
        <is>
          <t>Kommuner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37741-2025</t>
        </is>
      </c>
      <c r="B239" t="inlineStr">
        <is>
          <t>avverkningsanmälan</t>
        </is>
      </c>
      <c r="C239" t="inlineStr">
        <is>
          <t>Föryngringsavverkning</t>
        </is>
      </c>
      <c r="D239" s="1" t="n">
        <v>45880</v>
      </c>
      <c r="E239" s="1" t="n">
        <v>46326</v>
      </c>
      <c r="F239" t="inlineStr">
        <is>
          <t>DALARNAS LÄN</t>
        </is>
      </c>
      <c r="G239" t="inlineStr">
        <is>
          <t>BORLÄNGE</t>
        </is>
      </c>
      <c r="H239" t="inlineStr">
        <is>
          <t>Kommuner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37739-2025</t>
        </is>
      </c>
      <c r="B240" t="inlineStr">
        <is>
          <t>avverkningsanmälan</t>
        </is>
      </c>
      <c r="C240" t="inlineStr">
        <is>
          <t>Föryngringsavverkning</t>
        </is>
      </c>
      <c r="D240" s="1" t="n">
        <v>45880</v>
      </c>
      <c r="E240" s="1" t="n">
        <v>46326</v>
      </c>
      <c r="F240" t="inlineStr">
        <is>
          <t>DALARNAS LÄN</t>
        </is>
      </c>
      <c r="G240" t="inlineStr">
        <is>
          <t>BORLÄNGE</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21026-2022</t>
        </is>
      </c>
      <c r="B241" t="inlineStr">
        <is>
          <t>avverkningsanmälan</t>
        </is>
      </c>
      <c r="C241" t="inlineStr">
        <is>
          <t>Föryngringsavverkning</t>
        </is>
      </c>
      <c r="D241" s="1" t="n">
        <v>44704</v>
      </c>
      <c r="E241" s="1" t="n">
        <v>46326</v>
      </c>
      <c r="F241" t="inlineStr">
        <is>
          <t>DALARNAS LÄN</t>
        </is>
      </c>
      <c r="G241" t="inlineStr">
        <is>
          <t>BORLÄNGE</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31679-2023</t>
        </is>
      </c>
      <c r="B242" t="inlineStr">
        <is>
          <t>avverkningsanmälan</t>
        </is>
      </c>
      <c r="C242" t="inlineStr">
        <is>
          <t>Föryngringsavverkning</t>
        </is>
      </c>
      <c r="D242" s="1" t="n">
        <v>45117</v>
      </c>
      <c r="E242" s="1" t="n">
        <v>46326</v>
      </c>
      <c r="F242" t="inlineStr">
        <is>
          <t>DALARNAS LÄN</t>
        </is>
      </c>
      <c r="G242" t="inlineStr">
        <is>
          <t>BORLÄNGE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38375-2025</t>
        </is>
      </c>
      <c r="B243" t="inlineStr">
        <is>
          <t>avverkningsanmälan</t>
        </is>
      </c>
      <c r="C243" t="inlineStr">
        <is>
          <t>Föryngringsavverkning</t>
        </is>
      </c>
      <c r="D243" s="1" t="n">
        <v>45883</v>
      </c>
      <c r="E243" s="1" t="n">
        <v>46326</v>
      </c>
      <c r="F243" t="inlineStr">
        <is>
          <t>DALARNAS LÄN</t>
        </is>
      </c>
      <c r="G243" t="inlineStr">
        <is>
          <t>BORLÄNGE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10689-2024</t>
        </is>
      </c>
      <c r="B244" t="inlineStr">
        <is>
          <t>avverkningsanmälan</t>
        </is>
      </c>
      <c r="C244" t="inlineStr">
        <is>
          <t>Föryngringsavverkning</t>
        </is>
      </c>
      <c r="D244" s="1" t="n">
        <v>45369</v>
      </c>
      <c r="E244" s="1" t="n">
        <v>46326</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38137-2025</t>
        </is>
      </c>
      <c r="B245" t="inlineStr">
        <is>
          <t>avverkningsanmälan</t>
        </is>
      </c>
      <c r="C245" t="inlineStr">
        <is>
          <t>Föryngringsavverkning</t>
        </is>
      </c>
      <c r="D245" s="1" t="n">
        <v>45882</v>
      </c>
      <c r="E245" s="1" t="n">
        <v>46326</v>
      </c>
      <c r="F245" t="inlineStr">
        <is>
          <t>DALARNAS LÄN</t>
        </is>
      </c>
      <c r="G245" t="inlineStr">
        <is>
          <t>BORLÄNGE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7196-2026</t>
        </is>
      </c>
      <c r="B246" t="inlineStr">
        <is>
          <t>avverkningsanmälan</t>
        </is>
      </c>
      <c r="C246" t="inlineStr">
        <is>
          <t>Föryngringsavverkning</t>
        </is>
      </c>
      <c r="D246" s="1" t="n">
        <v>46058</v>
      </c>
      <c r="E246" s="1" t="n">
        <v>46326</v>
      </c>
      <c r="F246" t="inlineStr">
        <is>
          <t>DALARNAS LÄN</t>
        </is>
      </c>
      <c r="G246" t="inlineStr">
        <is>
          <t>BORLÄNGE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7198-2026</t>
        </is>
      </c>
      <c r="B247" t="inlineStr">
        <is>
          <t>avverkningsanmälan</t>
        </is>
      </c>
      <c r="C247" t="inlineStr">
        <is>
          <t>Föryngringsavverkning</t>
        </is>
      </c>
      <c r="D247" s="1" t="n">
        <v>46058</v>
      </c>
      <c r="E247" s="1" t="n">
        <v>46326</v>
      </c>
      <c r="F247" t="inlineStr">
        <is>
          <t>DALARNAS LÄN</t>
        </is>
      </c>
      <c r="G247" t="inlineStr">
        <is>
          <t>BORLÄNGE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10498-2023</t>
        </is>
      </c>
      <c r="B248" t="inlineStr">
        <is>
          <t>avverkningsanmälan</t>
        </is>
      </c>
      <c r="C248" t="inlineStr">
        <is>
          <t>Föryngringsavverkning</t>
        </is>
      </c>
      <c r="D248" s="1" t="n">
        <v>44987</v>
      </c>
      <c r="E248" s="1" t="n">
        <v>46326</v>
      </c>
      <c r="F248" t="inlineStr">
        <is>
          <t>DALARNAS LÄN</t>
        </is>
      </c>
      <c r="G248" t="inlineStr">
        <is>
          <t>BORLÄNGE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51474-2025</t>
        </is>
      </c>
      <c r="B249" t="inlineStr">
        <is>
          <t>avverkningsanmälan</t>
        </is>
      </c>
      <c r="C249" t="inlineStr">
        <is>
          <t>Föryngringsavverkning</t>
        </is>
      </c>
      <c r="D249" s="1" t="n">
        <v>45950</v>
      </c>
      <c r="E249" s="1" t="n">
        <v>46326</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8116-2026</t>
        </is>
      </c>
      <c r="B250" t="inlineStr">
        <is>
          <t>avverkningsanmälan</t>
        </is>
      </c>
      <c r="C250" t="inlineStr">
        <is>
          <t>Föryngringsavverkning</t>
        </is>
      </c>
      <c r="D250" s="1" t="n">
        <v>46062</v>
      </c>
      <c r="E250" s="1" t="n">
        <v>46326</v>
      </c>
      <c r="F250" t="inlineStr">
        <is>
          <t>DALARNAS LÄN</t>
        </is>
      </c>
      <c r="G250" t="inlineStr">
        <is>
          <t>BORLÄNGE</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52086-2025</t>
        </is>
      </c>
      <c r="B251" t="inlineStr">
        <is>
          <t>avverkningsanmälan</t>
        </is>
      </c>
      <c r="C251" t="inlineStr">
        <is>
          <t>Föryngringsavverkning</t>
        </is>
      </c>
      <c r="D251" s="1" t="n">
        <v>45952</v>
      </c>
      <c r="E251" s="1" t="n">
        <v>46326</v>
      </c>
      <c r="F251" t="inlineStr">
        <is>
          <t>DALARNAS LÄN</t>
        </is>
      </c>
      <c r="G251" t="inlineStr">
        <is>
          <t>BORLÄNGE</t>
        </is>
      </c>
      <c r="H251" t="inlineStr">
        <is>
          <t>Bergvik skog väst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3655-2026</t>
        </is>
      </c>
      <c r="B252" t="inlineStr">
        <is>
          <t>avverkningsanmälan</t>
        </is>
      </c>
      <c r="C252" t="inlineStr">
        <is>
          <t>Föryngringsavverkning</t>
        </is>
      </c>
      <c r="D252" s="1" t="n">
        <v>46043</v>
      </c>
      <c r="E252" s="1" t="n">
        <v>46326</v>
      </c>
      <c r="F252" t="inlineStr">
        <is>
          <t>DALARNAS LÄN</t>
        </is>
      </c>
      <c r="G252" t="inlineStr">
        <is>
          <t>BORLÄNGE</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7997-2026</t>
        </is>
      </c>
      <c r="B253" t="inlineStr">
        <is>
          <t>avverkningsanmälan</t>
        </is>
      </c>
      <c r="C253" t="inlineStr">
        <is>
          <t>Föryngringsavverkning</t>
        </is>
      </c>
      <c r="D253" s="1" t="n">
        <v>46063</v>
      </c>
      <c r="E253" s="1" t="n">
        <v>46326</v>
      </c>
      <c r="F253" t="inlineStr">
        <is>
          <t>DALARNAS LÄN</t>
        </is>
      </c>
      <c r="G253" t="inlineStr">
        <is>
          <t>BORLÄNGE</t>
        </is>
      </c>
      <c r="H253" t="inlineStr">
        <is>
          <t>Övriga statliga verk och myndigheter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8333-2026</t>
        </is>
      </c>
      <c r="B254" t="inlineStr">
        <is>
          <t>avverkningsanmälan</t>
        </is>
      </c>
      <c r="C254" t="inlineStr">
        <is>
          <t>Föryngringsavverkning</t>
        </is>
      </c>
      <c r="D254" s="1" t="n">
        <v>46064</v>
      </c>
      <c r="E254" s="1" t="n">
        <v>46326</v>
      </c>
      <c r="F254" t="inlineStr">
        <is>
          <t>DALARNAS LÄN</t>
        </is>
      </c>
      <c r="G254" t="inlineStr">
        <is>
          <t>BORLÄNGE</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52563-2025</t>
        </is>
      </c>
      <c r="B255" t="inlineStr">
        <is>
          <t>avverkningsanmälan</t>
        </is>
      </c>
      <c r="C255" t="inlineStr">
        <is>
          <t>Föryngringsavverkning</t>
        </is>
      </c>
      <c r="D255" s="1" t="n">
        <v>45954</v>
      </c>
      <c r="E255" s="1" t="n">
        <v>46326</v>
      </c>
      <c r="F255" t="inlineStr">
        <is>
          <t>DALARNAS LÄN</t>
        </is>
      </c>
      <c r="G255" t="inlineStr">
        <is>
          <t>BORLÄNGE</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8689-2026</t>
        </is>
      </c>
      <c r="B256" t="inlineStr">
        <is>
          <t>avverkningsanmälan</t>
        </is>
      </c>
      <c r="C256" t="inlineStr">
        <is>
          <t>Föryngringsavverkning</t>
        </is>
      </c>
      <c r="D256" s="1" t="n">
        <v>46066</v>
      </c>
      <c r="E256" s="1" t="n">
        <v>46326</v>
      </c>
      <c r="F256" t="inlineStr">
        <is>
          <t>DALARNAS LÄN</t>
        </is>
      </c>
      <c r="G256" t="inlineStr">
        <is>
          <t>BORLÄNGE</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46326</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70621-2021</t>
        </is>
      </c>
      <c r="B258" t="inlineStr">
        <is>
          <t>avverkningsanmälan</t>
        </is>
      </c>
      <c r="C258" t="inlineStr">
        <is>
          <t>Föryngringsavverkning</t>
        </is>
      </c>
      <c r="D258" s="1" t="n">
        <v>44537</v>
      </c>
      <c r="E258" s="1" t="n">
        <v>46326</v>
      </c>
      <c r="F258" t="inlineStr">
        <is>
          <t>DALARNAS LÄN</t>
        </is>
      </c>
      <c r="G258" t="inlineStr">
        <is>
          <t>BORLÄNGE</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53166-2025</t>
        </is>
      </c>
      <c r="B259" t="inlineStr">
        <is>
          <t>avverkningsanmälan</t>
        </is>
      </c>
      <c r="C259" t="inlineStr">
        <is>
          <t>Föryngringsavverkning</t>
        </is>
      </c>
      <c r="D259" s="1" t="n">
        <v>45958</v>
      </c>
      <c r="E259" s="1" t="n">
        <v>46326</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8877-2026</t>
        </is>
      </c>
      <c r="B260" t="inlineStr">
        <is>
          <t>avverkningsanmälan</t>
        </is>
      </c>
      <c r="C260" t="inlineStr">
        <is>
          <t>Föryngringsavverkning</t>
        </is>
      </c>
      <c r="D260" s="1" t="n">
        <v>46067</v>
      </c>
      <c r="E260" s="1" t="n">
        <v>46326</v>
      </c>
      <c r="F260" t="inlineStr">
        <is>
          <t>DALARNAS LÄN</t>
        </is>
      </c>
      <c r="G260" t="inlineStr">
        <is>
          <t>BORLÄNGE</t>
        </is>
      </c>
      <c r="H260" t="inlineStr">
        <is>
          <t>Bergvik skog väst AB</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383-2022</t>
        </is>
      </c>
      <c r="B261" t="inlineStr">
        <is>
          <t>avverkningsanmälan</t>
        </is>
      </c>
      <c r="C261" t="inlineStr">
        <is>
          <t>Avverkning för annat ändamål</t>
        </is>
      </c>
      <c r="D261" s="1" t="n">
        <v>44565</v>
      </c>
      <c r="E261" s="1" t="n">
        <v>46326</v>
      </c>
      <c r="F261" t="inlineStr">
        <is>
          <t>DALARNAS LÄN</t>
        </is>
      </c>
      <c r="G261" t="inlineStr">
        <is>
          <t>BORLÄNGE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53162-2025</t>
        </is>
      </c>
      <c r="B262" t="inlineStr">
        <is>
          <t>avverkningsanmälan</t>
        </is>
      </c>
      <c r="C262" t="inlineStr">
        <is>
          <t>Föryngringsavverkning</t>
        </is>
      </c>
      <c r="D262" s="1" t="n">
        <v>45958</v>
      </c>
      <c r="E262" s="1" t="n">
        <v>46326</v>
      </c>
      <c r="F262" t="inlineStr">
        <is>
          <t>DALARNAS LÄN</t>
        </is>
      </c>
      <c r="G262" t="inlineStr">
        <is>
          <t>BORLÄNGE</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34882-2024</t>
        </is>
      </c>
      <c r="B263" t="inlineStr">
        <is>
          <t>avverkningsanmälan</t>
        </is>
      </c>
      <c r="C263" t="inlineStr">
        <is>
          <t>Föryngringsavverkning</t>
        </is>
      </c>
      <c r="D263" s="1" t="n">
        <v>45527</v>
      </c>
      <c r="E263" s="1" t="n">
        <v>46326</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619-2024</t>
        </is>
      </c>
      <c r="B264" t="inlineStr">
        <is>
          <t>avverkningsanmälan</t>
        </is>
      </c>
      <c r="C264" t="inlineStr">
        <is>
          <t>Föryngringsavverkning</t>
        </is>
      </c>
      <c r="D264" s="1" t="n">
        <v>45299</v>
      </c>
      <c r="E264" s="1" t="n">
        <v>46326</v>
      </c>
      <c r="F264" t="inlineStr">
        <is>
          <t>DALARNAS LÄN</t>
        </is>
      </c>
      <c r="G264" t="inlineStr">
        <is>
          <t>BORLÄNGE</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4795-2026</t>
        </is>
      </c>
      <c r="B265" t="inlineStr">
        <is>
          <t>avverkningsanmälan</t>
        </is>
      </c>
      <c r="C265" t="inlineStr">
        <is>
          <t>Föryngringsavverkning</t>
        </is>
      </c>
      <c r="D265" s="1" t="n">
        <v>46048</v>
      </c>
      <c r="E265" s="1" t="n">
        <v>46326</v>
      </c>
      <c r="F265" t="inlineStr">
        <is>
          <t>DALARNAS LÄN</t>
        </is>
      </c>
      <c r="G265" t="inlineStr">
        <is>
          <t>BORLÄNGE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8309-2022</t>
        </is>
      </c>
      <c r="B266" t="inlineStr">
        <is>
          <t>avverkningsanmälan</t>
        </is>
      </c>
      <c r="C266" t="inlineStr">
        <is>
          <t>Föryngringsavverkning</t>
        </is>
      </c>
      <c r="D266" s="1" t="n">
        <v>44610</v>
      </c>
      <c r="E266" s="1" t="n">
        <v>46326</v>
      </c>
      <c r="F266" t="inlineStr">
        <is>
          <t>DALARNAS LÄN</t>
        </is>
      </c>
      <c r="G266" t="inlineStr">
        <is>
          <t>BORLÄNGE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9436-2026</t>
        </is>
      </c>
      <c r="B267" t="inlineStr">
        <is>
          <t>avverkningsanmälan</t>
        </is>
      </c>
      <c r="C267" t="inlineStr">
        <is>
          <t>Föryngringsavverkning</t>
        </is>
      </c>
      <c r="D267" s="1" t="n">
        <v>46071</v>
      </c>
      <c r="E267" s="1" t="n">
        <v>46326</v>
      </c>
      <c r="F267" t="inlineStr">
        <is>
          <t>DALARNAS LÄN</t>
        </is>
      </c>
      <c r="G267" t="inlineStr">
        <is>
          <t>BORLÄNGE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9442-2026</t>
        </is>
      </c>
      <c r="B268" t="inlineStr">
        <is>
          <t>avverkningsanmälan</t>
        </is>
      </c>
      <c r="C268" t="inlineStr">
        <is>
          <t>Föryngringsavverkning</t>
        </is>
      </c>
      <c r="D268" s="1" t="n">
        <v>46071</v>
      </c>
      <c r="E268" s="1" t="n">
        <v>46326</v>
      </c>
      <c r="F268" t="inlineStr">
        <is>
          <t>DALARNAS LÄN</t>
        </is>
      </c>
      <c r="G268" t="inlineStr">
        <is>
          <t>BORLÄNGE</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47318-2023</t>
        </is>
      </c>
      <c r="B269" t="inlineStr">
        <is>
          <t>avverkningsanmälan</t>
        </is>
      </c>
      <c r="C269" t="inlineStr">
        <is>
          <t>Föryngringsavverkning</t>
        </is>
      </c>
      <c r="D269" s="1" t="n">
        <v>45202</v>
      </c>
      <c r="E269" s="1" t="n">
        <v>46326</v>
      </c>
      <c r="F269" t="inlineStr">
        <is>
          <t>DALARNAS LÄN</t>
        </is>
      </c>
      <c r="G269" t="inlineStr">
        <is>
          <t>BORLÄNGE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9320-2026</t>
        </is>
      </c>
      <c r="B270" t="inlineStr">
        <is>
          <t>avverkningsanmälan</t>
        </is>
      </c>
      <c r="C270" t="inlineStr">
        <is>
          <t>Föryngringsavverkning</t>
        </is>
      </c>
      <c r="D270" s="1" t="n">
        <v>46070</v>
      </c>
      <c r="E270" s="1" t="n">
        <v>46326</v>
      </c>
      <c r="F270" t="inlineStr">
        <is>
          <t>DALARNAS LÄN</t>
        </is>
      </c>
      <c r="G270" t="inlineStr">
        <is>
          <t>BORLÄNGE</t>
        </is>
      </c>
      <c r="H270" t="inlineStr">
        <is>
          <t>Bergvik skog väst AB</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9481-2026</t>
        </is>
      </c>
      <c r="B271" t="inlineStr">
        <is>
          <t>avverkningsanmälan</t>
        </is>
      </c>
      <c r="C271" t="inlineStr">
        <is>
          <t>Föryngringsavverkning</t>
        </is>
      </c>
      <c r="D271" s="1" t="n">
        <v>46071</v>
      </c>
      <c r="E271" s="1" t="n">
        <v>46326</v>
      </c>
      <c r="F271" t="inlineStr">
        <is>
          <t>DALARNAS LÄN</t>
        </is>
      </c>
      <c r="G271" t="inlineStr">
        <is>
          <t>BORLÄNGE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9896-2026</t>
        </is>
      </c>
      <c r="B272" t="inlineStr">
        <is>
          <t>avverkningsanmälan</t>
        </is>
      </c>
      <c r="C272" t="inlineStr">
        <is>
          <t>Föryngringsavverkning</t>
        </is>
      </c>
      <c r="D272" s="1" t="n">
        <v>46073</v>
      </c>
      <c r="E272" s="1" t="n">
        <v>46326</v>
      </c>
      <c r="F272" t="inlineStr">
        <is>
          <t>DALARNAS LÄN</t>
        </is>
      </c>
      <c r="G272" t="inlineStr">
        <is>
          <t>BORLÄNGE</t>
        </is>
      </c>
      <c r="H272" t="inlineStr">
        <is>
          <t>Bergvik skog väst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9750-2026</t>
        </is>
      </c>
      <c r="B273" t="inlineStr">
        <is>
          <t>avverkningsanmälan</t>
        </is>
      </c>
      <c r="C273" t="inlineStr">
        <is>
          <t>Föryngringsavverkning</t>
        </is>
      </c>
      <c r="D273" s="1" t="n">
        <v>46072</v>
      </c>
      <c r="E273" s="1" t="n">
        <v>46326</v>
      </c>
      <c r="F273" t="inlineStr">
        <is>
          <t>DALARNAS LÄN</t>
        </is>
      </c>
      <c r="G273" t="inlineStr">
        <is>
          <t>BORLÄNGE</t>
        </is>
      </c>
      <c r="H273" t="inlineStr">
        <is>
          <t>Bergvik skog väst AB</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50721-2025</t>
        </is>
      </c>
      <c r="B274" t="inlineStr">
        <is>
          <t>avverkningsanmälan</t>
        </is>
      </c>
      <c r="C274" t="inlineStr">
        <is>
          <t>Föryngringsavverkning</t>
        </is>
      </c>
      <c r="D274" s="1" t="n">
        <v>45946</v>
      </c>
      <c r="E274" s="1" t="n">
        <v>46326</v>
      </c>
      <c r="F274" t="inlineStr">
        <is>
          <t>DALARNAS LÄN</t>
        </is>
      </c>
      <c r="G274" t="inlineStr">
        <is>
          <t>BORLÄNGE</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54052-2025</t>
        </is>
      </c>
      <c r="B275" t="inlineStr">
        <is>
          <t>avverkningsanmälan</t>
        </is>
      </c>
      <c r="C275" t="inlineStr">
        <is>
          <t>Föryngringsavverkning</t>
        </is>
      </c>
      <c r="D275" s="1" t="n">
        <v>45963</v>
      </c>
      <c r="E275" s="1" t="n">
        <v>46326</v>
      </c>
      <c r="F275" t="inlineStr">
        <is>
          <t>DALARNAS LÄN</t>
        </is>
      </c>
      <c r="G275" t="inlineStr">
        <is>
          <t>BORLÄNGE</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10435-2026</t>
        </is>
      </c>
      <c r="B276" t="inlineStr">
        <is>
          <t>avverkningsanmälan</t>
        </is>
      </c>
      <c r="C276" t="inlineStr">
        <is>
          <t>Föryngringsavverkning</t>
        </is>
      </c>
      <c r="D276" s="1" t="n">
        <v>46077</v>
      </c>
      <c r="E276" s="1" t="n">
        <v>46326</v>
      </c>
      <c r="F276" t="inlineStr">
        <is>
          <t>DALARNAS LÄN</t>
        </is>
      </c>
      <c r="G276" t="inlineStr">
        <is>
          <t>BORLÄNGE</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12448-2023</t>
        </is>
      </c>
      <c r="B277" t="inlineStr">
        <is>
          <t>avverkningsanmälan</t>
        </is>
      </c>
      <c r="C277" t="inlineStr">
        <is>
          <t>Avverkning för annat ändamål</t>
        </is>
      </c>
      <c r="D277" s="1" t="n">
        <v>44999</v>
      </c>
      <c r="E277" s="1" t="n">
        <v>46326</v>
      </c>
      <c r="F277" t="inlineStr">
        <is>
          <t>DALARNAS LÄN</t>
        </is>
      </c>
      <c r="G277" t="inlineStr">
        <is>
          <t>BORLÄNGE</t>
        </is>
      </c>
      <c r="H277" t="inlineStr">
        <is>
          <t>Bergvik skog väst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9295-2024</t>
        </is>
      </c>
      <c r="B278" t="inlineStr">
        <is>
          <t>avverkningsanmälan</t>
        </is>
      </c>
      <c r="C278" t="inlineStr">
        <is>
          <t>Avverkning för annat ändamål</t>
        </is>
      </c>
      <c r="D278" s="1" t="n">
        <v>45358</v>
      </c>
      <c r="E278" s="1" t="n">
        <v>46326</v>
      </c>
      <c r="F278" t="inlineStr">
        <is>
          <t>DALARNAS LÄN</t>
        </is>
      </c>
      <c r="G278" t="inlineStr">
        <is>
          <t>BORLÄNGE</t>
        </is>
      </c>
      <c r="H278" t="inlineStr">
        <is>
          <t>Kommuner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10331-2026</t>
        </is>
      </c>
      <c r="B279" t="inlineStr">
        <is>
          <t>avverkningsanmälan</t>
        </is>
      </c>
      <c r="C279" t="inlineStr">
        <is>
          <t>Föryngringsavverkning</t>
        </is>
      </c>
      <c r="D279" s="1" t="n">
        <v>46076</v>
      </c>
      <c r="E279" s="1" t="n">
        <v>46326</v>
      </c>
      <c r="F279" t="inlineStr">
        <is>
          <t>DALARNAS LÄN</t>
        </is>
      </c>
      <c r="G279" t="inlineStr">
        <is>
          <t>BORLÄNGE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36424-2024</t>
        </is>
      </c>
      <c r="B280" t="inlineStr">
        <is>
          <t>avverkningsanmälan</t>
        </is>
      </c>
      <c r="C280" t="inlineStr">
        <is>
          <t>Föryngringsavverkning</t>
        </is>
      </c>
      <c r="D280" s="1" t="n">
        <v>45536</v>
      </c>
      <c r="E280" s="1" t="n">
        <v>46326</v>
      </c>
      <c r="F280" t="inlineStr">
        <is>
          <t>DALARNAS LÄN</t>
        </is>
      </c>
      <c r="G280" t="inlineStr">
        <is>
          <t>BORLÄNGE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51859-2023</t>
        </is>
      </c>
      <c r="B281" t="inlineStr">
        <is>
          <t>avverkningsanmälan</t>
        </is>
      </c>
      <c r="C281" t="inlineStr">
        <is>
          <t>Föryngringsavverkning</t>
        </is>
      </c>
      <c r="D281" s="1" t="n">
        <v>45223</v>
      </c>
      <c r="E281" s="1" t="n">
        <v>46326</v>
      </c>
      <c r="F281" t="inlineStr">
        <is>
          <t>DALARNAS LÄN</t>
        </is>
      </c>
      <c r="G281" t="inlineStr">
        <is>
          <t>BORLÄNGE</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51862-2023</t>
        </is>
      </c>
      <c r="B282" t="inlineStr">
        <is>
          <t>avverkningsanmälan</t>
        </is>
      </c>
      <c r="C282" t="inlineStr">
        <is>
          <t>Föryngringsavverkning</t>
        </is>
      </c>
      <c r="D282" s="1" t="n">
        <v>45223</v>
      </c>
      <c r="E282" s="1" t="n">
        <v>46326</v>
      </c>
      <c r="F282" t="inlineStr">
        <is>
          <t>DALARNAS LÄN</t>
        </is>
      </c>
      <c r="G282" t="inlineStr">
        <is>
          <t>BORLÄNGE</t>
        </is>
      </c>
      <c r="H282" t="inlineStr">
        <is>
          <t>Övriga statliga verk och myndigheter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56200-2025</t>
        </is>
      </c>
      <c r="B283" t="inlineStr">
        <is>
          <t>avverkningsanmälan</t>
        </is>
      </c>
      <c r="C283" t="inlineStr">
        <is>
          <t>Avverkning för annat ändamål</t>
        </is>
      </c>
      <c r="D283" s="1" t="n">
        <v>45974</v>
      </c>
      <c r="E283" s="1" t="n">
        <v>46326</v>
      </c>
      <c r="F283" t="inlineStr">
        <is>
          <t>DALARNAS LÄN</t>
        </is>
      </c>
      <c r="G283" t="inlineStr">
        <is>
          <t>BORLÄNGE</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20784-2024</t>
        </is>
      </c>
      <c r="B284" t="inlineStr">
        <is>
          <t>avverkningsanmälan</t>
        </is>
      </c>
      <c r="C284" t="inlineStr">
        <is>
          <t>Föryngringsavverkning</t>
        </is>
      </c>
      <c r="D284" s="1" t="n">
        <v>45437</v>
      </c>
      <c r="E284" s="1" t="n">
        <v>46326</v>
      </c>
      <c r="F284" t="inlineStr">
        <is>
          <t>DALARNAS LÄN</t>
        </is>
      </c>
      <c r="G284" t="inlineStr">
        <is>
          <t>BORLÄNGE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56875-2025</t>
        </is>
      </c>
      <c r="B285" t="inlineStr">
        <is>
          <t>avverkningsanmälan</t>
        </is>
      </c>
      <c r="C285" t="inlineStr">
        <is>
          <t>Föryngringsavverkning</t>
        </is>
      </c>
      <c r="D285" s="1" t="n">
        <v>45978</v>
      </c>
      <c r="E285" s="1" t="n">
        <v>46326</v>
      </c>
      <c r="F285" t="inlineStr">
        <is>
          <t>DALARNAS LÄN</t>
        </is>
      </c>
      <c r="G285" t="inlineStr">
        <is>
          <t>BORLÄNGE</t>
        </is>
      </c>
      <c r="H285" t="inlineStr">
        <is>
          <t>Bergvik skog väst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57664-2025</t>
        </is>
      </c>
      <c r="B286" t="inlineStr">
        <is>
          <t>avverkningsanmälan</t>
        </is>
      </c>
      <c r="C286" t="inlineStr">
        <is>
          <t>Avverkning för annat ändamål</t>
        </is>
      </c>
      <c r="D286" s="1" t="n">
        <v>45981</v>
      </c>
      <c r="E286" s="1" t="n">
        <v>46326</v>
      </c>
      <c r="F286" t="inlineStr">
        <is>
          <t>DALARNAS LÄN</t>
        </is>
      </c>
      <c r="G286" t="inlineStr">
        <is>
          <t>BORLÄNGE</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58002-2025</t>
        </is>
      </c>
      <c r="B287" t="inlineStr">
        <is>
          <t>avverkningsanmälan</t>
        </is>
      </c>
      <c r="C287" t="inlineStr">
        <is>
          <t>Föryngringsavverkning</t>
        </is>
      </c>
      <c r="D287" s="1" t="n">
        <v>45982</v>
      </c>
      <c r="E287" s="1" t="n">
        <v>46326</v>
      </c>
      <c r="F287" t="inlineStr">
        <is>
          <t>DALARNAS LÄN</t>
        </is>
      </c>
      <c r="G287" t="inlineStr">
        <is>
          <t>BORLÄNGE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62214-2023</t>
        </is>
      </c>
      <c r="B288" t="inlineStr">
        <is>
          <t>avverkningsanmälan</t>
        </is>
      </c>
      <c r="C288" t="inlineStr">
        <is>
          <t>Föryngringsavverkning</t>
        </is>
      </c>
      <c r="D288" s="1" t="n">
        <v>45267</v>
      </c>
      <c r="E288" s="1" t="n">
        <v>46326</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58706-2025</t>
        </is>
      </c>
      <c r="B289" t="inlineStr">
        <is>
          <t>avverkningsanmälan</t>
        </is>
      </c>
      <c r="C289" t="inlineStr">
        <is>
          <t>Föryngringsavverkning</t>
        </is>
      </c>
      <c r="D289" s="1" t="n">
        <v>45986</v>
      </c>
      <c r="E289" s="1" t="n">
        <v>46326</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43012-2023</t>
        </is>
      </c>
      <c r="B290" t="inlineStr">
        <is>
          <t>avverkningsanmälan</t>
        </is>
      </c>
      <c r="C290" t="inlineStr">
        <is>
          <t>Föryngringsavverkning</t>
        </is>
      </c>
      <c r="D290" s="1" t="n">
        <v>45182</v>
      </c>
      <c r="E290" s="1" t="n">
        <v>46326</v>
      </c>
      <c r="F290" t="inlineStr">
        <is>
          <t>DALARNAS LÄN</t>
        </is>
      </c>
      <c r="G290" t="inlineStr">
        <is>
          <t>BORLÄNGE</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12364-2026</t>
        </is>
      </c>
      <c r="B291" t="inlineStr">
        <is>
          <t>avverkningsanmälan</t>
        </is>
      </c>
      <c r="C291" t="inlineStr">
        <is>
          <t>Föryngringsavverkning</t>
        </is>
      </c>
      <c r="D291" s="1" t="n">
        <v>46089</v>
      </c>
      <c r="E291" s="1" t="n">
        <v>46326</v>
      </c>
      <c r="F291" t="inlineStr">
        <is>
          <t>DALARNAS LÄN</t>
        </is>
      </c>
      <c r="G291" t="inlineStr">
        <is>
          <t>BORLÄNGE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12244-2026</t>
        </is>
      </c>
      <c r="B292" t="inlineStr">
        <is>
          <t>avverkningsanmälan</t>
        </is>
      </c>
      <c r="C292" t="inlineStr">
        <is>
          <t>Föryngringsavverkning</t>
        </is>
      </c>
      <c r="D292" s="1" t="n">
        <v>46087</v>
      </c>
      <c r="E292" s="1" t="n">
        <v>46326</v>
      </c>
      <c r="F292" t="inlineStr">
        <is>
          <t>DALARNAS LÄN</t>
        </is>
      </c>
      <c r="G292" t="inlineStr">
        <is>
          <t>BORLÄNGE</t>
        </is>
      </c>
      <c r="H292" t="inlineStr">
        <is>
          <t>Bergvik skog väst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8554-2023</t>
        </is>
      </c>
      <c r="B293" t="inlineStr">
        <is>
          <t>avverkningsanmälan</t>
        </is>
      </c>
      <c r="C293" t="inlineStr">
        <is>
          <t>Föryngringsavverkning</t>
        </is>
      </c>
      <c r="D293" s="1" t="n">
        <v>44977</v>
      </c>
      <c r="E293" s="1" t="n">
        <v>46326</v>
      </c>
      <c r="F293" t="inlineStr">
        <is>
          <t>DALARNAS LÄN</t>
        </is>
      </c>
      <c r="G293" t="inlineStr">
        <is>
          <t>BORLÄNGE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68735-2021</t>
        </is>
      </c>
      <c r="B294" t="inlineStr">
        <is>
          <t>avverkningsanmälan</t>
        </is>
      </c>
      <c r="C294" t="inlineStr">
        <is>
          <t>Föryngringsavverkning</t>
        </is>
      </c>
      <c r="D294" s="1" t="n">
        <v>44529</v>
      </c>
      <c r="E294" s="1" t="n">
        <v>46326</v>
      </c>
      <c r="F294" t="inlineStr">
        <is>
          <t>DALARNAS LÄN</t>
        </is>
      </c>
      <c r="G294" t="inlineStr">
        <is>
          <t>BORLÄNGE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61751-2025</t>
        </is>
      </c>
      <c r="B295" t="inlineStr">
        <is>
          <t>avverkningsanmälan</t>
        </is>
      </c>
      <c r="C295" t="inlineStr">
        <is>
          <t>Föryngringsavverkning</t>
        </is>
      </c>
      <c r="D295" s="1" t="n">
        <v>46002</v>
      </c>
      <c r="E295" s="1" t="n">
        <v>46326</v>
      </c>
      <c r="F295" t="inlineStr">
        <is>
          <t>DALARNAS LÄN</t>
        </is>
      </c>
      <c r="G295" t="inlineStr">
        <is>
          <t>BORLÄNGE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51716-2024</t>
        </is>
      </c>
      <c r="B296" t="inlineStr">
        <is>
          <t>avverkningsanmälan</t>
        </is>
      </c>
      <c r="C296" t="inlineStr">
        <is>
          <t>Föryngringsavverkning</t>
        </is>
      </c>
      <c r="D296" s="1" t="n">
        <v>45607</v>
      </c>
      <c r="E296" s="1" t="n">
        <v>46326</v>
      </c>
      <c r="F296" t="inlineStr">
        <is>
          <t>DALARNAS LÄN</t>
        </is>
      </c>
      <c r="G296" t="inlineStr">
        <is>
          <t>BORLÄNGE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31530-2023</t>
        </is>
      </c>
      <c r="B297" t="inlineStr">
        <is>
          <t>avverkningsanmälan</t>
        </is>
      </c>
      <c r="C297" t="inlineStr">
        <is>
          <t>Föryngringsavverkning</t>
        </is>
      </c>
      <c r="D297" s="1" t="n">
        <v>45116</v>
      </c>
      <c r="E297" s="1" t="n">
        <v>46326</v>
      </c>
      <c r="F297" t="inlineStr">
        <is>
          <t>DALARNAS LÄN</t>
        </is>
      </c>
      <c r="G297" t="inlineStr">
        <is>
          <t>BORLÄNGE</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34334-2023</t>
        </is>
      </c>
      <c r="B298" t="inlineStr">
        <is>
          <t>avverkningsanmälan</t>
        </is>
      </c>
      <c r="C298" t="inlineStr">
        <is>
          <t>Föryngringsavverkning</t>
        </is>
      </c>
      <c r="D298" s="1" t="n">
        <v>45139</v>
      </c>
      <c r="E298" s="1" t="n">
        <v>46326</v>
      </c>
      <c r="F298" t="inlineStr">
        <is>
          <t>DALARNAS LÄN</t>
        </is>
      </c>
      <c r="G298" t="inlineStr">
        <is>
          <t>BORLÄNGE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14802-2026</t>
        </is>
      </c>
      <c r="B299" t="inlineStr">
        <is>
          <t>avverkningsanmälan</t>
        </is>
      </c>
      <c r="C299" t="inlineStr">
        <is>
          <t>Föryngringsavverkning</t>
        </is>
      </c>
      <c r="D299" s="1" t="n">
        <v>46103</v>
      </c>
      <c r="E299" s="1" t="n">
        <v>46326</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15041-2026</t>
        </is>
      </c>
      <c r="B300" t="inlineStr">
        <is>
          <t>avverkningsanmälan</t>
        </is>
      </c>
      <c r="C300" t="inlineStr">
        <is>
          <t>Föryngringsavverkning</t>
        </is>
      </c>
      <c r="D300" s="1" t="n">
        <v>46104</v>
      </c>
      <c r="E300" s="1" t="n">
        <v>46326</v>
      </c>
      <c r="F300" t="inlineStr">
        <is>
          <t>DALARNAS LÄN</t>
        </is>
      </c>
      <c r="G300" t="inlineStr">
        <is>
          <t>BORLÄNGE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14801-2026</t>
        </is>
      </c>
      <c r="B301" t="inlineStr">
        <is>
          <t>avverkningsanmälan</t>
        </is>
      </c>
      <c r="C301" t="inlineStr">
        <is>
          <t>Föryngringsavverkning</t>
        </is>
      </c>
      <c r="D301" s="1" t="n">
        <v>46103</v>
      </c>
      <c r="E301" s="1" t="n">
        <v>46326</v>
      </c>
      <c r="F301" t="inlineStr">
        <is>
          <t>DALARNAS LÄN</t>
        </is>
      </c>
      <c r="G301" t="inlineStr">
        <is>
          <t>BORLÄNGE</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63869-2025</t>
        </is>
      </c>
      <c r="B302" t="inlineStr">
        <is>
          <t>avverkningsanmälan</t>
        </is>
      </c>
      <c r="C302" t="inlineStr">
        <is>
          <t>Föryngringsavverkning</t>
        </is>
      </c>
      <c r="D302" s="1" t="n">
        <v>46020</v>
      </c>
      <c r="E302" s="1" t="n">
        <v>46326</v>
      </c>
      <c r="F302" t="inlineStr">
        <is>
          <t>DALARNAS LÄN</t>
        </is>
      </c>
      <c r="G302" t="inlineStr">
        <is>
          <t>BORLÄNGE</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17569-2023</t>
        </is>
      </c>
      <c r="B303" t="inlineStr">
        <is>
          <t>avverkningsanmälan</t>
        </is>
      </c>
      <c r="C303" t="inlineStr">
        <is>
          <t>Avverkning för annat ändamål</t>
        </is>
      </c>
      <c r="D303" s="1" t="n">
        <v>45036</v>
      </c>
      <c r="E303" s="1" t="n">
        <v>46326</v>
      </c>
      <c r="F303" t="inlineStr">
        <is>
          <t>DALARNAS LÄN</t>
        </is>
      </c>
      <c r="G303" t="inlineStr">
        <is>
          <t>BORLÄNGE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45488-2023</t>
        </is>
      </c>
      <c r="B304" t="inlineStr">
        <is>
          <t>avverkningsanmälan</t>
        </is>
      </c>
      <c r="C304" t="inlineStr">
        <is>
          <t>Föryngringsavverkning</t>
        </is>
      </c>
      <c r="D304" s="1" t="n">
        <v>45194</v>
      </c>
      <c r="E304" s="1" t="n">
        <v>46326</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16191-2026</t>
        </is>
      </c>
      <c r="B305" t="inlineStr">
        <is>
          <t>avverkningsanmälan</t>
        </is>
      </c>
      <c r="C305" t="inlineStr">
        <is>
          <t>Föryngringsavverkning</t>
        </is>
      </c>
      <c r="D305" s="1" t="n">
        <v>46111</v>
      </c>
      <c r="E305" s="1" t="n">
        <v>46326</v>
      </c>
      <c r="F305" t="inlineStr">
        <is>
          <t>DALARNAS LÄN</t>
        </is>
      </c>
      <c r="G305" t="inlineStr">
        <is>
          <t>BORLÄNGE</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16928-2026</t>
        </is>
      </c>
      <c r="B306" t="inlineStr">
        <is>
          <t>avverkningsanmälan</t>
        </is>
      </c>
      <c r="C306" t="inlineStr">
        <is>
          <t>Föryngringsavverkning</t>
        </is>
      </c>
      <c r="D306" s="1" t="n">
        <v>46113</v>
      </c>
      <c r="E306" s="1" t="n">
        <v>46326</v>
      </c>
      <c r="F306" t="inlineStr">
        <is>
          <t>DALARNAS LÄN</t>
        </is>
      </c>
      <c r="G306" t="inlineStr">
        <is>
          <t>BORLÄNGE</t>
        </is>
      </c>
      <c r="H306" t="inlineStr">
        <is>
          <t>Bergvik skog väst AB</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17167-2026</t>
        </is>
      </c>
      <c r="B307" t="inlineStr">
        <is>
          <t>avverkningsanmälan</t>
        </is>
      </c>
      <c r="C307" t="inlineStr">
        <is>
          <t>Föryngringsavverkning</t>
        </is>
      </c>
      <c r="D307" s="1" t="n">
        <v>46115</v>
      </c>
      <c r="E307" s="1" t="n">
        <v>46326</v>
      </c>
      <c r="F307" t="inlineStr">
        <is>
          <t>DALARNAS LÄN</t>
        </is>
      </c>
      <c r="G307" t="inlineStr">
        <is>
          <t>BORLÄNGE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17266-2026</t>
        </is>
      </c>
      <c r="B308" t="inlineStr">
        <is>
          <t>avverkningsanmälan</t>
        </is>
      </c>
      <c r="C308" t="inlineStr">
        <is>
          <t>Föryngringsavverkning</t>
        </is>
      </c>
      <c r="D308" s="1" t="n">
        <v>46119</v>
      </c>
      <c r="E308" s="1" t="n">
        <v>46326</v>
      </c>
      <c r="F308" t="inlineStr">
        <is>
          <t>DALARNAS LÄN</t>
        </is>
      </c>
      <c r="G308" t="inlineStr">
        <is>
          <t>BORLÄNGE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25389-2022</t>
        </is>
      </c>
      <c r="B309" t="inlineStr">
        <is>
          <t>avverkningsanmälan</t>
        </is>
      </c>
      <c r="C309" t="inlineStr">
        <is>
          <t>Föryngringsavverkning</t>
        </is>
      </c>
      <c r="D309" s="1" t="n">
        <v>44732</v>
      </c>
      <c r="E309" s="1" t="n">
        <v>46326</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60086-2023</t>
        </is>
      </c>
      <c r="B310" t="inlineStr">
        <is>
          <t>avverkningsanmälan</t>
        </is>
      </c>
      <c r="C310" t="inlineStr">
        <is>
          <t>Föryngringsavverkning</t>
        </is>
      </c>
      <c r="D310" s="1" t="n">
        <v>45258</v>
      </c>
      <c r="E310" s="1" t="n">
        <v>46326</v>
      </c>
      <c r="F310" t="inlineStr">
        <is>
          <t>DALARNAS LÄN</t>
        </is>
      </c>
      <c r="G310" t="inlineStr">
        <is>
          <t>BORLÄNGE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44896-2024</t>
        </is>
      </c>
      <c r="B311" t="inlineStr">
        <is>
          <t>avverkningsanmälan</t>
        </is>
      </c>
      <c r="C311" t="inlineStr">
        <is>
          <t>Föryngringsavverkning</t>
        </is>
      </c>
      <c r="D311" s="1" t="n">
        <v>45575</v>
      </c>
      <c r="E311" s="1" t="n">
        <v>46326</v>
      </c>
      <c r="F311" t="inlineStr">
        <is>
          <t>DALARNAS LÄN</t>
        </is>
      </c>
      <c r="G311" t="inlineStr">
        <is>
          <t>BORLÄNGE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56350-2024</t>
        </is>
      </c>
      <c r="B312" t="inlineStr">
        <is>
          <t>avverkningsanmälan</t>
        </is>
      </c>
      <c r="C312" t="inlineStr">
        <is>
          <t>Föryngringsavverkning</t>
        </is>
      </c>
      <c r="D312" s="1" t="n">
        <v>45624</v>
      </c>
      <c r="E312" s="1" t="n">
        <v>46326</v>
      </c>
      <c r="F312" t="inlineStr">
        <is>
          <t>DALARNAS LÄN</t>
        </is>
      </c>
      <c r="G312" t="inlineStr">
        <is>
          <t>BORLÄNGE</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13570-2026</t>
        </is>
      </c>
      <c r="B313" t="inlineStr">
        <is>
          <t>avverkningsanmälan</t>
        </is>
      </c>
      <c r="C313" t="inlineStr">
        <is>
          <t>Föryngringsavverkning</t>
        </is>
      </c>
      <c r="D313" s="1" t="n">
        <v>46095</v>
      </c>
      <c r="E313" s="1" t="n">
        <v>46326</v>
      </c>
      <c r="F313" t="inlineStr">
        <is>
          <t>DALARNAS LÄN</t>
        </is>
      </c>
      <c r="G313" t="inlineStr">
        <is>
          <t>BORLÄNGE</t>
        </is>
      </c>
      <c r="I313" t="n">
        <v>22.7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13569-2026</t>
        </is>
      </c>
      <c r="B314" t="inlineStr">
        <is>
          <t>avverkningsanmälan</t>
        </is>
      </c>
      <c r="C314" t="inlineStr">
        <is>
          <t>Föryngringsavverkning</t>
        </is>
      </c>
      <c r="D314" s="1" t="n">
        <v>46095</v>
      </c>
      <c r="E314" s="1" t="n">
        <v>46326</v>
      </c>
      <c r="F314" t="inlineStr">
        <is>
          <t>DALARNAS LÄN</t>
        </is>
      </c>
      <c r="G314" t="inlineStr">
        <is>
          <t>BORLÄNGE</t>
        </is>
      </c>
      <c r="I314" t="n">
        <v>16.9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13572-2026</t>
        </is>
      </c>
      <c r="B315" t="inlineStr">
        <is>
          <t>avverkningsanmälan</t>
        </is>
      </c>
      <c r="C315" t="inlineStr">
        <is>
          <t>Föryngringsavverkning</t>
        </is>
      </c>
      <c r="D315" s="1" t="n">
        <v>46095</v>
      </c>
      <c r="E315" s="1" t="n">
        <v>46326</v>
      </c>
      <c r="F315" t="inlineStr">
        <is>
          <t>DALARNAS LÄN</t>
        </is>
      </c>
      <c r="G315" t="inlineStr">
        <is>
          <t>BORLÄNGE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11087-2023</t>
        </is>
      </c>
      <c r="B316" t="inlineStr">
        <is>
          <t>avverkningsanmälan</t>
        </is>
      </c>
      <c r="C316" t="inlineStr">
        <is>
          <t>Föryngringsavverkning</t>
        </is>
      </c>
      <c r="D316" s="1" t="n">
        <v>44992</v>
      </c>
      <c r="E316" s="1" t="n">
        <v>46326</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54420-2024</t>
        </is>
      </c>
      <c r="B317" t="inlineStr">
        <is>
          <t>avverkningsanmälan</t>
        </is>
      </c>
      <c r="C317" t="inlineStr">
        <is>
          <t>Avverkning för annat ändamål</t>
        </is>
      </c>
      <c r="D317" s="1" t="n">
        <v>45617</v>
      </c>
      <c r="E317" s="1" t="n">
        <v>46326</v>
      </c>
      <c r="F317" t="inlineStr">
        <is>
          <t>DALARNAS LÄN</t>
        </is>
      </c>
      <c r="G317" t="inlineStr">
        <is>
          <t>BORLÄNGE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5260-2025</t>
        </is>
      </c>
      <c r="B318" t="inlineStr">
        <is>
          <t>avverkningsanmälan</t>
        </is>
      </c>
      <c r="C318" t="inlineStr">
        <is>
          <t>Föryngringsavverkning</t>
        </is>
      </c>
      <c r="D318" s="1" t="n">
        <v>45692</v>
      </c>
      <c r="E318" s="1" t="n">
        <v>46326</v>
      </c>
      <c r="F318" t="inlineStr">
        <is>
          <t>DALARNAS LÄN</t>
        </is>
      </c>
      <c r="G318" t="inlineStr">
        <is>
          <t>BORLÄNGE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1598-2026</t>
        </is>
      </c>
      <c r="B319" t="inlineStr">
        <is>
          <t>avverkningsanmälan</t>
        </is>
      </c>
      <c r="C319" t="inlineStr">
        <is>
          <t>Föryngringsavverkning</t>
        </is>
      </c>
      <c r="D319" s="1" t="n">
        <v>46034</v>
      </c>
      <c r="E319" s="1" t="n">
        <v>46326</v>
      </c>
      <c r="F319" t="inlineStr">
        <is>
          <t>DALARNAS LÄN</t>
        </is>
      </c>
      <c r="G319" t="inlineStr">
        <is>
          <t>BORLÄNGE</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60908-2023</t>
        </is>
      </c>
      <c r="B320" t="inlineStr">
        <is>
          <t>avverkningsanmälan</t>
        </is>
      </c>
      <c r="C320" t="inlineStr">
        <is>
          <t>Föryngringsavverkning</t>
        </is>
      </c>
      <c r="D320" s="1" t="n">
        <v>45261</v>
      </c>
      <c r="E320" s="1" t="n">
        <v>46326</v>
      </c>
      <c r="F320" t="inlineStr">
        <is>
          <t>DALARNAS LÄN</t>
        </is>
      </c>
      <c r="G320" t="inlineStr">
        <is>
          <t>BORLÄNGE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14753-2025</t>
        </is>
      </c>
      <c r="B321" t="inlineStr">
        <is>
          <t>avverkningsanmälan</t>
        </is>
      </c>
      <c r="C321" t="inlineStr">
        <is>
          <t>Föryngringsavverkning</t>
        </is>
      </c>
      <c r="D321" s="1" t="n">
        <v>45742</v>
      </c>
      <c r="E321" s="1" t="n">
        <v>46326</v>
      </c>
      <c r="F321" t="inlineStr">
        <is>
          <t>DALARNAS LÄN</t>
        </is>
      </c>
      <c r="G321" t="inlineStr">
        <is>
          <t>BORLÄNGE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32428-2024</t>
        </is>
      </c>
      <c r="B322" t="inlineStr">
        <is>
          <t>avverkningsanmälan</t>
        </is>
      </c>
      <c r="C322" t="inlineStr">
        <is>
          <t>Föryngringsavverkning</t>
        </is>
      </c>
      <c r="D322" s="1" t="n">
        <v>45512</v>
      </c>
      <c r="E322" s="1" t="n">
        <v>46326</v>
      </c>
      <c r="F322" t="inlineStr">
        <is>
          <t>DALARNAS LÄN</t>
        </is>
      </c>
      <c r="G322" t="inlineStr">
        <is>
          <t>BORLÄNGE</t>
        </is>
      </c>
      <c r="H322" t="inlineStr">
        <is>
          <t>Bergvik skog väst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7563-2026</t>
        </is>
      </c>
      <c r="B323" t="inlineStr">
        <is>
          <t>avverkningsanmälan</t>
        </is>
      </c>
      <c r="C323" t="inlineStr">
        <is>
          <t>Föryngringsavverkning</t>
        </is>
      </c>
      <c r="D323" s="1" t="n">
        <v>46060</v>
      </c>
      <c r="E323" s="1" t="n">
        <v>46326</v>
      </c>
      <c r="F323" t="inlineStr">
        <is>
          <t>DALARNAS LÄN</t>
        </is>
      </c>
      <c r="G323" t="inlineStr">
        <is>
          <t>BORLÄNGE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60740-2024</t>
        </is>
      </c>
      <c r="B324" t="inlineStr">
        <is>
          <t>avverkningsanmälan</t>
        </is>
      </c>
      <c r="C324" t="inlineStr">
        <is>
          <t>Avverkning för annat ändamål</t>
        </is>
      </c>
      <c r="D324" s="1" t="n">
        <v>45644</v>
      </c>
      <c r="E324" s="1" t="n">
        <v>46326</v>
      </c>
      <c r="F324" t="inlineStr">
        <is>
          <t>DALARNAS LÄN</t>
        </is>
      </c>
      <c r="G324" t="inlineStr">
        <is>
          <t>BORLÄNGE</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1921-2026</t>
        </is>
      </c>
      <c r="B325" t="inlineStr">
        <is>
          <t>avverkningsanmälan</t>
        </is>
      </c>
      <c r="C325" t="inlineStr">
        <is>
          <t>Föryngringsavverkning</t>
        </is>
      </c>
      <c r="D325" s="1" t="n">
        <v>46035</v>
      </c>
      <c r="E325" s="1" t="n">
        <v>46326</v>
      </c>
      <c r="F325" t="inlineStr">
        <is>
          <t>DALARNAS LÄN</t>
        </is>
      </c>
      <c r="G325" t="inlineStr">
        <is>
          <t>BORLÄNGE</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2182-2023</t>
        </is>
      </c>
      <c r="B326" t="inlineStr">
        <is>
          <t>avverkningsanmälan</t>
        </is>
      </c>
      <c r="C326" t="inlineStr">
        <is>
          <t>Föryngringsavverkning</t>
        </is>
      </c>
      <c r="D326" s="1" t="n">
        <v>44942</v>
      </c>
      <c r="E326" s="1" t="n">
        <v>46326</v>
      </c>
      <c r="F326" t="inlineStr">
        <is>
          <t>DALARNAS LÄN</t>
        </is>
      </c>
      <c r="G326" t="inlineStr">
        <is>
          <t>BORLÄNGE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28891-2025</t>
        </is>
      </c>
      <c r="B327" t="inlineStr">
        <is>
          <t>avverkningsanmälan</t>
        </is>
      </c>
      <c r="C327" t="inlineStr">
        <is>
          <t>Föryngringsavverkning</t>
        </is>
      </c>
      <c r="D327" s="1" t="n">
        <v>45820</v>
      </c>
      <c r="E327" s="1" t="n">
        <v>46326</v>
      </c>
      <c r="F327" t="inlineStr">
        <is>
          <t>DALARNAS LÄN</t>
        </is>
      </c>
      <c r="G327" t="inlineStr">
        <is>
          <t>BORLÄNGE</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27713-2025</t>
        </is>
      </c>
      <c r="B328" t="inlineStr">
        <is>
          <t>avverkningsanmälan</t>
        </is>
      </c>
      <c r="C328" t="inlineStr">
        <is>
          <t>Föryngringsavverkning</t>
        </is>
      </c>
      <c r="D328" s="1" t="n">
        <v>45813</v>
      </c>
      <c r="E328" s="1" t="n">
        <v>46326</v>
      </c>
      <c r="F328" t="inlineStr">
        <is>
          <t>DALARNAS LÄN</t>
        </is>
      </c>
      <c r="G328" t="inlineStr">
        <is>
          <t>BORLÄNGE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8563-2026</t>
        </is>
      </c>
      <c r="B329" t="inlineStr">
        <is>
          <t>avverkningsanmälan</t>
        </is>
      </c>
      <c r="C329" t="inlineStr">
        <is>
          <t>Föryngringsavverkning</t>
        </is>
      </c>
      <c r="D329" s="1" t="n">
        <v>46065</v>
      </c>
      <c r="E329" s="1" t="n">
        <v>46326</v>
      </c>
      <c r="F329" t="inlineStr">
        <is>
          <t>DALARNAS LÄN</t>
        </is>
      </c>
      <c r="G329" t="inlineStr">
        <is>
          <t>BORLÄNGE</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54148-2023</t>
        </is>
      </c>
      <c r="B330" t="inlineStr">
        <is>
          <t>avverkningsanmälan</t>
        </is>
      </c>
      <c r="C330" t="inlineStr">
        <is>
          <t>Föryngringsavverkning</t>
        </is>
      </c>
      <c r="D330" s="1" t="n">
        <v>45232</v>
      </c>
      <c r="E330" s="1" t="n">
        <v>46326</v>
      </c>
      <c r="F330" t="inlineStr">
        <is>
          <t>DALARNAS LÄN</t>
        </is>
      </c>
      <c r="G330" t="inlineStr">
        <is>
          <t>BORLÄNGE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60518-2023</t>
        </is>
      </c>
      <c r="B331" t="inlineStr">
        <is>
          <t>avverkningsanmälan</t>
        </is>
      </c>
      <c r="C331" t="inlineStr">
        <is>
          <t>Föryngringsavverkning</t>
        </is>
      </c>
      <c r="D331" s="1" t="n">
        <v>45259</v>
      </c>
      <c r="E331" s="1" t="n">
        <v>46326</v>
      </c>
      <c r="F331" t="inlineStr">
        <is>
          <t>DALARNAS LÄN</t>
        </is>
      </c>
      <c r="G331" t="inlineStr">
        <is>
          <t>BORLÄNGE</t>
        </is>
      </c>
      <c r="H331" t="inlineStr">
        <is>
          <t>Bergvik skog väst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713-2026</t>
        </is>
      </c>
      <c r="B332" t="inlineStr">
        <is>
          <t>avverkningsanmälan</t>
        </is>
      </c>
      <c r="C332" t="inlineStr">
        <is>
          <t>Föryngringsavverkning</t>
        </is>
      </c>
      <c r="D332" s="1" t="n">
        <v>46029</v>
      </c>
      <c r="E332" s="1" t="n">
        <v>46326</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13571-2026</t>
        </is>
      </c>
      <c r="B333" t="inlineStr">
        <is>
          <t>avverkningsanmälan</t>
        </is>
      </c>
      <c r="C333" t="inlineStr">
        <is>
          <t>Föryngringsavverkning</t>
        </is>
      </c>
      <c r="D333" s="1" t="n">
        <v>46095</v>
      </c>
      <c r="E333" s="1" t="n">
        <v>46326</v>
      </c>
      <c r="F333" t="inlineStr">
        <is>
          <t>DALARNAS LÄN</t>
        </is>
      </c>
      <c r="G333" t="inlineStr">
        <is>
          <t>BORLÄNGE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4129-2026</t>
        </is>
      </c>
      <c r="B334" t="inlineStr">
        <is>
          <t>avverkningsanmälan</t>
        </is>
      </c>
      <c r="C334" t="inlineStr">
        <is>
          <t>Föryngringsavverkning</t>
        </is>
      </c>
      <c r="D334" s="1" t="n">
        <v>46044</v>
      </c>
      <c r="E334" s="1" t="n">
        <v>46326</v>
      </c>
      <c r="F334" t="inlineStr">
        <is>
          <t>DALARNAS LÄN</t>
        </is>
      </c>
      <c r="G334" t="inlineStr">
        <is>
          <t>BORLÄNGE</t>
        </is>
      </c>
      <c r="H334" t="inlineStr">
        <is>
          <t>Bergvik skog väst AB</t>
        </is>
      </c>
      <c r="I334" t="n">
        <v>23.9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11105-2023</t>
        </is>
      </c>
      <c r="B335" t="inlineStr">
        <is>
          <t>avverkningsanmälan</t>
        </is>
      </c>
      <c r="C335" t="inlineStr">
        <is>
          <t>Föryngringsavverkning</t>
        </is>
      </c>
      <c r="D335" s="1" t="n">
        <v>44992</v>
      </c>
      <c r="E335" s="1" t="n">
        <v>46326</v>
      </c>
      <c r="F335" t="inlineStr">
        <is>
          <t>DALARNAS LÄN</t>
        </is>
      </c>
      <c r="G335" t="inlineStr">
        <is>
          <t>BORLÄNGE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3506-2026</t>
        </is>
      </c>
      <c r="B336" t="inlineStr">
        <is>
          <t>avverkningsanmälan</t>
        </is>
      </c>
      <c r="C336" t="inlineStr">
        <is>
          <t>Föryngringsavverkning</t>
        </is>
      </c>
      <c r="D336" s="1" t="n">
        <v>46042</v>
      </c>
      <c r="E336" s="1" t="n">
        <v>46326</v>
      </c>
      <c r="F336" t="inlineStr">
        <is>
          <t>DALARNAS LÄN</t>
        </is>
      </c>
      <c r="G336" t="inlineStr">
        <is>
          <t>BORLÄNGE</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9430-2026</t>
        </is>
      </c>
      <c r="B337" t="inlineStr">
        <is>
          <t>avverkningsanmälan</t>
        </is>
      </c>
      <c r="C337" t="inlineStr">
        <is>
          <t>Föryngringsavverkning</t>
        </is>
      </c>
      <c r="D337" s="1" t="n">
        <v>46071</v>
      </c>
      <c r="E337" s="1" t="n">
        <v>46326</v>
      </c>
      <c r="F337" t="inlineStr">
        <is>
          <t>DALARNAS LÄN</t>
        </is>
      </c>
      <c r="G337" t="inlineStr">
        <is>
          <t>BORLÄNGE</t>
        </is>
      </c>
      <c r="H337" t="inlineStr">
        <is>
          <t>Kommuner</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2831-2026</t>
        </is>
      </c>
      <c r="B338" t="inlineStr">
        <is>
          <t>avverkningsanmälan</t>
        </is>
      </c>
      <c r="C338" t="inlineStr">
        <is>
          <t>Föryngringsavverkning</t>
        </is>
      </c>
      <c r="D338" s="1" t="n">
        <v>46038</v>
      </c>
      <c r="E338" s="1" t="n">
        <v>46326</v>
      </c>
      <c r="F338" t="inlineStr">
        <is>
          <t>DALARNAS LÄN</t>
        </is>
      </c>
      <c r="G338" t="inlineStr">
        <is>
          <t>BORLÄNGE</t>
        </is>
      </c>
      <c r="I338" t="n">
        <v>11.5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53544-2022</t>
        </is>
      </c>
      <c r="B339" t="inlineStr">
        <is>
          <t>avverkningsanmälan</t>
        </is>
      </c>
      <c r="C339" t="inlineStr">
        <is>
          <t>Föryngringsavverkning</t>
        </is>
      </c>
      <c r="D339" s="1" t="n">
        <v>44879</v>
      </c>
      <c r="E339" s="1" t="n">
        <v>46326</v>
      </c>
      <c r="F339" t="inlineStr">
        <is>
          <t>DALARNAS LÄN</t>
        </is>
      </c>
      <c r="G339" t="inlineStr">
        <is>
          <t>BORLÄNGE</t>
        </is>
      </c>
      <c r="H339" t="inlineStr">
        <is>
          <t>Bergvik skog väst AB</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6436-2022</t>
        </is>
      </c>
      <c r="B340" t="inlineStr">
        <is>
          <t>avverkningsanmälan</t>
        </is>
      </c>
      <c r="C340" t="inlineStr">
        <is>
          <t>Föryngringsavverkning</t>
        </is>
      </c>
      <c r="D340" s="1" t="n">
        <v>44601</v>
      </c>
      <c r="E340" s="1" t="n">
        <v>46326</v>
      </c>
      <c r="F340" t="inlineStr">
        <is>
          <t>DALARNAS LÄN</t>
        </is>
      </c>
      <c r="G340" t="inlineStr">
        <is>
          <t>BORLÄNGE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6324-2026</t>
        </is>
      </c>
      <c r="B341" t="inlineStr">
        <is>
          <t>avverkningsanmälan</t>
        </is>
      </c>
      <c r="C341" t="inlineStr">
        <is>
          <t>Föryngringsavverkning</t>
        </is>
      </c>
      <c r="D341" s="1" t="n">
        <v>46055</v>
      </c>
      <c r="E341" s="1" t="n">
        <v>46326</v>
      </c>
      <c r="F341" t="inlineStr">
        <is>
          <t>DALARNAS LÄN</t>
        </is>
      </c>
      <c r="G341" t="inlineStr">
        <is>
          <t>BORLÄNGE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8488-2026</t>
        </is>
      </c>
      <c r="B342" t="inlineStr">
        <is>
          <t>avverkningsanmälan</t>
        </is>
      </c>
      <c r="C342" t="inlineStr">
        <is>
          <t>Föryngringsavverkning</t>
        </is>
      </c>
      <c r="D342" s="1" t="n">
        <v>46065</v>
      </c>
      <c r="E342" s="1" t="n">
        <v>46326</v>
      </c>
      <c r="F342" t="inlineStr">
        <is>
          <t>DALARNAS LÄN</t>
        </is>
      </c>
      <c r="G342" t="inlineStr">
        <is>
          <t>BORLÄNGE</t>
        </is>
      </c>
      <c r="H342" t="inlineStr">
        <is>
          <t>Bergvik skog väst AB</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1723-2025</t>
        </is>
      </c>
      <c r="B343" t="inlineStr">
        <is>
          <t>avverkningsanmälan</t>
        </is>
      </c>
      <c r="C343" t="inlineStr">
        <is>
          <t>Föryngringsavverkning</t>
        </is>
      </c>
      <c r="D343" s="1" t="n">
        <v>45671</v>
      </c>
      <c r="E343" s="1" t="n">
        <v>46326</v>
      </c>
      <c r="F343" t="inlineStr">
        <is>
          <t>DALARNAS LÄN</t>
        </is>
      </c>
      <c r="G343" t="inlineStr">
        <is>
          <t>BORLÄNGE</t>
        </is>
      </c>
      <c r="I343" t="n">
        <v>24.5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5127-2026</t>
        </is>
      </c>
      <c r="B344" t="inlineStr">
        <is>
          <t>avverkningsanmälan</t>
        </is>
      </c>
      <c r="C344" t="inlineStr">
        <is>
          <t>Föryngringsavverkning</t>
        </is>
      </c>
      <c r="D344" s="1" t="n">
        <v>46049</v>
      </c>
      <c r="E344" s="1" t="n">
        <v>46326</v>
      </c>
      <c r="F344" t="inlineStr">
        <is>
          <t>DALARNAS LÄN</t>
        </is>
      </c>
      <c r="G344" t="inlineStr">
        <is>
          <t>BORLÄNGE</t>
        </is>
      </c>
      <c r="H344" t="inlineStr">
        <is>
          <t>Bergvik skog väst AB</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11212-2026</t>
        </is>
      </c>
      <c r="B345" t="inlineStr">
        <is>
          <t>avverkningsanmälan</t>
        </is>
      </c>
      <c r="C345" t="inlineStr">
        <is>
          <t>Föryngringsavverkning</t>
        </is>
      </c>
      <c r="D345" s="1" t="n">
        <v>46080</v>
      </c>
      <c r="E345" s="1" t="n">
        <v>46326</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16883-2024</t>
        </is>
      </c>
      <c r="B346" t="inlineStr">
        <is>
          <t>avverkningsanmälan</t>
        </is>
      </c>
      <c r="C346" t="inlineStr">
        <is>
          <t>Föryngringsavverkning</t>
        </is>
      </c>
      <c r="D346" s="1" t="n">
        <v>45411</v>
      </c>
      <c r="E346" s="1" t="n">
        <v>46326</v>
      </c>
      <c r="F346" t="inlineStr">
        <is>
          <t>DALARNAS LÄN</t>
        </is>
      </c>
      <c r="G346" t="inlineStr">
        <is>
          <t>BORLÄNGE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21998-2026</t>
        </is>
      </c>
      <c r="B347" t="inlineStr">
        <is>
          <t>avverkningsanmälan</t>
        </is>
      </c>
      <c r="C347" t="inlineStr">
        <is>
          <t>Föryngringsavverkning</t>
        </is>
      </c>
      <c r="D347" s="1" t="n">
        <v>46153</v>
      </c>
      <c r="E347" s="1" t="n">
        <v>46326</v>
      </c>
      <c r="F347" t="inlineStr">
        <is>
          <t>DALARNAS LÄN</t>
        </is>
      </c>
      <c r="G347" t="inlineStr">
        <is>
          <t>BORLÄNGE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19472-2026</t>
        </is>
      </c>
      <c r="B348" t="inlineStr">
        <is>
          <t>avverkningsanmälan</t>
        </is>
      </c>
      <c r="C348" t="inlineStr">
        <is>
          <t>Avverkning för annat ändamål</t>
        </is>
      </c>
      <c r="D348" s="1" t="n">
        <v>46131</v>
      </c>
      <c r="E348" s="1" t="n">
        <v>46326</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21946-2026</t>
        </is>
      </c>
      <c r="B349" t="inlineStr">
        <is>
          <t>avverkningsanmälan</t>
        </is>
      </c>
      <c r="C349" t="inlineStr">
        <is>
          <t>Föryngringsavverkning</t>
        </is>
      </c>
      <c r="D349" s="1" t="n">
        <v>46151</v>
      </c>
      <c r="E349" s="1" t="n">
        <v>46326</v>
      </c>
      <c r="F349" t="inlineStr">
        <is>
          <t>DALARNAS LÄN</t>
        </is>
      </c>
      <c r="G349" t="inlineStr">
        <is>
          <t>BORLÄNGE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2469-2026</t>
        </is>
      </c>
      <c r="B350" t="inlineStr">
        <is>
          <t>avverkningsanmälan</t>
        </is>
      </c>
      <c r="C350" t="inlineStr">
        <is>
          <t>Föryngringsavverkning</t>
        </is>
      </c>
      <c r="D350" s="1" t="n">
        <v>46037</v>
      </c>
      <c r="E350" s="1" t="n">
        <v>46326</v>
      </c>
      <c r="F350" t="inlineStr">
        <is>
          <t>DALARNAS LÄN</t>
        </is>
      </c>
      <c r="G350" t="inlineStr">
        <is>
          <t>BORLÄNGE</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7194-2025</t>
        </is>
      </c>
      <c r="B351" t="inlineStr">
        <is>
          <t>avverkningsanmälan</t>
        </is>
      </c>
      <c r="C351" t="inlineStr">
        <is>
          <t>Föryngringsavverkning</t>
        </is>
      </c>
      <c r="D351" s="1" t="n">
        <v>45702</v>
      </c>
      <c r="E351" s="1" t="n">
        <v>46326</v>
      </c>
      <c r="F351" t="inlineStr">
        <is>
          <t>DALARNAS LÄN</t>
        </is>
      </c>
      <c r="G351" t="inlineStr">
        <is>
          <t>BORLÄNGE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6896-2026</t>
        </is>
      </c>
      <c r="B352" t="inlineStr">
        <is>
          <t>avverkningsanmälan</t>
        </is>
      </c>
      <c r="C352" t="inlineStr">
        <is>
          <t>Föryngringsavverkning</t>
        </is>
      </c>
      <c r="D352" s="1" t="n">
        <v>46057</v>
      </c>
      <c r="E352" s="1" t="n">
        <v>46326</v>
      </c>
      <c r="F352" t="inlineStr">
        <is>
          <t>DALARNAS LÄN</t>
        </is>
      </c>
      <c r="G352" t="inlineStr">
        <is>
          <t>BORLÄNGE</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22429-2026</t>
        </is>
      </c>
      <c r="B353" t="inlineStr">
        <is>
          <t>avverkningsanmälan</t>
        </is>
      </c>
      <c r="C353" t="inlineStr">
        <is>
          <t>Föryngringsavverkning</t>
        </is>
      </c>
      <c r="D353" s="1" t="n">
        <v>46154</v>
      </c>
      <c r="E353" s="1" t="n">
        <v>46326</v>
      </c>
      <c r="F353" t="inlineStr">
        <is>
          <t>DALARNAS LÄN</t>
        </is>
      </c>
      <c r="G353" t="inlineStr">
        <is>
          <t>BORLÄNGE</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22805-2026</t>
        </is>
      </c>
      <c r="B354" t="inlineStr">
        <is>
          <t>avverkningsanmälan</t>
        </is>
      </c>
      <c r="C354" t="inlineStr">
        <is>
          <t>Föryngringsavverkning</t>
        </is>
      </c>
      <c r="D354" s="1" t="n">
        <v>46159</v>
      </c>
      <c r="E354" s="1" t="n">
        <v>46326</v>
      </c>
      <c r="F354" t="inlineStr">
        <is>
          <t>DALARNAS LÄN</t>
        </is>
      </c>
      <c r="G354" t="inlineStr">
        <is>
          <t>BORLÄNGE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57898-2024</t>
        </is>
      </c>
      <c r="B355" t="inlineStr">
        <is>
          <t>avverkningsanmälan</t>
        </is>
      </c>
      <c r="C355" t="inlineStr">
        <is>
          <t>Föryngringsavverkning</t>
        </is>
      </c>
      <c r="D355" s="1" t="n">
        <v>45631</v>
      </c>
      <c r="E355" s="1" t="n">
        <v>46326</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21992-2023</t>
        </is>
      </c>
      <c r="B356" t="inlineStr">
        <is>
          <t>avverkningsanmälan</t>
        </is>
      </c>
      <c r="C356" t="inlineStr">
        <is>
          <t>Föryngringsavverkning</t>
        </is>
      </c>
      <c r="D356" s="1" t="n">
        <v>45068</v>
      </c>
      <c r="E356" s="1" t="n">
        <v>46326</v>
      </c>
      <c r="F356" t="inlineStr">
        <is>
          <t>DALARNAS LÄN</t>
        </is>
      </c>
      <c r="G356" t="inlineStr">
        <is>
          <t>BORLÄNGE</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28324-2024</t>
        </is>
      </c>
      <c r="B357" t="inlineStr">
        <is>
          <t>avverkningsanmälan</t>
        </is>
      </c>
      <c r="C357" t="inlineStr">
        <is>
          <t>Föryngringsavverkning</t>
        </is>
      </c>
      <c r="D357" s="1" t="n">
        <v>45477</v>
      </c>
      <c r="E357" s="1" t="n">
        <v>46326</v>
      </c>
      <c r="F357" t="inlineStr">
        <is>
          <t>DALARNAS LÄN</t>
        </is>
      </c>
      <c r="G357" t="inlineStr">
        <is>
          <t>BORLÄNGE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23923-2026</t>
        </is>
      </c>
      <c r="B358" t="inlineStr">
        <is>
          <t>avverkningsanmälan</t>
        </is>
      </c>
      <c r="C358" t="inlineStr">
        <is>
          <t>Föryngringsavverkning</t>
        </is>
      </c>
      <c r="D358" s="1" t="n">
        <v>46167</v>
      </c>
      <c r="E358" s="1" t="n">
        <v>46326</v>
      </c>
      <c r="F358" t="inlineStr">
        <is>
          <t>DALARNAS LÄN</t>
        </is>
      </c>
      <c r="G358" t="inlineStr">
        <is>
          <t>BORLÄNGE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29810-2022</t>
        </is>
      </c>
      <c r="B359" t="inlineStr">
        <is>
          <t>avverkningsanmälan</t>
        </is>
      </c>
      <c r="C359" t="inlineStr">
        <is>
          <t>Avverkning för annat ändamål</t>
        </is>
      </c>
      <c r="D359" s="1" t="n">
        <v>44755</v>
      </c>
      <c r="E359" s="1" t="n">
        <v>46326</v>
      </c>
      <c r="F359" t="inlineStr">
        <is>
          <t>DALARNAS LÄN</t>
        </is>
      </c>
      <c r="G359" t="inlineStr">
        <is>
          <t>BORLÄNGE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10156-2025</t>
        </is>
      </c>
      <c r="B360" t="inlineStr">
        <is>
          <t>avverkningsanmälan</t>
        </is>
      </c>
      <c r="C360" t="inlineStr">
        <is>
          <t>Föryngringsavverkning</t>
        </is>
      </c>
      <c r="D360" s="1" t="n">
        <v>45719</v>
      </c>
      <c r="E360" s="1" t="n">
        <v>46326</v>
      </c>
      <c r="F360" t="inlineStr">
        <is>
          <t>DALARNAS LÄN</t>
        </is>
      </c>
      <c r="G360" t="inlineStr">
        <is>
          <t>BORLÄNGE</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24676-2026</t>
        </is>
      </c>
      <c r="B361" t="inlineStr">
        <is>
          <t>avverkningsanmälan</t>
        </is>
      </c>
      <c r="C361" t="inlineStr">
        <is>
          <t>Föryngringsavverkning</t>
        </is>
      </c>
      <c r="D361" s="1" t="n">
        <v>46171</v>
      </c>
      <c r="E361" s="1" t="n">
        <v>46326</v>
      </c>
      <c r="F361" t="inlineStr">
        <is>
          <t>DALARNAS LÄN</t>
        </is>
      </c>
      <c r="G361" t="inlineStr">
        <is>
          <t>BORLÄNGE</t>
        </is>
      </c>
      <c r="H361" t="inlineStr">
        <is>
          <t>Bergvik skog väst AB</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24664-2026</t>
        </is>
      </c>
      <c r="B362" t="inlineStr">
        <is>
          <t>avverkningsanmälan</t>
        </is>
      </c>
      <c r="C362" t="inlineStr">
        <is>
          <t>Föryngringsavverkning</t>
        </is>
      </c>
      <c r="D362" s="1" t="n">
        <v>46171</v>
      </c>
      <c r="E362" s="1" t="n">
        <v>46326</v>
      </c>
      <c r="F362" t="inlineStr">
        <is>
          <t>DALARNAS LÄN</t>
        </is>
      </c>
      <c r="G362" t="inlineStr">
        <is>
          <t>BORLÄNGE</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26216-2023</t>
        </is>
      </c>
      <c r="B363" t="inlineStr">
        <is>
          <t>avverkningsanmälan</t>
        </is>
      </c>
      <c r="C363" t="inlineStr">
        <is>
          <t>Föryngringsavverkning</t>
        </is>
      </c>
      <c r="D363" s="1" t="n">
        <v>45091</v>
      </c>
      <c r="E363" s="1" t="n">
        <v>46326</v>
      </c>
      <c r="F363" t="inlineStr">
        <is>
          <t>DALARNAS LÄN</t>
        </is>
      </c>
      <c r="G363" t="inlineStr">
        <is>
          <t>BORLÄNGE</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25308-2026</t>
        </is>
      </c>
      <c r="B364" t="inlineStr">
        <is>
          <t>avverkningsanmälan</t>
        </is>
      </c>
      <c r="C364" t="inlineStr">
        <is>
          <t>Föryngringsavverkning</t>
        </is>
      </c>
      <c r="D364" s="1" t="n">
        <v>46176</v>
      </c>
      <c r="E364" s="1" t="n">
        <v>46326</v>
      </c>
      <c r="F364" t="inlineStr">
        <is>
          <t>DALARNAS LÄN</t>
        </is>
      </c>
      <c r="G364" t="inlineStr">
        <is>
          <t>BORLÄNGE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25305-2026</t>
        </is>
      </c>
      <c r="B365" t="inlineStr">
        <is>
          <t>avverkningsanmälan</t>
        </is>
      </c>
      <c r="C365" t="inlineStr">
        <is>
          <t>Föryngringsavverkning</t>
        </is>
      </c>
      <c r="D365" s="1" t="n">
        <v>46176</v>
      </c>
      <c r="E365" s="1" t="n">
        <v>46326</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15495-2024</t>
        </is>
      </c>
      <c r="B366" t="inlineStr">
        <is>
          <t>avverkningsanmälan</t>
        </is>
      </c>
      <c r="C366" t="inlineStr">
        <is>
          <t>Föryngringsavverkning</t>
        </is>
      </c>
      <c r="D366" s="1" t="n">
        <v>45401</v>
      </c>
      <c r="E366" s="1" t="n">
        <v>46326</v>
      </c>
      <c r="F366" t="inlineStr">
        <is>
          <t>DALARNAS LÄN</t>
        </is>
      </c>
      <c r="G366" t="inlineStr">
        <is>
          <t>BORLÄNGE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63192-2023</t>
        </is>
      </c>
      <c r="B367" t="inlineStr">
        <is>
          <t>avverkningsanmälan</t>
        </is>
      </c>
      <c r="C367" t="inlineStr">
        <is>
          <t>Föryngringsavverkning</t>
        </is>
      </c>
      <c r="D367" s="1" t="n">
        <v>45273</v>
      </c>
      <c r="E367" s="1" t="n">
        <v>46326</v>
      </c>
      <c r="F367" t="inlineStr">
        <is>
          <t>DALARNAS LÄN</t>
        </is>
      </c>
      <c r="G367" t="inlineStr">
        <is>
          <t>BORLÄNGE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29861-2024</t>
        </is>
      </c>
      <c r="B368" t="inlineStr">
        <is>
          <t>avverkningsanmälan</t>
        </is>
      </c>
      <c r="C368" t="inlineStr">
        <is>
          <t>Föryngringsavverkning</t>
        </is>
      </c>
      <c r="D368" s="1" t="n">
        <v>45485</v>
      </c>
      <c r="E368" s="1" t="n">
        <v>46326</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26341-2026</t>
        </is>
      </c>
      <c r="B369" t="inlineStr">
        <is>
          <t>avverkningsanmälan</t>
        </is>
      </c>
      <c r="C369" t="inlineStr">
        <is>
          <t>Föryngringsavverkning</t>
        </is>
      </c>
      <c r="D369" s="1" t="n">
        <v>46182</v>
      </c>
      <c r="E369" s="1" t="n">
        <v>46326</v>
      </c>
      <c r="F369" t="inlineStr">
        <is>
          <t>DALARNAS LÄN</t>
        </is>
      </c>
      <c r="G369" t="inlineStr">
        <is>
          <t>BORLÄNGE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8489-2025</t>
        </is>
      </c>
      <c r="B370" t="inlineStr">
        <is>
          <t>avverkningsanmälan</t>
        </is>
      </c>
      <c r="C370" t="inlineStr">
        <is>
          <t>Föryngringsavverkning</t>
        </is>
      </c>
      <c r="D370" s="1" t="n">
        <v>45709</v>
      </c>
      <c r="E370" s="1" t="n">
        <v>46326</v>
      </c>
      <c r="F370" t="inlineStr">
        <is>
          <t>DALARNAS LÄN</t>
        </is>
      </c>
      <c r="G370" t="inlineStr">
        <is>
          <t>BORLÄNGE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51858-2023</t>
        </is>
      </c>
      <c r="B371" t="inlineStr">
        <is>
          <t>avverkningsanmälan</t>
        </is>
      </c>
      <c r="C371" t="inlineStr">
        <is>
          <t>Föryngringsavverkning</t>
        </is>
      </c>
      <c r="D371" s="1" t="n">
        <v>45223</v>
      </c>
      <c r="E371" s="1" t="n">
        <v>46326</v>
      </c>
      <c r="F371" t="inlineStr">
        <is>
          <t>DALARNAS LÄN</t>
        </is>
      </c>
      <c r="G371" t="inlineStr">
        <is>
          <t>BORLÄNGE</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67422-2021</t>
        </is>
      </c>
      <c r="B372" t="inlineStr">
        <is>
          <t>avverkningsanmälan</t>
        </is>
      </c>
      <c r="C372" t="inlineStr">
        <is>
          <t>Föryngringsavverkning</t>
        </is>
      </c>
      <c r="D372" s="1" t="n">
        <v>44524</v>
      </c>
      <c r="E372" s="1" t="n">
        <v>46326</v>
      </c>
      <c r="F372" t="inlineStr">
        <is>
          <t>DALARNAS LÄN</t>
        </is>
      </c>
      <c r="G372" t="inlineStr">
        <is>
          <t>BORLÄNGE</t>
        </is>
      </c>
      <c r="H372" t="inlineStr">
        <is>
          <t>Bergvik skog väst AB</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43650-2022</t>
        </is>
      </c>
      <c r="B373" t="inlineStr">
        <is>
          <t>avverkningsanmälan</t>
        </is>
      </c>
      <c r="C373" t="inlineStr">
        <is>
          <t>Föryngringsavverkning</t>
        </is>
      </c>
      <c r="D373" s="1" t="n">
        <v>44837</v>
      </c>
      <c r="E373" s="1" t="n">
        <v>46326</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60301-2024</t>
        </is>
      </c>
      <c r="B374" t="inlineStr">
        <is>
          <t>avverkningsanmälan</t>
        </is>
      </c>
      <c r="C374" t="inlineStr">
        <is>
          <t>Föryngringsavverkning</t>
        </is>
      </c>
      <c r="D374" s="1" t="n">
        <v>45643</v>
      </c>
      <c r="E374" s="1" t="n">
        <v>46326</v>
      </c>
      <c r="F374" t="inlineStr">
        <is>
          <t>DALARNAS LÄN</t>
        </is>
      </c>
      <c r="G374" t="inlineStr">
        <is>
          <t>BORLÄNGE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20008-2023</t>
        </is>
      </c>
      <c r="B375" t="inlineStr">
        <is>
          <t>avverkningsanmälan</t>
        </is>
      </c>
      <c r="C375" t="inlineStr">
        <is>
          <t>Föryngringsavverkning</t>
        </is>
      </c>
      <c r="D375" s="1" t="n">
        <v>45054</v>
      </c>
      <c r="E375" s="1" t="n">
        <v>46326</v>
      </c>
      <c r="F375" t="inlineStr">
        <is>
          <t>DALARNAS LÄN</t>
        </is>
      </c>
      <c r="G375" t="inlineStr">
        <is>
          <t>BORLÄNGE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60060-2023</t>
        </is>
      </c>
      <c r="B376" t="inlineStr">
        <is>
          <t>avverkningsanmälan</t>
        </is>
      </c>
      <c r="C376" t="inlineStr">
        <is>
          <t>Föryngringsavverkning</t>
        </is>
      </c>
      <c r="D376" s="1" t="n">
        <v>45258</v>
      </c>
      <c r="E376" s="1" t="n">
        <v>46326</v>
      </c>
      <c r="F376" t="inlineStr">
        <is>
          <t>DALARNAS LÄN</t>
        </is>
      </c>
      <c r="G376" t="inlineStr">
        <is>
          <t>BORLÄNGE</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44240-2023</t>
        </is>
      </c>
      <c r="B377" t="inlineStr">
        <is>
          <t>avverkningsanmälan</t>
        </is>
      </c>
      <c r="C377" t="inlineStr">
        <is>
          <t>Föryngringsavverkning</t>
        </is>
      </c>
      <c r="D377" s="1" t="n">
        <v>45188</v>
      </c>
      <c r="E377" s="1" t="n">
        <v>46326</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37785-2024</t>
        </is>
      </c>
      <c r="B378" t="inlineStr">
        <is>
          <t>avverkningsanmälan</t>
        </is>
      </c>
      <c r="C378" t="inlineStr">
        <is>
          <t>Föryngringsavverkning</t>
        </is>
      </c>
      <c r="D378" s="1" t="n">
        <v>45542</v>
      </c>
      <c r="E378" s="1" t="n">
        <v>46326</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23416-2023</t>
        </is>
      </c>
      <c r="B379" t="inlineStr">
        <is>
          <t>avverkningsanmälan</t>
        </is>
      </c>
      <c r="C379" t="inlineStr">
        <is>
          <t>Föryngringsavverkning</t>
        </is>
      </c>
      <c r="D379" s="1" t="n">
        <v>45076</v>
      </c>
      <c r="E379" s="1" t="n">
        <v>46326</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46326</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17168-2026</t>
        </is>
      </c>
      <c r="B381" t="inlineStr">
        <is>
          <t>avverkningsanmälan</t>
        </is>
      </c>
      <c r="C381" t="inlineStr">
        <is>
          <t>Föryngringsavverkning</t>
        </is>
      </c>
      <c r="D381" s="1" t="n">
        <v>46115</v>
      </c>
      <c r="E381" s="1" t="n">
        <v>46326</v>
      </c>
      <c r="F381" t="inlineStr">
        <is>
          <t>DALARNAS LÄN</t>
        </is>
      </c>
      <c r="G381" t="inlineStr">
        <is>
          <t>BORLÄNGE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13658-2024</t>
        </is>
      </c>
      <c r="B382" t="inlineStr">
        <is>
          <t>avverkningsanmälan</t>
        </is>
      </c>
      <c r="C382" t="inlineStr">
        <is>
          <t>Föryngringsavverkning</t>
        </is>
      </c>
      <c r="D382" s="1" t="n">
        <v>45390</v>
      </c>
      <c r="E382" s="1" t="n">
        <v>46326</v>
      </c>
      <c r="F382" t="inlineStr">
        <is>
          <t>DALARNAS LÄN</t>
        </is>
      </c>
      <c r="G382" t="inlineStr">
        <is>
          <t>BORLÄNGE</t>
        </is>
      </c>
      <c r="H382" t="inlineStr">
        <is>
          <t>Kommuner</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73002-2021</t>
        </is>
      </c>
      <c r="B383" t="inlineStr">
        <is>
          <t>avverkningsanmälan</t>
        </is>
      </c>
      <c r="C383" t="inlineStr">
        <is>
          <t>Föryngringsavverkning</t>
        </is>
      </c>
      <c r="D383" s="1" t="n">
        <v>44550</v>
      </c>
      <c r="E383" s="1" t="n">
        <v>46326</v>
      </c>
      <c r="F383" t="inlineStr">
        <is>
          <t>DALARNAS LÄN</t>
        </is>
      </c>
      <c r="G383" t="inlineStr">
        <is>
          <t>BORLÄNGE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7588-2023</t>
        </is>
      </c>
      <c r="B384" t="inlineStr">
        <is>
          <t>avverkningsanmälan</t>
        </is>
      </c>
      <c r="C384" t="inlineStr">
        <is>
          <t>Föryngringsavverkning</t>
        </is>
      </c>
      <c r="D384" s="1" t="n">
        <v>44972</v>
      </c>
      <c r="E384" s="1" t="n">
        <v>46326</v>
      </c>
      <c r="F384" t="inlineStr">
        <is>
          <t>DALARNAS LÄN</t>
        </is>
      </c>
      <c r="G384" t="inlineStr">
        <is>
          <t>BORLÄNGE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13983-2024</t>
        </is>
      </c>
      <c r="B385" t="inlineStr">
        <is>
          <t>avverkningsanmälan</t>
        </is>
      </c>
      <c r="C385" t="inlineStr">
        <is>
          <t>Avverkning för annat ändamål</t>
        </is>
      </c>
      <c r="D385" s="1" t="n">
        <v>45392</v>
      </c>
      <c r="E385" s="1" t="n">
        <v>46326</v>
      </c>
      <c r="F385" t="inlineStr">
        <is>
          <t>DALARNAS LÄN</t>
        </is>
      </c>
      <c r="G385" t="inlineStr">
        <is>
          <t>BORLÄNGE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54414-2024</t>
        </is>
      </c>
      <c r="B386" t="inlineStr">
        <is>
          <t>avverkningsanmälan</t>
        </is>
      </c>
      <c r="C386" t="inlineStr">
        <is>
          <t>Avverkning för annat ändamål</t>
        </is>
      </c>
      <c r="D386" s="1" t="n">
        <v>45617</v>
      </c>
      <c r="E386" s="1" t="n">
        <v>46326</v>
      </c>
      <c r="F386" t="inlineStr">
        <is>
          <t>DALARNAS LÄN</t>
        </is>
      </c>
      <c r="G386" t="inlineStr">
        <is>
          <t>BORLÄNGE</t>
        </is>
      </c>
      <c r="H386" t="inlineStr">
        <is>
          <t>Bergvik skog väst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128-2024</t>
        </is>
      </c>
      <c r="B387" t="inlineStr">
        <is>
          <t>avverkningsanmälan</t>
        </is>
      </c>
      <c r="C387" t="inlineStr">
        <is>
          <t>Föryngringsavverkning</t>
        </is>
      </c>
      <c r="D387" s="1" t="n">
        <v>45294</v>
      </c>
      <c r="E387" s="1" t="n">
        <v>46326</v>
      </c>
      <c r="F387" t="inlineStr">
        <is>
          <t>DALARNAS LÄN</t>
        </is>
      </c>
      <c r="G387" t="inlineStr">
        <is>
          <t>BORLÄNGE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35501-2023</t>
        </is>
      </c>
      <c r="B388" t="inlineStr">
        <is>
          <t>avverkningsanmälan</t>
        </is>
      </c>
      <c r="C388" t="inlineStr">
        <is>
          <t>Föryngringsavverkning</t>
        </is>
      </c>
      <c r="D388" s="1" t="n">
        <v>45146</v>
      </c>
      <c r="E388" s="1" t="n">
        <v>46326</v>
      </c>
      <c r="F388" t="inlineStr">
        <is>
          <t>DALARNAS LÄN</t>
        </is>
      </c>
      <c r="G388" t="inlineStr">
        <is>
          <t>BORLÄNGE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32399-2026</t>
        </is>
      </c>
      <c r="B389" t="inlineStr">
        <is>
          <t>avverkningsanmälan</t>
        </is>
      </c>
      <c r="C389" t="inlineStr">
        <is>
          <t>Föryngringsavverkning</t>
        </is>
      </c>
      <c r="D389" s="1" t="n">
        <v>46238</v>
      </c>
      <c r="E389" s="1" t="n">
        <v>46326</v>
      </c>
      <c r="F389" t="inlineStr">
        <is>
          <t>DALARNAS LÄN</t>
        </is>
      </c>
      <c r="G389" t="inlineStr">
        <is>
          <t>BORLÄNGE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32194-2026</t>
        </is>
      </c>
      <c r="B390" t="inlineStr">
        <is>
          <t>avverkningsanmälan</t>
        </is>
      </c>
      <c r="C390" t="inlineStr">
        <is>
          <t>Föryngringsavverkning</t>
        </is>
      </c>
      <c r="D390" s="1" t="n">
        <v>46237</v>
      </c>
      <c r="E390" s="1" t="n">
        <v>46326</v>
      </c>
      <c r="F390" t="inlineStr">
        <is>
          <t>DALARNAS LÄN</t>
        </is>
      </c>
      <c r="G390" t="inlineStr">
        <is>
          <t>BORLÄNGE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32358-2026</t>
        </is>
      </c>
      <c r="B391" t="inlineStr">
        <is>
          <t>avverkningsanmälan</t>
        </is>
      </c>
      <c r="C391" t="inlineStr">
        <is>
          <t>Föryngringsavverkning</t>
        </is>
      </c>
      <c r="D391" s="1" t="n">
        <v>46238</v>
      </c>
      <c r="E391" s="1" t="n">
        <v>46326</v>
      </c>
      <c r="F391" t="inlineStr">
        <is>
          <t>DALARNAS LÄN</t>
        </is>
      </c>
      <c r="G391" t="inlineStr">
        <is>
          <t>BORLÄNGE</t>
        </is>
      </c>
      <c r="H391" t="inlineStr">
        <is>
          <t>Bergvik skog väst AB</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55910-2022</t>
        </is>
      </c>
      <c r="B392" t="inlineStr">
        <is>
          <t>avverkningsanmälan</t>
        </is>
      </c>
      <c r="C392" t="inlineStr">
        <is>
          <t>Föryngringsavverkning</t>
        </is>
      </c>
      <c r="D392" s="1" t="n">
        <v>44889</v>
      </c>
      <c r="E392" s="1" t="n">
        <v>46326</v>
      </c>
      <c r="F392" t="inlineStr">
        <is>
          <t>DALARNAS LÄN</t>
        </is>
      </c>
      <c r="G392" t="inlineStr">
        <is>
          <t>BORLÄNGE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15989-2024</t>
        </is>
      </c>
      <c r="B393" t="inlineStr">
        <is>
          <t>avverkningsanmälan</t>
        </is>
      </c>
      <c r="C393" t="inlineStr">
        <is>
          <t>Föryngringsavverkning</t>
        </is>
      </c>
      <c r="D393" s="1" t="n">
        <v>45405</v>
      </c>
      <c r="E393" s="1" t="n">
        <v>46326</v>
      </c>
      <c r="F393" t="inlineStr">
        <is>
          <t>DALARNAS LÄN</t>
        </is>
      </c>
      <c r="G393" t="inlineStr">
        <is>
          <t>BORLÄNGE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43515-2024</t>
        </is>
      </c>
      <c r="B394" t="inlineStr">
        <is>
          <t>avverkningsanmälan</t>
        </is>
      </c>
      <c r="C394" t="inlineStr">
        <is>
          <t>Föryngringsavverkning</t>
        </is>
      </c>
      <c r="D394" s="1" t="n">
        <v>45569</v>
      </c>
      <c r="E394" s="1" t="n">
        <v>46326</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39164-2026</t>
        </is>
      </c>
      <c r="B395" t="inlineStr">
        <is>
          <t>avverkningsanmälan</t>
        </is>
      </c>
      <c r="C395" t="inlineStr">
        <is>
          <t>Föryngringsavverkning</t>
        </is>
      </c>
      <c r="D395" s="1" t="n">
        <v>46287</v>
      </c>
      <c r="E395" s="1" t="n">
        <v>46326</v>
      </c>
      <c r="F395" t="inlineStr">
        <is>
          <t>DALARNAS LÄN</t>
        </is>
      </c>
      <c r="G395" t="inlineStr">
        <is>
          <t>BORLÄNGE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38762-2026</t>
        </is>
      </c>
      <c r="B396" t="inlineStr">
        <is>
          <t>avverkningsanmälan</t>
        </is>
      </c>
      <c r="C396" t="inlineStr">
        <is>
          <t>Föryngringsavverkning</t>
        </is>
      </c>
      <c r="D396" s="1" t="n">
        <v>46286</v>
      </c>
      <c r="E396" s="1" t="n">
        <v>46326</v>
      </c>
      <c r="F396" t="inlineStr">
        <is>
          <t>DALARNAS LÄN</t>
        </is>
      </c>
      <c r="G396" t="inlineStr">
        <is>
          <t>BORLÄNGE</t>
        </is>
      </c>
      <c r="H396" t="inlineStr">
        <is>
          <t>Bergvik skog väst AB</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38863-2023</t>
        </is>
      </c>
      <c r="B397" t="inlineStr">
        <is>
          <t>avverkningsanmälan</t>
        </is>
      </c>
      <c r="C397" t="inlineStr">
        <is>
          <t>Avverkning för annat ändamål</t>
        </is>
      </c>
      <c r="D397" s="1" t="n">
        <v>45163</v>
      </c>
      <c r="E397" s="1" t="n">
        <v>46326</v>
      </c>
      <c r="F397" t="inlineStr">
        <is>
          <t>DALARNAS LÄN</t>
        </is>
      </c>
      <c r="G397" t="inlineStr">
        <is>
          <t>BORLÄNGE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38868-2023</t>
        </is>
      </c>
      <c r="B398" t="inlineStr">
        <is>
          <t>avverkningsanmälan</t>
        </is>
      </c>
      <c r="C398" t="inlineStr">
        <is>
          <t>Avverkning för annat ändamål</t>
        </is>
      </c>
      <c r="D398" s="1" t="n">
        <v>45163</v>
      </c>
      <c r="E398" s="1" t="n">
        <v>46326</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26934-2026</t>
        </is>
      </c>
      <c r="B399" t="inlineStr">
        <is>
          <t>avverkningsanmälan</t>
        </is>
      </c>
      <c r="C399" t="inlineStr">
        <is>
          <t>Föryngringsavverkning</t>
        </is>
      </c>
      <c r="D399" s="1" t="n">
        <v>46185</v>
      </c>
      <c r="E399" s="1" t="n">
        <v>46326</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39243-2026</t>
        </is>
      </c>
      <c r="B400" t="inlineStr">
        <is>
          <t>avverkningsanmälan</t>
        </is>
      </c>
      <c r="C400" t="inlineStr">
        <is>
          <t>Föryngringsavverkning</t>
        </is>
      </c>
      <c r="D400" s="1" t="n">
        <v>46288</v>
      </c>
      <c r="E400" s="1" t="n">
        <v>46326</v>
      </c>
      <c r="F400" t="inlineStr">
        <is>
          <t>DALARNAS LÄN</t>
        </is>
      </c>
      <c r="G400" t="inlineStr">
        <is>
          <t>BORLÄNGE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20581-2024</t>
        </is>
      </c>
      <c r="B401" t="inlineStr">
        <is>
          <t>avverkningsanmälan</t>
        </is>
      </c>
      <c r="C401" t="inlineStr">
        <is>
          <t>Föryngringsavverkning</t>
        </is>
      </c>
      <c r="D401" s="1" t="n">
        <v>45436</v>
      </c>
      <c r="E401" s="1" t="n">
        <v>46326</v>
      </c>
      <c r="F401" t="inlineStr">
        <is>
          <t>DALARNAS LÄN</t>
        </is>
      </c>
      <c r="G401" t="inlineStr">
        <is>
          <t>BORLÄNGE</t>
        </is>
      </c>
      <c r="H401" t="inlineStr">
        <is>
          <t>Bergvik skog väst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39242-2026</t>
        </is>
      </c>
      <c r="B402" t="inlineStr">
        <is>
          <t>avverkningsanmälan</t>
        </is>
      </c>
      <c r="C402" t="inlineStr">
        <is>
          <t>Föryngringsavverkning</t>
        </is>
      </c>
      <c r="D402" s="1" t="n">
        <v>46288</v>
      </c>
      <c r="E402" s="1" t="n">
        <v>46326</v>
      </c>
      <c r="F402" t="inlineStr">
        <is>
          <t>DALARNAS LÄN</t>
        </is>
      </c>
      <c r="G402" t="inlineStr">
        <is>
          <t>BORLÄNGE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5384-2025</t>
        </is>
      </c>
      <c r="B403" t="inlineStr">
        <is>
          <t>avverkningsanmälan</t>
        </is>
      </c>
      <c r="C403" t="inlineStr">
        <is>
          <t>Föryngringsavverkning</t>
        </is>
      </c>
      <c r="D403" s="1" t="n">
        <v>45692</v>
      </c>
      <c r="E403" s="1" t="n">
        <v>46326</v>
      </c>
      <c r="F403" t="inlineStr">
        <is>
          <t>DALARNAS LÄN</t>
        </is>
      </c>
      <c r="G403" t="inlineStr">
        <is>
          <t>BORLÄNGE</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28572-2025</t>
        </is>
      </c>
      <c r="B404" t="inlineStr">
        <is>
          <t>avverkningsanmälan</t>
        </is>
      </c>
      <c r="C404" t="inlineStr">
        <is>
          <t>Föryngringsavverkning</t>
        </is>
      </c>
      <c r="D404" s="1" t="n">
        <v>45819</v>
      </c>
      <c r="E404" s="1" t="n">
        <v>46326</v>
      </c>
      <c r="F404" t="inlineStr">
        <is>
          <t>DALARNAS LÄN</t>
        </is>
      </c>
      <c r="G404" t="inlineStr">
        <is>
          <t>BORLÄNGE</t>
        </is>
      </c>
      <c r="H404" t="inlineStr">
        <is>
          <t>Kommuner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33700-2026</t>
        </is>
      </c>
      <c r="B405" t="inlineStr">
        <is>
          <t>avverkningsanmälan</t>
        </is>
      </c>
      <c r="C405" t="inlineStr">
        <is>
          <t>Föryngringsavverkning</t>
        </is>
      </c>
      <c r="D405" s="1" t="n">
        <v>46250</v>
      </c>
      <c r="E405" s="1" t="n">
        <v>46326</v>
      </c>
      <c r="F405" t="inlineStr">
        <is>
          <t>DALARNAS LÄN</t>
        </is>
      </c>
      <c r="G405" t="inlineStr">
        <is>
          <t>BORLÄNGE</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32940-2024</t>
        </is>
      </c>
      <c r="B406" t="inlineStr">
        <is>
          <t>avverkningsanmälan</t>
        </is>
      </c>
      <c r="C406" t="inlineStr">
        <is>
          <t>Föryngringsavverkning</t>
        </is>
      </c>
      <c r="D406" s="1" t="n">
        <v>45517</v>
      </c>
      <c r="E406" s="1" t="n">
        <v>46326</v>
      </c>
      <c r="F406" t="inlineStr">
        <is>
          <t>DALARNAS LÄN</t>
        </is>
      </c>
      <c r="G406" t="inlineStr">
        <is>
          <t>BORLÄNGE</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51675-2024</t>
        </is>
      </c>
      <c r="B407" t="inlineStr">
        <is>
          <t>avverkningsanmälan</t>
        </is>
      </c>
      <c r="C407" t="inlineStr">
        <is>
          <t>Föryngringsavverkning</t>
        </is>
      </c>
      <c r="D407" s="1" t="n">
        <v>45607</v>
      </c>
      <c r="E407" s="1" t="n">
        <v>46326</v>
      </c>
      <c r="F407" t="inlineStr">
        <is>
          <t>DALARNAS LÄN</t>
        </is>
      </c>
      <c r="G407" t="inlineStr">
        <is>
          <t>BORLÄNGE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8540-2025</t>
        </is>
      </c>
      <c r="B408" t="inlineStr">
        <is>
          <t>avverkningsanmälan</t>
        </is>
      </c>
      <c r="C408" t="inlineStr">
        <is>
          <t>Föryngringsavverkning</t>
        </is>
      </c>
      <c r="D408" s="1" t="n">
        <v>45709</v>
      </c>
      <c r="E408" s="1" t="n">
        <v>46326</v>
      </c>
      <c r="F408" t="inlineStr">
        <is>
          <t>DALARNAS LÄN</t>
        </is>
      </c>
      <c r="G408" t="inlineStr">
        <is>
          <t>BORLÄNGE</t>
        </is>
      </c>
      <c r="H408" t="inlineStr">
        <is>
          <t>Bergvik skog väst AB</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13528-2025</t>
        </is>
      </c>
      <c r="B409" t="inlineStr">
        <is>
          <t>avverkningsanmälan</t>
        </is>
      </c>
      <c r="C409" t="inlineStr">
        <is>
          <t>Föryngringsavverkning</t>
        </is>
      </c>
      <c r="D409" s="1" t="n">
        <v>45736</v>
      </c>
      <c r="E409" s="1" t="n">
        <v>46326</v>
      </c>
      <c r="F409" t="inlineStr">
        <is>
          <t>DALARNAS LÄN</t>
        </is>
      </c>
      <c r="G409" t="inlineStr">
        <is>
          <t>BORLÄNGE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21928-2023</t>
        </is>
      </c>
      <c r="B410" t="inlineStr">
        <is>
          <t>avverkningsanmälan</t>
        </is>
      </c>
      <c r="C410" t="inlineStr">
        <is>
          <t>Föryngringsavverkning</t>
        </is>
      </c>
      <c r="D410" s="1" t="n">
        <v>45068</v>
      </c>
      <c r="E410" s="1" t="n">
        <v>46326</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43497-2024</t>
        </is>
      </c>
      <c r="B411" t="inlineStr">
        <is>
          <t>avverkningsanmälan</t>
        </is>
      </c>
      <c r="C411" t="inlineStr">
        <is>
          <t>Avverkning för annat ändamål</t>
        </is>
      </c>
      <c r="D411" s="1" t="n">
        <v>45568</v>
      </c>
      <c r="E411" s="1" t="n">
        <v>46326</v>
      </c>
      <c r="F411" t="inlineStr">
        <is>
          <t>DALARNAS LÄN</t>
        </is>
      </c>
      <c r="G411" t="inlineStr">
        <is>
          <t>BORLÄNGE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20005-2023</t>
        </is>
      </c>
      <c r="B412" t="inlineStr">
        <is>
          <t>avverkningsanmälan</t>
        </is>
      </c>
      <c r="C412" t="inlineStr">
        <is>
          <t>Föryngringsavverkning</t>
        </is>
      </c>
      <c r="D412" s="1" t="n">
        <v>45054</v>
      </c>
      <c r="E412" s="1" t="n">
        <v>46326</v>
      </c>
      <c r="F412" t="inlineStr">
        <is>
          <t>DALARNAS LÄN</t>
        </is>
      </c>
      <c r="G412" t="inlineStr">
        <is>
          <t>BORLÄNGE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58283-2024</t>
        </is>
      </c>
      <c r="B413" t="inlineStr">
        <is>
          <t>avverkningsanmälan</t>
        </is>
      </c>
      <c r="C413" t="inlineStr">
        <is>
          <t>Föryngringsavverkning</t>
        </is>
      </c>
      <c r="D413" s="1" t="n">
        <v>45632</v>
      </c>
      <c r="E413" s="1" t="n">
        <v>46326</v>
      </c>
      <c r="F413" t="inlineStr">
        <is>
          <t>DALARNAS LÄN</t>
        </is>
      </c>
      <c r="G413" t="inlineStr">
        <is>
          <t>BORLÄNGE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24019-2025</t>
        </is>
      </c>
      <c r="B414" t="inlineStr">
        <is>
          <t>avverkningsanmälan</t>
        </is>
      </c>
      <c r="C414" t="inlineStr">
        <is>
          <t>Föryngringsavverkning</t>
        </is>
      </c>
      <c r="D414" s="1" t="n">
        <v>45796</v>
      </c>
      <c r="E414" s="1" t="n">
        <v>46326</v>
      </c>
      <c r="F414" t="inlineStr">
        <is>
          <t>DALARNAS LÄN</t>
        </is>
      </c>
      <c r="G414" t="inlineStr">
        <is>
          <t>BORLÄNGE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19468-2025</t>
        </is>
      </c>
      <c r="B415" t="inlineStr">
        <is>
          <t>avverkningsanmälan</t>
        </is>
      </c>
      <c r="C415" t="inlineStr">
        <is>
          <t>Avverkning för annat ändamål</t>
        </is>
      </c>
      <c r="D415" s="1" t="n">
        <v>45770</v>
      </c>
      <c r="E415" s="1" t="n">
        <v>46326</v>
      </c>
      <c r="F415" t="inlineStr">
        <is>
          <t>DALARNAS LÄN</t>
        </is>
      </c>
      <c r="G415" t="inlineStr">
        <is>
          <t>BORLÄNGE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41028-2026</t>
        </is>
      </c>
      <c r="B416" t="inlineStr">
        <is>
          <t>avverkningsanmälan</t>
        </is>
      </c>
      <c r="C416" t="inlineStr">
        <is>
          <t>Föryngringsavverkning</t>
        </is>
      </c>
      <c r="D416" s="1" t="n">
        <v>46297</v>
      </c>
      <c r="E416" s="1" t="n">
        <v>46326</v>
      </c>
      <c r="F416" t="inlineStr">
        <is>
          <t>DALARNAS LÄN</t>
        </is>
      </c>
      <c r="G416" t="inlineStr">
        <is>
          <t>BORLÄNGE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24764-2025</t>
        </is>
      </c>
      <c r="B417" t="inlineStr">
        <is>
          <t>avverkningsanmälan</t>
        </is>
      </c>
      <c r="C417" t="inlineStr">
        <is>
          <t>Föryngringsavverkning</t>
        </is>
      </c>
      <c r="D417" s="1" t="n">
        <v>45799</v>
      </c>
      <c r="E417" s="1" t="n">
        <v>46326</v>
      </c>
      <c r="F417" t="inlineStr">
        <is>
          <t>DALARNAS LÄN</t>
        </is>
      </c>
      <c r="G417" t="inlineStr">
        <is>
          <t>BORLÄNGE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24645-2025</t>
        </is>
      </c>
      <c r="B418" t="inlineStr">
        <is>
          <t>avverkningsanmälan</t>
        </is>
      </c>
      <c r="C418" t="inlineStr">
        <is>
          <t>Föryngringsavverkning</t>
        </is>
      </c>
      <c r="D418" s="1" t="n">
        <v>45798</v>
      </c>
      <c r="E418" s="1" t="n">
        <v>46326</v>
      </c>
      <c r="F418" t="inlineStr">
        <is>
          <t>DALARNAS LÄN</t>
        </is>
      </c>
      <c r="G418" t="inlineStr">
        <is>
          <t>BORLÄNGE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40637-2026</t>
        </is>
      </c>
      <c r="B419" t="inlineStr">
        <is>
          <t>avverkningsanmälan</t>
        </is>
      </c>
      <c r="C419" t="inlineStr">
        <is>
          <t>Föryngringsavverkning</t>
        </is>
      </c>
      <c r="D419" s="1" t="n">
        <v>46296</v>
      </c>
      <c r="E419" s="1" t="n">
        <v>46326</v>
      </c>
      <c r="F419" t="inlineStr">
        <is>
          <t>DALARNAS LÄN</t>
        </is>
      </c>
      <c r="G419" t="inlineStr">
        <is>
          <t>BORLÄNGE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35656-2026</t>
        </is>
      </c>
      <c r="B420" t="inlineStr">
        <is>
          <t>avverkningsanmälan</t>
        </is>
      </c>
      <c r="C420" t="inlineStr">
        <is>
          <t>Föryngringsavverkning</t>
        </is>
      </c>
      <c r="D420" s="1" t="n">
        <v>46265</v>
      </c>
      <c r="E420" s="1" t="n">
        <v>46326</v>
      </c>
      <c r="F420" t="inlineStr">
        <is>
          <t>DALARNAS LÄN</t>
        </is>
      </c>
      <c r="G420" t="inlineStr">
        <is>
          <t>BORLÄNGE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35653-2026</t>
        </is>
      </c>
      <c r="B421" t="inlineStr">
        <is>
          <t>avverkningsanmälan</t>
        </is>
      </c>
      <c r="C421" t="inlineStr">
        <is>
          <t>Föryngringsavverkning</t>
        </is>
      </c>
      <c r="D421" s="1" t="n">
        <v>46265</v>
      </c>
      <c r="E421" s="1" t="n">
        <v>46326</v>
      </c>
      <c r="F421" t="inlineStr">
        <is>
          <t>DALARNAS LÄN</t>
        </is>
      </c>
      <c r="G421" t="inlineStr">
        <is>
          <t>BORLÄNGE</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41045-2026</t>
        </is>
      </c>
      <c r="B422" t="inlineStr">
        <is>
          <t>avverkningsanmälan</t>
        </is>
      </c>
      <c r="C422" t="inlineStr">
        <is>
          <t>Föryngringsavverkning</t>
        </is>
      </c>
      <c r="D422" s="1" t="n">
        <v>46299</v>
      </c>
      <c r="E422" s="1" t="n">
        <v>46326</v>
      </c>
      <c r="F422" t="inlineStr">
        <is>
          <t>DALARNAS LÄN</t>
        </is>
      </c>
      <c r="G422" t="inlineStr">
        <is>
          <t>BORLÄNGE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42902-2026</t>
        </is>
      </c>
      <c r="B423" t="inlineStr">
        <is>
          <t>avverkningsanmälan</t>
        </is>
      </c>
      <c r="C423" t="inlineStr">
        <is>
          <t>Föryngringsavverkning</t>
        </is>
      </c>
      <c r="D423" s="1" t="n">
        <v>46310</v>
      </c>
      <c r="E423" s="1" t="n">
        <v>46326</v>
      </c>
      <c r="F423" t="inlineStr">
        <is>
          <t>DALARNAS LÄN</t>
        </is>
      </c>
      <c r="G423" t="inlineStr">
        <is>
          <t>BORLÄNGE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43401-2026</t>
        </is>
      </c>
      <c r="B424" t="inlineStr">
        <is>
          <t>avverkningsanmälan</t>
        </is>
      </c>
      <c r="C424" t="inlineStr">
        <is>
          <t>Föryngringsavverkning</t>
        </is>
      </c>
      <c r="D424" s="1" t="n">
        <v>46314</v>
      </c>
      <c r="E424" s="1" t="n">
        <v>46326</v>
      </c>
      <c r="F424" t="inlineStr">
        <is>
          <t>DALARNAS LÄN</t>
        </is>
      </c>
      <c r="G424" t="inlineStr">
        <is>
          <t>BORLÄNGE</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43848-2026</t>
        </is>
      </c>
      <c r="B425" t="inlineStr">
        <is>
          <t>avverkningsanmälan</t>
        </is>
      </c>
      <c r="C425" t="inlineStr">
        <is>
          <t>Föryngringsavverkning</t>
        </is>
      </c>
      <c r="D425" s="1" t="n">
        <v>46316</v>
      </c>
      <c r="E425" s="1" t="n">
        <v>46326</v>
      </c>
      <c r="F425" t="inlineStr">
        <is>
          <t>DALARNAS LÄN</t>
        </is>
      </c>
      <c r="G425" t="inlineStr">
        <is>
          <t>BORLÄNGE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43925-2026</t>
        </is>
      </c>
      <c r="B426" t="inlineStr">
        <is>
          <t>avverkningsanmälan</t>
        </is>
      </c>
      <c r="C426" t="inlineStr">
        <is>
          <t>Föryngringsavverkning</t>
        </is>
      </c>
      <c r="D426" s="1" t="n">
        <v>46317</v>
      </c>
      <c r="E426" s="1" t="n">
        <v>46326</v>
      </c>
      <c r="F426" t="inlineStr">
        <is>
          <t>DALARNAS LÄN</t>
        </is>
      </c>
      <c r="G426" t="inlineStr">
        <is>
          <t>BORLÄNGE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37585-2026</t>
        </is>
      </c>
      <c r="B427" t="inlineStr">
        <is>
          <t>avverkningsanmälan</t>
        </is>
      </c>
      <c r="C427" t="inlineStr">
        <is>
          <t>Föryngringsavverkning</t>
        </is>
      </c>
      <c r="D427" s="1" t="n">
        <v>46275</v>
      </c>
      <c r="E427" s="1" t="n">
        <v>46326</v>
      </c>
      <c r="F427" t="inlineStr">
        <is>
          <t>DALARNAS LÄN</t>
        </is>
      </c>
      <c r="G427" t="inlineStr">
        <is>
          <t>BORLÄNGE</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44875-2026</t>
        </is>
      </c>
      <c r="B428" t="inlineStr">
        <is>
          <t>avverkningsanmälan</t>
        </is>
      </c>
      <c r="C428" t="inlineStr">
        <is>
          <t>Föryngringsavverkning</t>
        </is>
      </c>
      <c r="D428" s="1" t="n">
        <v>46323</v>
      </c>
      <c r="E428" s="1" t="n">
        <v>46326</v>
      </c>
      <c r="F428" t="inlineStr">
        <is>
          <t>DALARNAS LÄN</t>
        </is>
      </c>
      <c r="G428" t="inlineStr">
        <is>
          <t>BORLÄNGE</t>
        </is>
      </c>
      <c r="I428" t="n">
        <v>0.4</v>
      </c>
      <c r="J428" t="n">
        <v>0</v>
      </c>
      <c r="K428" t="n">
        <v>0</v>
      </c>
      <c r="L428" t="n">
        <v>0</v>
      </c>
      <c r="M428" t="n">
        <v>0</v>
      </c>
      <c r="N428" t="n">
        <v>0</v>
      </c>
      <c r="O428" t="n">
        <v>0</v>
      </c>
      <c r="P428" t="n">
        <v>0</v>
      </c>
      <c r="Q428" t="n">
        <v>0</v>
      </c>
      <c r="R428" t="n">
        <v>0</v>
      </c>
      <c r="S428" t="n">
        <v>0</v>
      </c>
      <c r="T428" t="n">
        <v>0</v>
      </c>
      <c r="U428" t="n">
        <v>0</v>
      </c>
      <c r="V428" s="2" t="inlineStr"/>
      <c r="Z428">
        <f>HYPERLINK("https://klasma.github.io/Logging_2081/knärot/A 44875-2026 karta knärot.png", "A 44875-2026")</f>
        <v/>
      </c>
      <c r="AA428">
        <f>HYPERLINK("https://klasma.github.io/Logging_2081/klagomål/A 44875-2026 FSC-klagomål.docx", "A 44875-2026")</f>
        <v/>
      </c>
      <c r="AB428">
        <f>HYPERLINK("https://klasma.github.io/Logging_2081/klagomålsmail/A 44875-2026 FSC-klagomål mail.docx", "A 44875-2026")</f>
        <v/>
      </c>
      <c r="AC428">
        <f>HYPERLINK("https://klasma.github.io/Logging_2081/tillsyn/A 44875-2026 tillsynsbegäran.docx", "A 44875-2026")</f>
        <v/>
      </c>
      <c r="AD428">
        <f>HYPERLINK("https://klasma.github.io/Logging_2081/tillsynsmail/A 44875-2026 tillsynsbegäran mail.docx", "A 44875-2026")</f>
        <v/>
      </c>
    </row>
    <row r="429" ht="15" customHeight="1">
      <c r="A429" t="inlineStr">
        <is>
          <t>S 1052-2023</t>
        </is>
      </c>
      <c r="B429" t="inlineStr">
        <is>
          <t>samrådsanmälan</t>
        </is>
      </c>
      <c r="C429" t="inlineStr">
        <is>
          <t>Askåterföring</t>
        </is>
      </c>
      <c r="D429" s="1" t="n">
        <v>45009</v>
      </c>
      <c r="E429" s="1" t="n">
        <v>46326</v>
      </c>
      <c r="F429" t="inlineStr">
        <is>
          <t>DALARNAS LÄN</t>
        </is>
      </c>
      <c r="G429" t="inlineStr">
        <is>
          <t>BORLÄNGE</t>
        </is>
      </c>
      <c r="I429" t="n">
        <v>25.6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2346-2022</t>
        </is>
      </c>
      <c r="B430" t="inlineStr">
        <is>
          <t>samrådsanmälan</t>
        </is>
      </c>
      <c r="C430" t="inlineStr">
        <is>
          <t>Annan skogsbruksåtgärd</t>
        </is>
      </c>
      <c r="D430" s="1" t="n">
        <v>44686</v>
      </c>
      <c r="E430" s="1" t="n">
        <v>46326</v>
      </c>
      <c r="F430" t="inlineStr">
        <is>
          <t>DALARNAS LÄN</t>
        </is>
      </c>
      <c r="G430" t="inlineStr">
        <is>
          <t>BORLÄNGE</t>
        </is>
      </c>
      <c r="H430" t="inlineStr">
        <is>
          <t>Kommuner</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1048-2023</t>
        </is>
      </c>
      <c r="B431" t="inlineStr">
        <is>
          <t>samrådsanmälan</t>
        </is>
      </c>
      <c r="C431" t="inlineStr">
        <is>
          <t>Askåterföring</t>
        </is>
      </c>
      <c r="D431" s="1" t="n">
        <v>45009</v>
      </c>
      <c r="E431" s="1" t="n">
        <v>46326</v>
      </c>
      <c r="F431" t="inlineStr">
        <is>
          <t>DALARNAS LÄN</t>
        </is>
      </c>
      <c r="G431" t="inlineStr">
        <is>
          <t>BORLÄNGE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1050-2023</t>
        </is>
      </c>
      <c r="B432" t="inlineStr">
        <is>
          <t>samrådsanmälan</t>
        </is>
      </c>
      <c r="C432" t="inlineStr">
        <is>
          <t>Askåterföring</t>
        </is>
      </c>
      <c r="D432" s="1" t="n">
        <v>45009</v>
      </c>
      <c r="E432" s="1" t="n">
        <v>46326</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1051-2023</t>
        </is>
      </c>
      <c r="B433" t="inlineStr">
        <is>
          <t>samrådsanmälan</t>
        </is>
      </c>
      <c r="C433" t="inlineStr">
        <is>
          <t>Askåterföring</t>
        </is>
      </c>
      <c r="D433" s="1" t="n">
        <v>45009</v>
      </c>
      <c r="E433" s="1" t="n">
        <v>46326</v>
      </c>
      <c r="F433" t="inlineStr">
        <is>
          <t>DALARNAS LÄN</t>
        </is>
      </c>
      <c r="G433" t="inlineStr">
        <is>
          <t>BORLÄNGE</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5034-2024</t>
        </is>
      </c>
      <c r="B434" t="inlineStr">
        <is>
          <t>samrådsanmälan</t>
        </is>
      </c>
      <c r="C434" t="inlineStr">
        <is>
          <t>Annan skogsbruksåtgärd</t>
        </is>
      </c>
      <c r="D434" s="1" t="n">
        <v>45636</v>
      </c>
      <c r="E434" s="1" t="n">
        <v>46326</v>
      </c>
      <c r="F434" t="inlineStr">
        <is>
          <t>DALARNAS LÄN</t>
        </is>
      </c>
      <c r="G434" t="inlineStr">
        <is>
          <t>BORLÄNGE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2960-2023</t>
        </is>
      </c>
      <c r="B435" t="inlineStr">
        <is>
          <t>samrådsanmälan</t>
        </is>
      </c>
      <c r="C435" t="inlineStr">
        <is>
          <t>Askåterföring</t>
        </is>
      </c>
      <c r="D435" s="1" t="n">
        <v>45173</v>
      </c>
      <c r="E435" s="1" t="n">
        <v>46326</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922-2024</t>
        </is>
      </c>
      <c r="B436" t="inlineStr">
        <is>
          <t>samrådsanmälan</t>
        </is>
      </c>
      <c r="C436" t="inlineStr">
        <is>
          <t>Skogsgödsling</t>
        </is>
      </c>
      <c r="D436" s="1" t="n">
        <v>45378</v>
      </c>
      <c r="E436" s="1" t="n">
        <v>46326</v>
      </c>
      <c r="F436" t="inlineStr">
        <is>
          <t>DALARNAS LÄN</t>
        </is>
      </c>
      <c r="G436" t="inlineStr">
        <is>
          <t>BORLÄNGE</t>
        </is>
      </c>
      <c r="I436" t="n">
        <v>37.5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2968-2024</t>
        </is>
      </c>
      <c r="B437" t="inlineStr">
        <is>
          <t>samrådsanmälan</t>
        </is>
      </c>
      <c r="C437" t="inlineStr">
        <is>
          <t>Annan skogsbruksåtgärd</t>
        </is>
      </c>
      <c r="D437" s="1" t="n">
        <v>45509</v>
      </c>
      <c r="E437" s="1" t="n">
        <v>46326</v>
      </c>
      <c r="F437" t="inlineStr">
        <is>
          <t>DALARNAS LÄN</t>
        </is>
      </c>
      <c r="G437" t="inlineStr">
        <is>
          <t>BORLÄNGE</t>
        </is>
      </c>
      <c r="H437" t="inlineStr">
        <is>
          <t>Bergvik skog väst AB</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2957-2023</t>
        </is>
      </c>
      <c r="B438" t="inlineStr">
        <is>
          <t>samrådsanmälan</t>
        </is>
      </c>
      <c r="C438" t="inlineStr">
        <is>
          <t>Askåterföring</t>
        </is>
      </c>
      <c r="D438" s="1" t="n">
        <v>45173</v>
      </c>
      <c r="E438" s="1" t="n">
        <v>46326</v>
      </c>
      <c r="F438" t="inlineStr">
        <is>
          <t>DALARNAS LÄN</t>
        </is>
      </c>
      <c r="G438" t="inlineStr">
        <is>
          <t>BORLÄNGE</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1510-2022</t>
        </is>
      </c>
      <c r="B439" t="inlineStr">
        <is>
          <t>samrådsanmälan</t>
        </is>
      </c>
      <c r="C439" t="inlineStr">
        <is>
          <t>Skogsbilväg</t>
        </is>
      </c>
      <c r="D439" s="1" t="n">
        <v>44638</v>
      </c>
      <c r="E439" s="1" t="n">
        <v>46326</v>
      </c>
      <c r="F439" t="inlineStr">
        <is>
          <t>DALARNAS LÄN</t>
        </is>
      </c>
      <c r="G439" t="inlineStr">
        <is>
          <t>BORLÄNGE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1806-2025</t>
        </is>
      </c>
      <c r="B440" t="inlineStr">
        <is>
          <t>samrådsanmälan</t>
        </is>
      </c>
      <c r="C440" t="inlineStr">
        <is>
          <t>Annan skogsbruksåtgärd</t>
        </is>
      </c>
      <c r="D440" s="1" t="n">
        <v>45817</v>
      </c>
      <c r="E440" s="1" t="n">
        <v>46326</v>
      </c>
      <c r="F440" t="inlineStr">
        <is>
          <t>DALARNAS LÄN</t>
        </is>
      </c>
      <c r="G440" t="inlineStr">
        <is>
          <t>BORLÄNGE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495-2023</t>
        </is>
      </c>
      <c r="B441" t="inlineStr">
        <is>
          <t>samrådsanmälan</t>
        </is>
      </c>
      <c r="C441" t="inlineStr">
        <is>
          <t>Askåterföring</t>
        </is>
      </c>
      <c r="D441" s="1" t="n">
        <v>44963</v>
      </c>
      <c r="E441" s="1" t="n">
        <v>46326</v>
      </c>
      <c r="F441" t="inlineStr">
        <is>
          <t>DALARNAS LÄN</t>
        </is>
      </c>
      <c r="G441" t="inlineStr">
        <is>
          <t>BORLÄNGE</t>
        </is>
      </c>
      <c r="H441" t="inlineStr">
        <is>
          <t>Bergvik skog väst AB</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496-2023</t>
        </is>
      </c>
      <c r="B442" t="inlineStr">
        <is>
          <t>samrådsanmälan</t>
        </is>
      </c>
      <c r="C442" t="inlineStr">
        <is>
          <t>Askåterföring</t>
        </is>
      </c>
      <c r="D442" s="1" t="n">
        <v>44963</v>
      </c>
      <c r="E442" s="1" t="n">
        <v>46326</v>
      </c>
      <c r="F442" t="inlineStr">
        <is>
          <t>DALARNAS LÄN</t>
        </is>
      </c>
      <c r="G442" t="inlineStr">
        <is>
          <t>BORLÄNGE</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1658-2022</t>
        </is>
      </c>
      <c r="B443" t="inlineStr">
        <is>
          <t>samrådsanmälan</t>
        </is>
      </c>
      <c r="C443" t="inlineStr">
        <is>
          <t>Askåterföring</t>
        </is>
      </c>
      <c r="D443" s="1" t="n">
        <v>44649</v>
      </c>
      <c r="E443" s="1" t="n">
        <v>46326</v>
      </c>
      <c r="F443" t="inlineStr">
        <is>
          <t>DALARNAS LÄN</t>
        </is>
      </c>
      <c r="G443" t="inlineStr">
        <is>
          <t>BORLÄNGE</t>
        </is>
      </c>
      <c r="I443" t="n">
        <v>9.699999999999999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1116-2022</t>
        </is>
      </c>
      <c r="B444" t="inlineStr">
        <is>
          <t>samrådsanmälan</t>
        </is>
      </c>
      <c r="C444" t="inlineStr">
        <is>
          <t>Annan skogsbruksåtgärd</t>
        </is>
      </c>
      <c r="D444" s="1" t="n">
        <v>44615</v>
      </c>
      <c r="E444" s="1" t="n">
        <v>46326</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910-2026</t>
        </is>
      </c>
      <c r="B445" t="inlineStr">
        <is>
          <t>samrådsanmälan</t>
        </is>
      </c>
      <c r="C445" t="inlineStr">
        <is>
          <t>Annan skogsbruksåtgärd</t>
        </is>
      </c>
      <c r="D445" s="1" t="n">
        <v>46110</v>
      </c>
      <c r="E445" s="1" t="n">
        <v>46326</v>
      </c>
      <c r="F445" t="inlineStr">
        <is>
          <t>DALARNAS LÄN</t>
        </is>
      </c>
      <c r="G445" t="inlineStr">
        <is>
          <t>BORLÄNGE</t>
        </is>
      </c>
      <c r="H445" t="inlineStr">
        <is>
          <t>Bergvik skog väst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1109-2026</t>
        </is>
      </c>
      <c r="B446" t="inlineStr">
        <is>
          <t>samrådsanmälan</t>
        </is>
      </c>
      <c r="C446" t="inlineStr">
        <is>
          <t>Annan skogsbruksåtgärd</t>
        </is>
      </c>
      <c r="D446" s="1" t="n">
        <v>46131</v>
      </c>
      <c r="E446" s="1" t="n">
        <v>46326</v>
      </c>
      <c r="F446" t="inlineStr">
        <is>
          <t>DALARNAS LÄN</t>
        </is>
      </c>
      <c r="G446" t="inlineStr">
        <is>
          <t>BORLÄNGE</t>
        </is>
      </c>
      <c r="I446" t="n">
        <v>0.2</v>
      </c>
      <c r="J446" t="n">
        <v>0</v>
      </c>
      <c r="K446" t="n">
        <v>0</v>
      </c>
      <c r="L446" t="n">
        <v>0</v>
      </c>
      <c r="M446" t="n">
        <v>0</v>
      </c>
      <c r="N446" t="n">
        <v>0</v>
      </c>
      <c r="O446" t="n">
        <v>0</v>
      </c>
      <c r="P446" t="n">
        <v>0</v>
      </c>
      <c r="Q446" t="n">
        <v>0</v>
      </c>
      <c r="R446" t="n">
        <v>0</v>
      </c>
      <c r="S446" t="n">
        <v>0</v>
      </c>
      <c r="T446" t="n">
        <v>0</v>
      </c>
      <c r="U446" t="n">
        <v>0</v>
      </c>
      <c r="V446" s="2" t="inlineStr"/>
    </row>
    <row r="447">
      <c r="A447" t="inlineStr">
        <is>
          <t>S 1202-2026</t>
        </is>
      </c>
      <c r="B447" t="inlineStr">
        <is>
          <t>samrådsanmälan</t>
        </is>
      </c>
      <c r="C447" t="inlineStr">
        <is>
          <t>Annan skogsbruksåtgärd</t>
        </is>
      </c>
      <c r="D447" s="1" t="n">
        <v>46136</v>
      </c>
      <c r="E447" s="1" t="n">
        <v>46326</v>
      </c>
      <c r="F447" t="inlineStr">
        <is>
          <t>DALARNAS LÄN</t>
        </is>
      </c>
      <c r="G447" t="inlineStr">
        <is>
          <t>BORLÄNGE</t>
        </is>
      </c>
      <c r="I447" t="n">
        <v>0.2</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2026-10-31T03:23:52Z</dcterms:created>
  <dcterms:modified xmlns:dcterms="http://purl.org/dc/terms/" xmlns:xsi="http://www.w3.org/2001/XMLSchema-instance" xsi:type="dcterms:W3CDTF">2026-10-31T03:23:53Z</dcterms:modified>
</cp:coreProperties>
</file>