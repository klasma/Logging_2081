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45878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45878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45878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45878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45878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45878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45878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Vedflamlav
Vedskivlav
Violettgrå tagellav
Spindelblomster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28671-2025</t>
        </is>
      </c>
      <c r="B9" s="1" t="n">
        <v>45819.67282407408</v>
      </c>
      <c r="C9" s="1" t="n">
        <v>45878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45878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45878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45878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10755-2024</t>
        </is>
      </c>
      <c r="B13" s="1" t="n">
        <v>45369.55047453703</v>
      </c>
      <c r="C13" s="1" t="n">
        <v>45878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45878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10712-2025</t>
        </is>
      </c>
      <c r="B15" s="1" t="n">
        <v>45722</v>
      </c>
      <c r="C15" s="1" t="n">
        <v>45878</v>
      </c>
      <c r="D15" t="inlineStr">
        <is>
          <t>DALARNAS LÄN</t>
        </is>
      </c>
      <c r="E15" t="inlineStr">
        <is>
          <t>BORLÄNGE</t>
        </is>
      </c>
      <c r="G15" t="n">
        <v>5.3</v>
      </c>
      <c r="H15" t="n">
        <v>3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Spillkråka
Tretåig hackspett
Ullticka
Tjäder</t>
        </is>
      </c>
      <c r="S15">
        <f>HYPERLINK("https://klasma.github.io/Logging_2081/artfynd/A 10712-2025 artfynd.xlsx", "A 10712-2025")</f>
        <v/>
      </c>
      <c r="T15">
        <f>HYPERLINK("https://klasma.github.io/Logging_2081/kartor/A 10712-2025 karta.png", "A 10712-2025")</f>
        <v/>
      </c>
      <c r="V15">
        <f>HYPERLINK("https://klasma.github.io/Logging_2081/klagomål/A 10712-2025 FSC-klagomål.docx", "A 10712-2025")</f>
        <v/>
      </c>
      <c r="W15">
        <f>HYPERLINK("https://klasma.github.io/Logging_2081/klagomålsmail/A 10712-2025 FSC-klagomål mail.docx", "A 10712-2025")</f>
        <v/>
      </c>
      <c r="X15">
        <f>HYPERLINK("https://klasma.github.io/Logging_2081/tillsyn/A 10712-2025 tillsynsbegäran.docx", "A 10712-2025")</f>
        <v/>
      </c>
      <c r="Y15">
        <f>HYPERLINK("https://klasma.github.io/Logging_2081/tillsynsmail/A 10712-2025 tillsynsbegäran mail.docx", "A 10712-2025")</f>
        <v/>
      </c>
      <c r="Z15">
        <f>HYPERLINK("https://klasma.github.io/Logging_2081/fåglar/A 10712-2025 prioriterade fågelarter.docx", "A 10712-2025")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45878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45878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45878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45878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3060-2025</t>
        </is>
      </c>
      <c r="B20" s="1" t="n">
        <v>45678.62517361111</v>
      </c>
      <c r="C20" s="1" t="n">
        <v>45878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5</v>
      </c>
      <c r="H20" t="n">
        <v>2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Ullticka
Tjäder</t>
        </is>
      </c>
      <c r="S20">
        <f>HYPERLINK("https://klasma.github.io/Logging_2081/artfynd/A 3060-2025 artfynd.xlsx", "A 3060-2025")</f>
        <v/>
      </c>
      <c r="T20">
        <f>HYPERLINK("https://klasma.github.io/Logging_2081/kartor/A 3060-2025 karta.png", "A 3060-2025")</f>
        <v/>
      </c>
      <c r="U20">
        <f>HYPERLINK("https://klasma.github.io/Logging_2081/knärot/A 3060-2025 karta knärot.png", "A 3060-2025")</f>
        <v/>
      </c>
      <c r="V20">
        <f>HYPERLINK("https://klasma.github.io/Logging_2081/klagomål/A 3060-2025 FSC-klagomål.docx", "A 3060-2025")</f>
        <v/>
      </c>
      <c r="W20">
        <f>HYPERLINK("https://klasma.github.io/Logging_2081/klagomålsmail/A 3060-2025 FSC-klagomål mail.docx", "A 3060-2025")</f>
        <v/>
      </c>
      <c r="X20">
        <f>HYPERLINK("https://klasma.github.io/Logging_2081/tillsyn/A 3060-2025 tillsynsbegäran.docx", "A 3060-2025")</f>
        <v/>
      </c>
      <c r="Y20">
        <f>HYPERLINK("https://klasma.github.io/Logging_2081/tillsynsmail/A 3060-2025 tillsynsbegäran mail.docx", "A 3060-2025")</f>
        <v/>
      </c>
      <c r="Z20">
        <f>HYPERLINK("https://klasma.github.io/Logging_2081/fåglar/A 3060-2025 prioriterade fågelarter.docx", "A 3060-2025")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45878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45878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45878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29266-2023</t>
        </is>
      </c>
      <c r="B24" s="1" t="n">
        <v>45105</v>
      </c>
      <c r="C24" s="1" t="n">
        <v>45878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3.1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Grönpyrola</t>
        </is>
      </c>
      <c r="S24">
        <f>HYPERLINK("https://klasma.github.io/Logging_2081/artfynd/A 29266-2023 artfynd.xlsx", "A 29266-2023")</f>
        <v/>
      </c>
      <c r="T24">
        <f>HYPERLINK("https://klasma.github.io/Logging_2081/kartor/A 29266-2023 karta.png", "A 29266-2023")</f>
        <v/>
      </c>
      <c r="U24">
        <f>HYPERLINK("https://klasma.github.io/Logging_2081/knärot/A 29266-2023 karta knärot.png", "A 29266-2023")</f>
        <v/>
      </c>
      <c r="V24">
        <f>HYPERLINK("https://klasma.github.io/Logging_2081/klagomål/A 29266-2023 FSC-klagomål.docx", "A 29266-2023")</f>
        <v/>
      </c>
      <c r="W24">
        <f>HYPERLINK("https://klasma.github.io/Logging_2081/klagomålsmail/A 29266-2023 FSC-klagomål mail.docx", "A 29266-2023")</f>
        <v/>
      </c>
      <c r="X24">
        <f>HYPERLINK("https://klasma.github.io/Logging_2081/tillsyn/A 29266-2023 tillsynsbegäran.docx", "A 29266-2023")</f>
        <v/>
      </c>
      <c r="Y24">
        <f>HYPERLINK("https://klasma.github.io/Logging_2081/tillsynsmail/A 29266-2023 tillsynsbegäran mail.docx", "A 29266-2023")</f>
        <v/>
      </c>
      <c r="Z24">
        <f>HYPERLINK("https://klasma.github.io/Logging_2081/fåglar/A 29266-2023 prioriterade fågelarter.docx", "A 29266-2023")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45878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6832-2024</t>
        </is>
      </c>
      <c r="B26" s="1" t="n">
        <v>45342</v>
      </c>
      <c r="C26" s="1" t="n">
        <v>45878</v>
      </c>
      <c r="D26" t="inlineStr">
        <is>
          <t>DALARNAS LÄN</t>
        </is>
      </c>
      <c r="E26" t="inlineStr">
        <is>
          <t>BORLÄNGE</t>
        </is>
      </c>
      <c r="G26" t="n">
        <v>14.2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Thomsons trägnagare
Vågbandad barkbock</t>
        </is>
      </c>
      <c r="S26">
        <f>HYPERLINK("https://klasma.github.io/Logging_2081/artfynd/A 6832-2024 artfynd.xlsx", "A 6832-2024")</f>
        <v/>
      </c>
      <c r="T26">
        <f>HYPERLINK("https://klasma.github.io/Logging_2081/kartor/A 6832-2024 karta.png", "A 6832-2024")</f>
        <v/>
      </c>
      <c r="V26">
        <f>HYPERLINK("https://klasma.github.io/Logging_2081/klagomål/A 6832-2024 FSC-klagomål.docx", "A 6832-2024")</f>
        <v/>
      </c>
      <c r="W26">
        <f>HYPERLINK("https://klasma.github.io/Logging_2081/klagomålsmail/A 6832-2024 FSC-klagomål mail.docx", "A 6832-2024")</f>
        <v/>
      </c>
      <c r="X26">
        <f>HYPERLINK("https://klasma.github.io/Logging_2081/tillsyn/A 6832-2024 tillsynsbegäran.docx", "A 6832-2024")</f>
        <v/>
      </c>
      <c r="Y26">
        <f>HYPERLINK("https://klasma.github.io/Logging_2081/tillsynsmail/A 6832-2024 tillsynsbegäran mail.docx", "A 6832-2024")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45878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Rynkskinn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45878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35787-2025</t>
        </is>
      </c>
      <c r="B29" s="1" t="n">
        <v>45861.33072916666</v>
      </c>
      <c r="C29" s="1" t="n">
        <v>45878</v>
      </c>
      <c r="D29" t="inlineStr">
        <is>
          <t>DALARNAS LÄN</t>
        </is>
      </c>
      <c r="E29" t="inlineStr">
        <is>
          <t>BORLÄNGE</t>
        </is>
      </c>
      <c r="F29" t="inlineStr">
        <is>
          <t>Bergvik skog väst AB</t>
        </is>
      </c>
      <c r="G29" t="n">
        <v>6.7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Bronshjon</t>
        </is>
      </c>
      <c r="S29">
        <f>HYPERLINK("https://klasma.github.io/Logging_2081/artfynd/A 35787-2025 artfynd.xlsx", "A 35787-2025")</f>
        <v/>
      </c>
      <c r="T29">
        <f>HYPERLINK("https://klasma.github.io/Logging_2081/kartor/A 35787-2025 karta.png", "A 35787-2025")</f>
        <v/>
      </c>
      <c r="V29">
        <f>HYPERLINK("https://klasma.github.io/Logging_2081/klagomål/A 35787-2025 FSC-klagomål.docx", "A 35787-2025")</f>
        <v/>
      </c>
      <c r="W29">
        <f>HYPERLINK("https://klasma.github.io/Logging_2081/klagomålsmail/A 35787-2025 FSC-klagomål mail.docx", "A 35787-2025")</f>
        <v/>
      </c>
      <c r="X29">
        <f>HYPERLINK("https://klasma.github.io/Logging_2081/tillsyn/A 35787-2025 tillsynsbegäran.docx", "A 35787-2025")</f>
        <v/>
      </c>
      <c r="Y29">
        <f>HYPERLINK("https://klasma.github.io/Logging_2081/tillsynsmail/A 35787-2025 tillsynsbegäran mail.docx", "A 35787-2025")</f>
        <v/>
      </c>
      <c r="Z29">
        <f>HYPERLINK("https://klasma.github.io/Logging_2081/fåglar/A 35787-2025 prioriterade fågelarter.docx", "A 35787-2025")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45878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45878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45878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45878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23652-2023</t>
        </is>
      </c>
      <c r="B34" s="1" t="n">
        <v>45074</v>
      </c>
      <c r="C34" s="1" t="n">
        <v>45878</v>
      </c>
      <c r="D34" t="inlineStr">
        <is>
          <t>DALARNAS LÄN</t>
        </is>
      </c>
      <c r="E34" t="inlineStr">
        <is>
          <t>BORLÄNGE</t>
        </is>
      </c>
      <c r="G34" t="n">
        <v>1.4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Tibast</t>
        </is>
      </c>
      <c r="S34">
        <f>HYPERLINK("https://klasma.github.io/Logging_2081/artfynd/A 23652-2023 artfynd.xlsx", "A 23652-2023")</f>
        <v/>
      </c>
      <c r="T34">
        <f>HYPERLINK("https://klasma.github.io/Logging_2081/kartor/A 23652-2023 karta.png", "A 23652-2023")</f>
        <v/>
      </c>
      <c r="V34">
        <f>HYPERLINK("https://klasma.github.io/Logging_2081/klagomål/A 23652-2023 FSC-klagomål.docx", "A 23652-2023")</f>
        <v/>
      </c>
      <c r="W34">
        <f>HYPERLINK("https://klasma.github.io/Logging_2081/klagomålsmail/A 23652-2023 FSC-klagomål mail.docx", "A 23652-2023")</f>
        <v/>
      </c>
      <c r="X34">
        <f>HYPERLINK("https://klasma.github.io/Logging_2081/tillsyn/A 23652-2023 tillsynsbegäran.docx", "A 23652-2023")</f>
        <v/>
      </c>
      <c r="Y34">
        <f>HYPERLINK("https://klasma.github.io/Logging_2081/tillsynsmail/A 23652-2023 tillsynsbegäran mail.docx", "A 23652-2023")</f>
        <v/>
      </c>
      <c r="Z34">
        <f>HYPERLINK("https://klasma.github.io/Logging_2081/fåglar/A 23652-2023 prioriterade fågelarter.docx", "A 23652-2023")</f>
        <v/>
      </c>
    </row>
    <row r="35" ht="15" customHeight="1">
      <c r="A35" t="inlineStr">
        <is>
          <t>A 58614-2023</t>
        </is>
      </c>
      <c r="B35" s="1" t="n">
        <v>45251</v>
      </c>
      <c r="C35" s="1" t="n">
        <v>45878</v>
      </c>
      <c r="D35" t="inlineStr">
        <is>
          <t>DALARNAS LÄN</t>
        </is>
      </c>
      <c r="E35" t="inlineStr">
        <is>
          <t>BORLÄNGE</t>
        </is>
      </c>
      <c r="G35" t="n">
        <v>1.8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Gropticka</t>
        </is>
      </c>
      <c r="S35">
        <f>HYPERLINK("https://klasma.github.io/Logging_2081/artfynd/A 58614-2023 artfynd.xlsx", "A 58614-2023")</f>
        <v/>
      </c>
      <c r="T35">
        <f>HYPERLINK("https://klasma.github.io/Logging_2081/kartor/A 58614-2023 karta.png", "A 58614-2023")</f>
        <v/>
      </c>
      <c r="U35">
        <f>HYPERLINK("https://klasma.github.io/Logging_2081/knärot/A 58614-2023 karta knärot.png", "A 58614-2023")</f>
        <v/>
      </c>
      <c r="V35">
        <f>HYPERLINK("https://klasma.github.io/Logging_2081/klagomål/A 58614-2023 FSC-klagomål.docx", "A 58614-2023")</f>
        <v/>
      </c>
      <c r="W35">
        <f>HYPERLINK("https://klasma.github.io/Logging_2081/klagomålsmail/A 58614-2023 FSC-klagomål mail.docx", "A 58614-2023")</f>
        <v/>
      </c>
      <c r="X35">
        <f>HYPERLINK("https://klasma.github.io/Logging_2081/tillsyn/A 58614-2023 tillsynsbegäran.docx", "A 58614-2023")</f>
        <v/>
      </c>
      <c r="Y35">
        <f>HYPERLINK("https://klasma.github.io/Logging_2081/tillsynsmail/A 58614-2023 tillsynsbegäran mail.docx", "A 58614-2023")</f>
        <v/>
      </c>
    </row>
    <row r="36" ht="15" customHeight="1">
      <c r="A36" t="inlineStr">
        <is>
          <t>A 52510-2022</t>
        </is>
      </c>
      <c r="B36" s="1" t="n">
        <v>44874</v>
      </c>
      <c r="C36" s="1" t="n">
        <v>45878</v>
      </c>
      <c r="D36" t="inlineStr">
        <is>
          <t>DALARNAS LÄN</t>
        </is>
      </c>
      <c r="E36" t="inlineStr">
        <is>
          <t>BORLÄNGE</t>
        </is>
      </c>
      <c r="G36" t="n">
        <v>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Gränsticka
Vedticka</t>
        </is>
      </c>
      <c r="S36">
        <f>HYPERLINK("https://klasma.github.io/Logging_2081/artfynd/A 52510-2022 artfynd.xlsx", "A 52510-2022")</f>
        <v/>
      </c>
      <c r="T36">
        <f>HYPERLINK("https://klasma.github.io/Logging_2081/kartor/A 52510-2022 karta.png", "A 52510-2022")</f>
        <v/>
      </c>
      <c r="V36">
        <f>HYPERLINK("https://klasma.github.io/Logging_2081/klagomål/A 52510-2022 FSC-klagomål.docx", "A 52510-2022")</f>
        <v/>
      </c>
      <c r="W36">
        <f>HYPERLINK("https://klasma.github.io/Logging_2081/klagomålsmail/A 52510-2022 FSC-klagomål mail.docx", "A 52510-2022")</f>
        <v/>
      </c>
      <c r="X36">
        <f>HYPERLINK("https://klasma.github.io/Logging_2081/tillsyn/A 52510-2022 tillsynsbegäran.docx", "A 52510-2022")</f>
        <v/>
      </c>
      <c r="Y36">
        <f>HYPERLINK("https://klasma.github.io/Logging_2081/tillsynsmail/A 52510-2022 tillsynsbegäran mail.docx", "A 52510-2022")</f>
        <v/>
      </c>
    </row>
    <row r="37" ht="15" customHeight="1">
      <c r="A37" t="inlineStr">
        <is>
          <t>A 10740-2024</t>
        </is>
      </c>
      <c r="B37" s="1" t="n">
        <v>45369.51660879629</v>
      </c>
      <c r="C37" s="1" t="n">
        <v>45878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Skrovlig taggsvamp
Ullticka</t>
        </is>
      </c>
      <c r="S37">
        <f>HYPERLINK("https://klasma.github.io/Logging_2081/artfynd/A 10740-2024 artfynd.xlsx", "A 10740-2024")</f>
        <v/>
      </c>
      <c r="T37">
        <f>HYPERLINK("https://klasma.github.io/Logging_2081/kartor/A 10740-2024 karta.png", "A 10740-2024")</f>
        <v/>
      </c>
      <c r="V37">
        <f>HYPERLINK("https://klasma.github.io/Logging_2081/klagomål/A 10740-2024 FSC-klagomål.docx", "A 10740-2024")</f>
        <v/>
      </c>
      <c r="W37">
        <f>HYPERLINK("https://klasma.github.io/Logging_2081/klagomålsmail/A 10740-2024 FSC-klagomål mail.docx", "A 10740-2024")</f>
        <v/>
      </c>
      <c r="X37">
        <f>HYPERLINK("https://klasma.github.io/Logging_2081/tillsyn/A 10740-2024 tillsynsbegäran.docx", "A 10740-2024")</f>
        <v/>
      </c>
      <c r="Y37">
        <f>HYPERLINK("https://klasma.github.io/Logging_2081/tillsynsmail/A 10740-2024 tillsynsbegäran mail.docx", "A 10740-2024")</f>
        <v/>
      </c>
    </row>
    <row r="38" ht="15" customHeight="1">
      <c r="A38" t="inlineStr">
        <is>
          <t>A 19650-2024</t>
        </is>
      </c>
      <c r="B38" s="1" t="n">
        <v>45432.43915509259</v>
      </c>
      <c r="C38" s="1" t="n">
        <v>45878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Tretåig hackspett</t>
        </is>
      </c>
      <c r="S38">
        <f>HYPERLINK("https://klasma.github.io/Logging_2081/artfynd/A 19650-2024 artfynd.xlsx", "A 19650-2024")</f>
        <v/>
      </c>
      <c r="T38">
        <f>HYPERLINK("https://klasma.github.io/Logging_2081/kartor/A 19650-2024 karta.png", "A 19650-2024")</f>
        <v/>
      </c>
      <c r="U38">
        <f>HYPERLINK("https://klasma.github.io/Logging_2081/knärot/A 19650-2024 karta knärot.png", "A 19650-2024")</f>
        <v/>
      </c>
      <c r="V38">
        <f>HYPERLINK("https://klasma.github.io/Logging_2081/klagomål/A 19650-2024 FSC-klagomål.docx", "A 19650-2024")</f>
        <v/>
      </c>
      <c r="W38">
        <f>HYPERLINK("https://klasma.github.io/Logging_2081/klagomålsmail/A 19650-2024 FSC-klagomål mail.docx", "A 19650-2024")</f>
        <v/>
      </c>
      <c r="X38">
        <f>HYPERLINK("https://klasma.github.io/Logging_2081/tillsyn/A 19650-2024 tillsynsbegäran.docx", "A 19650-2024")</f>
        <v/>
      </c>
      <c r="Y38">
        <f>HYPERLINK("https://klasma.github.io/Logging_2081/tillsynsmail/A 19650-2024 tillsynsbegäran mail.docx", "A 19650-2024")</f>
        <v/>
      </c>
      <c r="Z38">
        <f>HYPERLINK("https://klasma.github.io/Logging_2081/fåglar/A 19650-2024 prioriterade fågelarter.docx", "A 19650-2024")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45878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45878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45878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45878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37723-2024</t>
        </is>
      </c>
      <c r="B43" s="1" t="n">
        <v>45541.64898148148</v>
      </c>
      <c r="C43" s="1" t="n">
        <v>45878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HYPERLINK("https://klasma.github.io/Logging_2081/artfynd/A 37723-2024 artfynd.xlsx", "A 37723-2024")</f>
        <v/>
      </c>
      <c r="T43">
        <f>HYPERLINK("https://klasma.github.io/Logging_2081/kartor/A 37723-2024 karta.png", "A 37723-2024")</f>
        <v/>
      </c>
      <c r="V43">
        <f>HYPERLINK("https://klasma.github.io/Logging_2081/klagomål/A 37723-2024 FSC-klagomål.docx", "A 37723-2024")</f>
        <v/>
      </c>
      <c r="W43">
        <f>HYPERLINK("https://klasma.github.io/Logging_2081/klagomålsmail/A 37723-2024 FSC-klagomål mail.docx", "A 37723-2024")</f>
        <v/>
      </c>
      <c r="X43">
        <f>HYPERLINK("https://klasma.github.io/Logging_2081/tillsyn/A 37723-2024 tillsynsbegäran.docx", "A 37723-2024")</f>
        <v/>
      </c>
      <c r="Y43">
        <f>HYPERLINK("https://klasma.github.io/Logging_2081/tillsynsmail/A 37723-2024 tillsynsbegäran mail.docx", "A 37723-2024")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45878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54154-2023</t>
        </is>
      </c>
      <c r="B45" s="1" t="n">
        <v>45232.45802083334</v>
      </c>
      <c r="C45" s="1" t="n">
        <v>45878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45878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45878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45878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54699-2021</t>
        </is>
      </c>
      <c r="B49" s="1" t="n">
        <v>44473</v>
      </c>
      <c r="C49" s="1" t="n">
        <v>45878</v>
      </c>
      <c r="D49" t="inlineStr">
        <is>
          <t>DALARNAS LÄN</t>
        </is>
      </c>
      <c r="E49" t="inlineStr">
        <is>
          <t>BORLÄNGE</t>
        </is>
      </c>
      <c r="F49" t="inlineStr">
        <is>
          <t>Naturvårdsverket</t>
        </is>
      </c>
      <c r="G49" t="n">
        <v>2.5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54699-2021 artfynd.xlsx", "A 54699-2021")</f>
        <v/>
      </c>
      <c r="T49">
        <f>HYPERLINK("https://klasma.github.io/Logging_2081/kartor/A 54699-2021 karta.png", "A 54699-2021")</f>
        <v/>
      </c>
      <c r="U49">
        <f>HYPERLINK("https://klasma.github.io/Logging_2081/knärot/A 54699-2021 karta knärot.png", "A 54699-2021")</f>
        <v/>
      </c>
      <c r="V49">
        <f>HYPERLINK("https://klasma.github.io/Logging_2081/klagomål/A 54699-2021 FSC-klagomål.docx", "A 54699-2021")</f>
        <v/>
      </c>
      <c r="W49">
        <f>HYPERLINK("https://klasma.github.io/Logging_2081/klagomålsmail/A 54699-2021 FSC-klagomål mail.docx", "A 54699-2021")</f>
        <v/>
      </c>
      <c r="X49">
        <f>HYPERLINK("https://klasma.github.io/Logging_2081/tillsyn/A 54699-2021 tillsynsbegäran.docx", "A 54699-2021")</f>
        <v/>
      </c>
      <c r="Y49">
        <f>HYPERLINK("https://klasma.github.io/Logging_2081/tillsynsmail/A 54699-2021 tillsynsbegäran mail.docx", "A 54699-2021")</f>
        <v/>
      </c>
    </row>
    <row r="50" ht="15" customHeight="1">
      <c r="A50" t="inlineStr">
        <is>
          <t>A 50164-2020</t>
        </is>
      </c>
      <c r="B50" s="1" t="n">
        <v>44104</v>
      </c>
      <c r="C50" s="1" t="n">
        <v>45878</v>
      </c>
      <c r="D50" t="inlineStr">
        <is>
          <t>DALARNAS LÄN</t>
        </is>
      </c>
      <c r="E50" t="inlineStr">
        <is>
          <t>BORLÄNGE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Bivråk</t>
        </is>
      </c>
      <c r="S50">
        <f>HYPERLINK("https://klasma.github.io/Logging_2081/artfynd/A 50164-2020 artfynd.xlsx", "A 50164-2020")</f>
        <v/>
      </c>
      <c r="T50">
        <f>HYPERLINK("https://klasma.github.io/Logging_2081/kartor/A 50164-2020 karta.png", "A 50164-2020")</f>
        <v/>
      </c>
      <c r="V50">
        <f>HYPERLINK("https://klasma.github.io/Logging_2081/klagomål/A 50164-2020 FSC-klagomål.docx", "A 50164-2020")</f>
        <v/>
      </c>
      <c r="W50">
        <f>HYPERLINK("https://klasma.github.io/Logging_2081/klagomålsmail/A 50164-2020 FSC-klagomål mail.docx", "A 50164-2020")</f>
        <v/>
      </c>
      <c r="X50">
        <f>HYPERLINK("https://klasma.github.io/Logging_2081/tillsyn/A 50164-2020 tillsynsbegäran.docx", "A 50164-2020")</f>
        <v/>
      </c>
      <c r="Y50">
        <f>HYPERLINK("https://klasma.github.io/Logging_2081/tillsynsmail/A 50164-2020 tillsynsbegäran mail.docx", "A 50164-2020")</f>
        <v/>
      </c>
      <c r="Z50">
        <f>HYPERLINK("https://klasma.github.io/Logging_2081/fåglar/A 50164-2020 prioriterade fågelarter.docx", "A 50164-2020")</f>
        <v/>
      </c>
    </row>
    <row r="51" ht="15" customHeight="1">
      <c r="A51" t="inlineStr">
        <is>
          <t>A 49776-2021</t>
        </is>
      </c>
      <c r="B51" s="1" t="n">
        <v>44454</v>
      </c>
      <c r="C51" s="1" t="n">
        <v>45878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49776-2021 artfynd.xlsx", "A 49776-2021")</f>
        <v/>
      </c>
      <c r="T51">
        <f>HYPERLINK("https://klasma.github.io/Logging_2081/kartor/A 49776-2021 karta.png", "A 49776-2021")</f>
        <v/>
      </c>
      <c r="V51">
        <f>HYPERLINK("https://klasma.github.io/Logging_2081/klagomål/A 49776-2021 FSC-klagomål.docx", "A 49776-2021")</f>
        <v/>
      </c>
      <c r="W51">
        <f>HYPERLINK("https://klasma.github.io/Logging_2081/klagomålsmail/A 49776-2021 FSC-klagomål mail.docx", "A 49776-2021")</f>
        <v/>
      </c>
      <c r="X51">
        <f>HYPERLINK("https://klasma.github.io/Logging_2081/tillsyn/A 49776-2021 tillsynsbegäran.docx", "A 49776-2021")</f>
        <v/>
      </c>
      <c r="Y51">
        <f>HYPERLINK("https://klasma.github.io/Logging_2081/tillsynsmail/A 49776-2021 tillsynsbegäran mail.docx", "A 49776-2021")</f>
        <v/>
      </c>
    </row>
    <row r="52" ht="15" customHeight="1">
      <c r="A52" t="inlineStr">
        <is>
          <t>A 53580-2021</t>
        </is>
      </c>
      <c r="B52" s="1" t="n">
        <v>44469.33269675926</v>
      </c>
      <c r="C52" s="1" t="n">
        <v>45878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HYPERLINK("https://klasma.github.io/Logging_2081/artfynd/A 53580-2021 artfynd.xlsx", "A 53580-2021")</f>
        <v/>
      </c>
      <c r="T52">
        <f>HYPERLINK("https://klasma.github.io/Logging_2081/kartor/A 53580-2021 karta.png", "A 53580-2021")</f>
        <v/>
      </c>
      <c r="V52">
        <f>HYPERLINK("https://klasma.github.io/Logging_2081/klagomål/A 53580-2021 FSC-klagomål.docx", "A 53580-2021")</f>
        <v/>
      </c>
      <c r="W52">
        <f>HYPERLINK("https://klasma.github.io/Logging_2081/klagomålsmail/A 53580-2021 FSC-klagomål mail.docx", "A 53580-2021")</f>
        <v/>
      </c>
      <c r="X52">
        <f>HYPERLINK("https://klasma.github.io/Logging_2081/tillsyn/A 53580-2021 tillsynsbegäran.docx", "A 53580-2021")</f>
        <v/>
      </c>
      <c r="Y52">
        <f>HYPERLINK("https://klasma.github.io/Logging_2081/tillsynsmail/A 53580-2021 tillsynsbegäran mail.docx", "A 53580-2021")</f>
        <v/>
      </c>
    </row>
    <row r="53" ht="15" customHeight="1">
      <c r="A53" t="inlineStr">
        <is>
          <t>A 35389-2022</t>
        </is>
      </c>
      <c r="B53" s="1" t="n">
        <v>44798</v>
      </c>
      <c r="C53" s="1" t="n">
        <v>45878</v>
      </c>
      <c r="D53" t="inlineStr">
        <is>
          <t>DALARNAS LÄN</t>
        </is>
      </c>
      <c r="E53" t="inlineStr">
        <is>
          <t>BORLÄNGE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35389-2022 artfynd.xlsx", "A 35389-2022")</f>
        <v/>
      </c>
      <c r="T53">
        <f>HYPERLINK("https://klasma.github.io/Logging_2081/kartor/A 35389-2022 karta.png", "A 35389-2022")</f>
        <v/>
      </c>
      <c r="V53">
        <f>HYPERLINK("https://klasma.github.io/Logging_2081/klagomål/A 35389-2022 FSC-klagomål.docx", "A 35389-2022")</f>
        <v/>
      </c>
      <c r="W53">
        <f>HYPERLINK("https://klasma.github.io/Logging_2081/klagomålsmail/A 35389-2022 FSC-klagomål mail.docx", "A 35389-2022")</f>
        <v/>
      </c>
      <c r="X53">
        <f>HYPERLINK("https://klasma.github.io/Logging_2081/tillsyn/A 35389-2022 tillsynsbegäran.docx", "A 35389-2022")</f>
        <v/>
      </c>
      <c r="Y53">
        <f>HYPERLINK("https://klasma.github.io/Logging_2081/tillsynsmail/A 35389-2022 tillsynsbegäran mail.docx", "A 35389-2022")</f>
        <v/>
      </c>
    </row>
    <row r="54" ht="15" customHeight="1">
      <c r="A54" t="inlineStr">
        <is>
          <t>A 21131-2023</t>
        </is>
      </c>
      <c r="B54" s="1" t="n">
        <v>45062</v>
      </c>
      <c r="C54" s="1" t="n">
        <v>45878</v>
      </c>
      <c r="D54" t="inlineStr">
        <is>
          <t>DALARNAS LÄN</t>
        </is>
      </c>
      <c r="E54" t="inlineStr">
        <is>
          <t>BORLÄNGE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21131-2023 artfynd.xlsx", "A 21131-2023")</f>
        <v/>
      </c>
      <c r="T54">
        <f>HYPERLINK("https://klasma.github.io/Logging_2081/kartor/A 21131-2023 karta.png", "A 21131-2023")</f>
        <v/>
      </c>
      <c r="V54">
        <f>HYPERLINK("https://klasma.github.io/Logging_2081/klagomål/A 21131-2023 FSC-klagomål.docx", "A 21131-2023")</f>
        <v/>
      </c>
      <c r="W54">
        <f>HYPERLINK("https://klasma.github.io/Logging_2081/klagomålsmail/A 21131-2023 FSC-klagomål mail.docx", "A 21131-2023")</f>
        <v/>
      </c>
      <c r="X54">
        <f>HYPERLINK("https://klasma.github.io/Logging_2081/tillsyn/A 21131-2023 tillsynsbegäran.docx", "A 21131-2023")</f>
        <v/>
      </c>
      <c r="Y54">
        <f>HYPERLINK("https://klasma.github.io/Logging_2081/tillsynsmail/A 21131-2023 tillsynsbegäran mail.docx", "A 21131-2023")</f>
        <v/>
      </c>
    </row>
    <row r="55" ht="15" customHeight="1">
      <c r="A55" t="inlineStr">
        <is>
          <t>A 38708-2021</t>
        </is>
      </c>
      <c r="B55" s="1" t="n">
        <v>44410</v>
      </c>
      <c r="C55" s="1" t="n">
        <v>45878</v>
      </c>
      <c r="D55" t="inlineStr">
        <is>
          <t>DALARNAS LÄN</t>
        </is>
      </c>
      <c r="E55" t="inlineStr">
        <is>
          <t>BORLÄNGE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Äggvaxskivling</t>
        </is>
      </c>
      <c r="S55">
        <f>HYPERLINK("https://klasma.github.io/Logging_2081/artfynd/A 38708-2021 artfynd.xlsx", "A 38708-2021")</f>
        <v/>
      </c>
      <c r="T55">
        <f>HYPERLINK("https://klasma.github.io/Logging_2081/kartor/A 38708-2021 karta.png", "A 38708-2021")</f>
        <v/>
      </c>
      <c r="V55">
        <f>HYPERLINK("https://klasma.github.io/Logging_2081/klagomål/A 38708-2021 FSC-klagomål.docx", "A 38708-2021")</f>
        <v/>
      </c>
      <c r="W55">
        <f>HYPERLINK("https://klasma.github.io/Logging_2081/klagomålsmail/A 38708-2021 FSC-klagomål mail.docx", "A 38708-2021")</f>
        <v/>
      </c>
      <c r="X55">
        <f>HYPERLINK("https://klasma.github.io/Logging_2081/tillsyn/A 38708-2021 tillsynsbegäran.docx", "A 38708-2021")</f>
        <v/>
      </c>
      <c r="Y55">
        <f>HYPERLINK("https://klasma.github.io/Logging_2081/tillsynsmail/A 38708-2021 tillsynsbegäran mail.docx", "A 38708-2021")</f>
        <v/>
      </c>
    </row>
    <row r="56" ht="15" customHeight="1">
      <c r="A56" t="inlineStr">
        <is>
          <t>A 18971-2024</t>
        </is>
      </c>
      <c r="B56" s="1" t="n">
        <v>45427.56424768519</v>
      </c>
      <c r="C56" s="1" t="n">
        <v>45878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18971-2024 artfynd.xlsx", "A 18971-2024")</f>
        <v/>
      </c>
      <c r="T56">
        <f>HYPERLINK("https://klasma.github.io/Logging_2081/kartor/A 18971-2024 karta.png", "A 18971-2024")</f>
        <v/>
      </c>
      <c r="U56">
        <f>HYPERLINK("https://klasma.github.io/Logging_2081/knärot/A 18971-2024 karta knärot.png", "A 18971-2024")</f>
        <v/>
      </c>
      <c r="V56">
        <f>HYPERLINK("https://klasma.github.io/Logging_2081/klagomål/A 18971-2024 FSC-klagomål.docx", "A 18971-2024")</f>
        <v/>
      </c>
      <c r="W56">
        <f>HYPERLINK("https://klasma.github.io/Logging_2081/klagomålsmail/A 18971-2024 FSC-klagomål mail.docx", "A 18971-2024")</f>
        <v/>
      </c>
      <c r="X56">
        <f>HYPERLINK("https://klasma.github.io/Logging_2081/tillsyn/A 18971-2024 tillsynsbegäran.docx", "A 18971-2024")</f>
        <v/>
      </c>
      <c r="Y56">
        <f>HYPERLINK("https://klasma.github.io/Logging_2081/tillsynsmail/A 18971-2024 tillsynsbegäran mail.docx", "A 18971-2024")</f>
        <v/>
      </c>
    </row>
    <row r="57" ht="15" customHeight="1">
      <c r="A57" t="inlineStr">
        <is>
          <t>A 58609-2023</t>
        </is>
      </c>
      <c r="B57" s="1" t="n">
        <v>45251</v>
      </c>
      <c r="C57" s="1" t="n">
        <v>45878</v>
      </c>
      <c r="D57" t="inlineStr">
        <is>
          <t>DALARNAS LÄN</t>
        </is>
      </c>
      <c r="E57" t="inlineStr">
        <is>
          <t>BORLÄNGE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HYPERLINK("https://klasma.github.io/Logging_2081/artfynd/A 58609-2023 artfynd.xlsx", "A 58609-2023")</f>
        <v/>
      </c>
      <c r="T57">
        <f>HYPERLINK("https://klasma.github.io/Logging_2081/kartor/A 58609-2023 karta.png", "A 58609-2023")</f>
        <v/>
      </c>
      <c r="V57">
        <f>HYPERLINK("https://klasma.github.io/Logging_2081/klagomål/A 58609-2023 FSC-klagomål.docx", "A 58609-2023")</f>
        <v/>
      </c>
      <c r="W57">
        <f>HYPERLINK("https://klasma.github.io/Logging_2081/klagomålsmail/A 58609-2023 FSC-klagomål mail.docx", "A 58609-2023")</f>
        <v/>
      </c>
      <c r="X57">
        <f>HYPERLINK("https://klasma.github.io/Logging_2081/tillsyn/A 58609-2023 tillsynsbegäran.docx", "A 58609-2023")</f>
        <v/>
      </c>
      <c r="Y57">
        <f>HYPERLINK("https://klasma.github.io/Logging_2081/tillsynsmail/A 58609-2023 tillsynsbegäran mail.docx", "A 58609-2023")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45878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30870-2024</t>
        </is>
      </c>
      <c r="B59" s="1" t="n">
        <v>45497.8249074074</v>
      </c>
      <c r="C59" s="1" t="n">
        <v>45878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30870-2024 artfynd.xlsx", "A 30870-2024")</f>
        <v/>
      </c>
      <c r="T59">
        <f>HYPERLINK("https://klasma.github.io/Logging_2081/kartor/A 30870-2024 karta.png", "A 30870-2024")</f>
        <v/>
      </c>
      <c r="U59">
        <f>HYPERLINK("https://klasma.github.io/Logging_2081/knärot/A 30870-2024 karta knärot.png", "A 30870-2024")</f>
        <v/>
      </c>
      <c r="V59">
        <f>HYPERLINK("https://klasma.github.io/Logging_2081/klagomål/A 30870-2024 FSC-klagomål.docx", "A 30870-2024")</f>
        <v/>
      </c>
      <c r="W59">
        <f>HYPERLINK("https://klasma.github.io/Logging_2081/klagomålsmail/A 30870-2024 FSC-klagomål mail.docx", "A 30870-2024")</f>
        <v/>
      </c>
      <c r="X59">
        <f>HYPERLINK("https://klasma.github.io/Logging_2081/tillsyn/A 30870-2024 tillsynsbegäran.docx", "A 30870-2024")</f>
        <v/>
      </c>
      <c r="Y59">
        <f>HYPERLINK("https://klasma.github.io/Logging_2081/tillsynsmail/A 30870-2024 tillsynsbegäran mail.docx", "A 30870-2024")</f>
        <v/>
      </c>
    </row>
    <row r="60" ht="15" customHeight="1">
      <c r="A60" t="inlineStr">
        <is>
          <t>A 23800-2025</t>
        </is>
      </c>
      <c r="B60" s="1" t="n">
        <v>45793</v>
      </c>
      <c r="C60" s="1" t="n">
        <v>45878</v>
      </c>
      <c r="D60" t="inlineStr">
        <is>
          <t>DALARNAS LÄN</t>
        </is>
      </c>
      <c r="E60" t="inlineStr">
        <is>
          <t>BORLÄNGE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Sotriska</t>
        </is>
      </c>
      <c r="S60">
        <f>HYPERLINK("https://klasma.github.io/Logging_2081/artfynd/A 23800-2025 artfynd.xlsx", "A 23800-2025")</f>
        <v/>
      </c>
      <c r="T60">
        <f>HYPERLINK("https://klasma.github.io/Logging_2081/kartor/A 23800-2025 karta.png", "A 23800-2025")</f>
        <v/>
      </c>
      <c r="V60">
        <f>HYPERLINK("https://klasma.github.io/Logging_2081/klagomål/A 23800-2025 FSC-klagomål.docx", "A 23800-2025")</f>
        <v/>
      </c>
      <c r="W60">
        <f>HYPERLINK("https://klasma.github.io/Logging_2081/klagomålsmail/A 23800-2025 FSC-klagomål mail.docx", "A 23800-2025")</f>
        <v/>
      </c>
      <c r="X60">
        <f>HYPERLINK("https://klasma.github.io/Logging_2081/tillsyn/A 23800-2025 tillsynsbegäran.docx", "A 23800-2025")</f>
        <v/>
      </c>
      <c r="Y60">
        <f>HYPERLINK("https://klasma.github.io/Logging_2081/tillsynsmail/A 23800-2025 tillsynsbegäran mail.docx", "A 23800-2025")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45878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24761-2025</t>
        </is>
      </c>
      <c r="B62" s="1" t="n">
        <v>45799</v>
      </c>
      <c r="C62" s="1" t="n">
        <v>45878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HYPERLINK("https://klasma.github.io/Logging_2081/artfynd/A 24761-2025 artfynd.xlsx", "A 24761-2025")</f>
        <v/>
      </c>
      <c r="T62">
        <f>HYPERLINK("https://klasma.github.io/Logging_2081/kartor/A 24761-2025 karta.png", "A 24761-2025")</f>
        <v/>
      </c>
      <c r="V62">
        <f>HYPERLINK("https://klasma.github.io/Logging_2081/klagomål/A 24761-2025 FSC-klagomål.docx", "A 24761-2025")</f>
        <v/>
      </c>
      <c r="W62">
        <f>HYPERLINK("https://klasma.github.io/Logging_2081/klagomålsmail/A 24761-2025 FSC-klagomål mail.docx", "A 24761-2025")</f>
        <v/>
      </c>
      <c r="X62">
        <f>HYPERLINK("https://klasma.github.io/Logging_2081/tillsyn/A 24761-2025 tillsynsbegäran.docx", "A 24761-2025")</f>
        <v/>
      </c>
      <c r="Y62">
        <f>HYPERLINK("https://klasma.github.io/Logging_2081/tillsynsmail/A 24761-2025 tillsynsbegäran mail.docx", "A 24761-2025")</f>
        <v/>
      </c>
    </row>
    <row r="63" ht="15" customHeight="1">
      <c r="A63" t="inlineStr">
        <is>
          <t>A 33694-2022</t>
        </is>
      </c>
      <c r="B63" s="1" t="n">
        <v>44789.67186342592</v>
      </c>
      <c r="C63" s="1" t="n">
        <v>45878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33694-2022 artfynd.xlsx", "A 33694-2022")</f>
        <v/>
      </c>
      <c r="T63">
        <f>HYPERLINK("https://klasma.github.io/Logging_2081/kartor/A 33694-2022 karta.png", "A 33694-2022")</f>
        <v/>
      </c>
      <c r="U63">
        <f>HYPERLINK("https://klasma.github.io/Logging_2081/knärot/A 33694-2022 karta knärot.png", "A 33694-2022")</f>
        <v/>
      </c>
      <c r="V63">
        <f>HYPERLINK("https://klasma.github.io/Logging_2081/klagomål/A 33694-2022 FSC-klagomål.docx", "A 33694-2022")</f>
        <v/>
      </c>
      <c r="W63">
        <f>HYPERLINK("https://klasma.github.io/Logging_2081/klagomålsmail/A 33694-2022 FSC-klagomål mail.docx", "A 33694-2022")</f>
        <v/>
      </c>
      <c r="X63">
        <f>HYPERLINK("https://klasma.github.io/Logging_2081/tillsyn/A 33694-2022 tillsynsbegäran.docx", "A 33694-2022")</f>
        <v/>
      </c>
      <c r="Y63">
        <f>HYPERLINK("https://klasma.github.io/Logging_2081/tillsynsmail/A 33694-2022 tillsynsbegäran mail.docx", "A 33694-2022")</f>
        <v/>
      </c>
    </row>
    <row r="64" ht="15" customHeight="1">
      <c r="A64" t="inlineStr">
        <is>
          <t>A 33512-2025</t>
        </is>
      </c>
      <c r="B64" s="1" t="n">
        <v>45841</v>
      </c>
      <c r="C64" s="1" t="n">
        <v>45878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33512-2025 artfynd.xlsx", "A 33512-2025")</f>
        <v/>
      </c>
      <c r="T64">
        <f>HYPERLINK("https://klasma.github.io/Logging_2081/kartor/A 33512-2025 karta.png", "A 33512-2025")</f>
        <v/>
      </c>
      <c r="U64">
        <f>HYPERLINK("https://klasma.github.io/Logging_2081/knärot/A 33512-2025 karta knärot.png", "A 33512-2025")</f>
        <v/>
      </c>
      <c r="V64">
        <f>HYPERLINK("https://klasma.github.io/Logging_2081/klagomål/A 33512-2025 FSC-klagomål.docx", "A 33512-2025")</f>
        <v/>
      </c>
      <c r="W64">
        <f>HYPERLINK("https://klasma.github.io/Logging_2081/klagomålsmail/A 33512-2025 FSC-klagomål mail.docx", "A 33512-2025")</f>
        <v/>
      </c>
      <c r="X64">
        <f>HYPERLINK("https://klasma.github.io/Logging_2081/tillsyn/A 33512-2025 tillsynsbegäran.docx", "A 33512-2025")</f>
        <v/>
      </c>
      <c r="Y64">
        <f>HYPERLINK("https://klasma.github.io/Logging_2081/tillsynsmail/A 33512-2025 tillsynsbegäran mail.docx", "A 33512-2025")</f>
        <v/>
      </c>
    </row>
    <row r="65" ht="15" customHeight="1">
      <c r="A65" t="inlineStr">
        <is>
          <t>A 28667-2025</t>
        </is>
      </c>
      <c r="B65" s="1" t="n">
        <v>45819.66582175926</v>
      </c>
      <c r="C65" s="1" t="n">
        <v>45878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HYPERLINK("https://klasma.github.io/Logging_2081/artfynd/A 28667-2025 artfynd.xlsx", "A 28667-2025")</f>
        <v/>
      </c>
      <c r="T65">
        <f>HYPERLINK("https://klasma.github.io/Logging_2081/kartor/A 28667-2025 karta.png", "A 28667-2025")</f>
        <v/>
      </c>
      <c r="V65">
        <f>HYPERLINK("https://klasma.github.io/Logging_2081/klagomål/A 28667-2025 FSC-klagomål.docx", "A 28667-2025")</f>
        <v/>
      </c>
      <c r="W65">
        <f>HYPERLINK("https://klasma.github.io/Logging_2081/klagomålsmail/A 28667-2025 FSC-klagomål mail.docx", "A 28667-2025")</f>
        <v/>
      </c>
      <c r="X65">
        <f>HYPERLINK("https://klasma.github.io/Logging_2081/tillsyn/A 28667-2025 tillsynsbegäran.docx", "A 28667-2025")</f>
        <v/>
      </c>
      <c r="Y65">
        <f>HYPERLINK("https://klasma.github.io/Logging_2081/tillsynsmail/A 28667-2025 tillsynsbegäran mail.docx", "A 28667-2025")</f>
        <v/>
      </c>
      <c r="Z65">
        <f>HYPERLINK("https://klasma.github.io/Logging_2081/fåglar/A 28667-2025 prioriterade fågelarter.docx", "A 28667-2025")</f>
        <v/>
      </c>
    </row>
    <row r="66" ht="15" customHeight="1">
      <c r="A66" t="inlineStr">
        <is>
          <t>A 19035-2025</t>
        </is>
      </c>
      <c r="B66" s="1" t="n">
        <v>45764</v>
      </c>
      <c r="C66" s="1" t="n">
        <v>45878</v>
      </c>
      <c r="D66" t="inlineStr">
        <is>
          <t>DALARNAS LÄN</t>
        </is>
      </c>
      <c r="E66" t="inlineStr">
        <is>
          <t>BORLÄNGE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19035-2025 artfynd.xlsx", "A 19035-2025")</f>
        <v/>
      </c>
      <c r="T66">
        <f>HYPERLINK("https://klasma.github.io/Logging_2081/kartor/A 19035-2025 karta.png", "A 19035-2025")</f>
        <v/>
      </c>
      <c r="V66">
        <f>HYPERLINK("https://klasma.github.io/Logging_2081/klagomål/A 19035-2025 FSC-klagomål.docx", "A 19035-2025")</f>
        <v/>
      </c>
      <c r="W66">
        <f>HYPERLINK("https://klasma.github.io/Logging_2081/klagomålsmail/A 19035-2025 FSC-klagomål mail.docx", "A 19035-2025")</f>
        <v/>
      </c>
      <c r="X66">
        <f>HYPERLINK("https://klasma.github.io/Logging_2081/tillsyn/A 19035-2025 tillsynsbegäran.docx", "A 19035-2025")</f>
        <v/>
      </c>
      <c r="Y66">
        <f>HYPERLINK("https://klasma.github.io/Logging_2081/tillsynsmail/A 19035-2025 tillsynsbegäran mail.docx", "A 19035-2025")</f>
        <v/>
      </c>
    </row>
    <row r="67" ht="15" customHeight="1">
      <c r="A67" t="inlineStr">
        <is>
          <t>A 14724-2025</t>
        </is>
      </c>
      <c r="B67" s="1" t="n">
        <v>45742.62967592593</v>
      </c>
      <c r="C67" s="1" t="n">
        <v>45878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HYPERLINK("https://klasma.github.io/Logging_2081/artfynd/A 14724-2025 artfynd.xlsx", "A 14724-2025")</f>
        <v/>
      </c>
      <c r="T67">
        <f>HYPERLINK("https://klasma.github.io/Logging_2081/kartor/A 14724-2025 karta.png", "A 14724-2025")</f>
        <v/>
      </c>
      <c r="V67">
        <f>HYPERLINK("https://klasma.github.io/Logging_2081/klagomål/A 14724-2025 FSC-klagomål.docx", "A 14724-2025")</f>
        <v/>
      </c>
      <c r="W67">
        <f>HYPERLINK("https://klasma.github.io/Logging_2081/klagomålsmail/A 14724-2025 FSC-klagomål mail.docx", "A 14724-2025")</f>
        <v/>
      </c>
      <c r="X67">
        <f>HYPERLINK("https://klasma.github.io/Logging_2081/tillsyn/A 14724-2025 tillsynsbegäran.docx", "A 14724-2025")</f>
        <v/>
      </c>
      <c r="Y67">
        <f>HYPERLINK("https://klasma.github.io/Logging_2081/tillsynsmail/A 14724-2025 tillsynsbegäran mail.docx", "A 14724-2025")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45878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45878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28395-2021</t>
        </is>
      </c>
      <c r="B70" s="1" t="n">
        <v>44356.46612268518</v>
      </c>
      <c r="C70" s="1" t="n">
        <v>45878</v>
      </c>
      <c r="D70" t="inlineStr">
        <is>
          <t>DALARNAS LÄN</t>
        </is>
      </c>
      <c r="E70" t="inlineStr">
        <is>
          <t>BORLÄNGE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60899-2020</t>
        </is>
      </c>
      <c r="B71" s="1" t="n">
        <v>44154</v>
      </c>
      <c r="C71" s="1" t="n">
        <v>45878</v>
      </c>
      <c r="D71" t="inlineStr">
        <is>
          <t>DALARNAS LÄN</t>
        </is>
      </c>
      <c r="E71" t="inlineStr">
        <is>
          <t>BORLÄNGE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2008-2022</t>
        </is>
      </c>
      <c r="B72" s="1" t="n">
        <v>44575</v>
      </c>
      <c r="C72" s="1" t="n">
        <v>45878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22983-2022</t>
        </is>
      </c>
      <c r="B73" s="1" t="n">
        <v>44717</v>
      </c>
      <c r="C73" s="1" t="n">
        <v>45878</v>
      </c>
      <c r="D73" t="inlineStr">
        <is>
          <t>DALARNAS LÄN</t>
        </is>
      </c>
      <c r="E73" t="inlineStr">
        <is>
          <t>BORLÄNGE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41638-2022</t>
        </is>
      </c>
      <c r="B74" s="1" t="n">
        <v>44827.49356481482</v>
      </c>
      <c r="C74" s="1" t="n">
        <v>45878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55698-2022</t>
        </is>
      </c>
      <c r="B75" s="1" t="n">
        <v>44888.54236111111</v>
      </c>
      <c r="C75" s="1" t="n">
        <v>45878</v>
      </c>
      <c r="D75" t="inlineStr">
        <is>
          <t>DALARNAS LÄN</t>
        </is>
      </c>
      <c r="E75" t="inlineStr">
        <is>
          <t>BORLÄNGE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45878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35592-2022</t>
        </is>
      </c>
      <c r="B77" s="1" t="n">
        <v>44799</v>
      </c>
      <c r="C77" s="1" t="n">
        <v>45878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10421-2022</t>
        </is>
      </c>
      <c r="B78" s="1" t="n">
        <v>44623</v>
      </c>
      <c r="C78" s="1" t="n">
        <v>45878</v>
      </c>
      <c r="D78" t="inlineStr">
        <is>
          <t>DALARNAS LÄN</t>
        </is>
      </c>
      <c r="E78" t="inlineStr">
        <is>
          <t>BORLÄNGE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44118-2020</t>
        </is>
      </c>
      <c r="B79" s="1" t="n">
        <v>44083.68061342592</v>
      </c>
      <c r="C79" s="1" t="n">
        <v>45878</v>
      </c>
      <c r="D79" t="inlineStr">
        <is>
          <t>DALARNAS LÄN</t>
        </is>
      </c>
      <c r="E79" t="inlineStr">
        <is>
          <t>BORLÄNGE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45878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45878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45878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45878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45878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45878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45878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45878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45878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45878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45878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45878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45878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45878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45878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45878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45878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45878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45878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58625-2020</t>
        </is>
      </c>
      <c r="B99" s="1" t="n">
        <v>44145</v>
      </c>
      <c r="C99" s="1" t="n">
        <v>45878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50459-2020</t>
        </is>
      </c>
      <c r="B100" s="1" t="n">
        <v>44110</v>
      </c>
      <c r="C100" s="1" t="n">
        <v>45878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45878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45878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45878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45878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45878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45878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45878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45878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45878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45878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45878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45878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45878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45878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45878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45878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45878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45878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45878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45878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45878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45878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45878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45878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45878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32243-2022</t>
        </is>
      </c>
      <c r="B126" s="1" t="n">
        <v>44781.47965277778</v>
      </c>
      <c r="C126" s="1" t="n">
        <v>45878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45878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49737-2021</t>
        </is>
      </c>
      <c r="B128" s="1" t="n">
        <v>44454</v>
      </c>
      <c r="C128" s="1" t="n">
        <v>45878</v>
      </c>
      <c r="D128" t="inlineStr">
        <is>
          <t>DALARNAS LÄN</t>
        </is>
      </c>
      <c r="E128" t="inlineStr">
        <is>
          <t>BORLÄNGE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16413-2021</t>
        </is>
      </c>
      <c r="B129" s="1" t="n">
        <v>44293</v>
      </c>
      <c r="C129" s="1" t="n">
        <v>45878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35593-2022</t>
        </is>
      </c>
      <c r="B130" s="1" t="n">
        <v>44799</v>
      </c>
      <c r="C130" s="1" t="n">
        <v>45878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27423-2022</t>
        </is>
      </c>
      <c r="B131" s="1" t="n">
        <v>44742.52592592593</v>
      </c>
      <c r="C131" s="1" t="n">
        <v>45878</v>
      </c>
      <c r="D131" t="inlineStr">
        <is>
          <t>DALARNAS LÄN</t>
        </is>
      </c>
      <c r="E131" t="inlineStr">
        <is>
          <t>BORLÄNGE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3978-2022</t>
        </is>
      </c>
      <c r="B132" s="1" t="n">
        <v>44587</v>
      </c>
      <c r="C132" s="1" t="n">
        <v>45878</v>
      </c>
      <c r="D132" t="inlineStr">
        <is>
          <t>DALARNAS LÄN</t>
        </is>
      </c>
      <c r="E132" t="inlineStr">
        <is>
          <t>BORLÄNGE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36544-2022</t>
        </is>
      </c>
      <c r="B133" s="1" t="n">
        <v>44804</v>
      </c>
      <c r="C133" s="1" t="n">
        <v>45878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72647-2021</t>
        </is>
      </c>
      <c r="B134" s="1" t="n">
        <v>44546.58559027778</v>
      </c>
      <c r="C134" s="1" t="n">
        <v>45878</v>
      </c>
      <c r="D134" t="inlineStr">
        <is>
          <t>DALARNAS LÄN</t>
        </is>
      </c>
      <c r="E134" t="inlineStr">
        <is>
          <t>BORLÄNGE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39449-2020</t>
        </is>
      </c>
      <c r="B135" s="1" t="n">
        <v>44064</v>
      </c>
      <c r="C135" s="1" t="n">
        <v>45878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34323-2022</t>
        </is>
      </c>
      <c r="B136" s="1" t="n">
        <v>44792</v>
      </c>
      <c r="C136" s="1" t="n">
        <v>45878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36759-2022</t>
        </is>
      </c>
      <c r="B137" s="1" t="n">
        <v>44805</v>
      </c>
      <c r="C137" s="1" t="n">
        <v>45878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42478-2021</t>
        </is>
      </c>
      <c r="B138" s="1" t="n">
        <v>44427</v>
      </c>
      <c r="C138" s="1" t="n">
        <v>45878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48511-2021</t>
        </is>
      </c>
      <c r="B139" s="1" t="n">
        <v>44452</v>
      </c>
      <c r="C139" s="1" t="n">
        <v>45878</v>
      </c>
      <c r="D139" t="inlineStr">
        <is>
          <t>DALARNAS LÄN</t>
        </is>
      </c>
      <c r="E139" t="inlineStr">
        <is>
          <t>BORLÄNGE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45878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35357-2022</t>
        </is>
      </c>
      <c r="B141" s="1" t="n">
        <v>44798</v>
      </c>
      <c r="C141" s="1" t="n">
        <v>45878</v>
      </c>
      <c r="D141" t="inlineStr">
        <is>
          <t>DALARNAS LÄN</t>
        </is>
      </c>
      <c r="E141" t="inlineStr">
        <is>
          <t>BORLÄNGE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34320-2022</t>
        </is>
      </c>
      <c r="B142" s="1" t="n">
        <v>44792</v>
      </c>
      <c r="C142" s="1" t="n">
        <v>45878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24992-2021</t>
        </is>
      </c>
      <c r="B143" s="1" t="n">
        <v>44341</v>
      </c>
      <c r="C143" s="1" t="n">
        <v>45878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24317-2021</t>
        </is>
      </c>
      <c r="B144" s="1" t="n">
        <v>44337.3552662037</v>
      </c>
      <c r="C144" s="1" t="n">
        <v>45878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48493-2021</t>
        </is>
      </c>
      <c r="B145" s="1" t="n">
        <v>44452</v>
      </c>
      <c r="C145" s="1" t="n">
        <v>45878</v>
      </c>
      <c r="D145" t="inlineStr">
        <is>
          <t>DALARNAS LÄN</t>
        </is>
      </c>
      <c r="E145" t="inlineStr">
        <is>
          <t>BORLÄNGE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24961-2021</t>
        </is>
      </c>
      <c r="B146" s="1" t="n">
        <v>44341.47728009259</v>
      </c>
      <c r="C146" s="1" t="n">
        <v>45878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13421-2021</t>
        </is>
      </c>
      <c r="B147" s="1" t="n">
        <v>44273.52013888889</v>
      </c>
      <c r="C147" s="1" t="n">
        <v>45878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14622-2021</t>
        </is>
      </c>
      <c r="B148" s="1" t="n">
        <v>44280</v>
      </c>
      <c r="C148" s="1" t="n">
        <v>45878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22363-2022</t>
        </is>
      </c>
      <c r="B149" s="1" t="n">
        <v>44713</v>
      </c>
      <c r="C149" s="1" t="n">
        <v>45878</v>
      </c>
      <c r="D149" t="inlineStr">
        <is>
          <t>DALARNAS LÄN</t>
        </is>
      </c>
      <c r="E149" t="inlineStr">
        <is>
          <t>BORLÄNGE</t>
        </is>
      </c>
      <c r="F149" t="inlineStr">
        <is>
          <t>Naturvårdsverket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69798-2021</t>
        </is>
      </c>
      <c r="B150" s="1" t="n">
        <v>44532.61158564815</v>
      </c>
      <c r="C150" s="1" t="n">
        <v>45878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5058-2021</t>
        </is>
      </c>
      <c r="B151" s="1" t="n">
        <v>44228</v>
      </c>
      <c r="C151" s="1" t="n">
        <v>45878</v>
      </c>
      <c r="D151" t="inlineStr">
        <is>
          <t>DALARNAS LÄN</t>
        </is>
      </c>
      <c r="E151" t="inlineStr">
        <is>
          <t>BORLÄNGE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45878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45878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49938-2023</t>
        </is>
      </c>
      <c r="B154" s="1" t="n">
        <v>45215</v>
      </c>
      <c r="C154" s="1" t="n">
        <v>45878</v>
      </c>
      <c r="D154" t="inlineStr">
        <is>
          <t>DALARNAS LÄN</t>
        </is>
      </c>
      <c r="E154" t="inlineStr">
        <is>
          <t>BORLÄNGE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60342-2021</t>
        </is>
      </c>
      <c r="B155" s="1" t="n">
        <v>44495</v>
      </c>
      <c r="C155" s="1" t="n">
        <v>45878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21322-2022</t>
        </is>
      </c>
      <c r="B156" s="1" t="n">
        <v>44705</v>
      </c>
      <c r="C156" s="1" t="n">
        <v>45878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15168-2025</t>
        </is>
      </c>
      <c r="B157" s="1" t="n">
        <v>45744.49254629629</v>
      </c>
      <c r="C157" s="1" t="n">
        <v>45878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1165-2025</t>
        </is>
      </c>
      <c r="B158" s="1" t="n">
        <v>45666.93265046296</v>
      </c>
      <c r="C158" s="1" t="n">
        <v>45878</v>
      </c>
      <c r="D158" t="inlineStr">
        <is>
          <t>DALARNAS LÄN</t>
        </is>
      </c>
      <c r="E158" t="inlineStr">
        <is>
          <t>BORLÄNGE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61288-2021</t>
        </is>
      </c>
      <c r="B159" s="1" t="n">
        <v>44498.61825231482</v>
      </c>
      <c r="C159" s="1" t="n">
        <v>45878</v>
      </c>
      <c r="D159" t="inlineStr">
        <is>
          <t>DALARNAS LÄN</t>
        </is>
      </c>
      <c r="E159" t="inlineStr">
        <is>
          <t>BORLÄNGE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40922-2021</t>
        </is>
      </c>
      <c r="B160" s="1" t="n">
        <v>44421.50993055556</v>
      </c>
      <c r="C160" s="1" t="n">
        <v>45878</v>
      </c>
      <c r="D160" t="inlineStr">
        <is>
          <t>DALARNAS LÄN</t>
        </is>
      </c>
      <c r="E160" t="inlineStr">
        <is>
          <t>BORLÄNGE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1492-2025</t>
        </is>
      </c>
      <c r="B161" s="1" t="n">
        <v>45670.40074074074</v>
      </c>
      <c r="C161" s="1" t="n">
        <v>45878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24284-2021</t>
        </is>
      </c>
      <c r="B162" s="1" t="n">
        <v>44337.31189814815</v>
      </c>
      <c r="C162" s="1" t="n">
        <v>45878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32428-2024</t>
        </is>
      </c>
      <c r="B163" s="1" t="n">
        <v>45512.80895833333</v>
      </c>
      <c r="C163" s="1" t="n">
        <v>45878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4785-2025</t>
        </is>
      </c>
      <c r="B164" s="1" t="n">
        <v>45688</v>
      </c>
      <c r="C164" s="1" t="n">
        <v>45878</v>
      </c>
      <c r="D164" t="inlineStr">
        <is>
          <t>DALARNAS LÄN</t>
        </is>
      </c>
      <c r="E164" t="inlineStr">
        <is>
          <t>BORLÄNGE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5529-2025</t>
        </is>
      </c>
      <c r="B165" s="1" t="n">
        <v>45693.43435185185</v>
      </c>
      <c r="C165" s="1" t="n">
        <v>45878</v>
      </c>
      <c r="D165" t="inlineStr">
        <is>
          <t>DALARNAS LÄN</t>
        </is>
      </c>
      <c r="E165" t="inlineStr">
        <is>
          <t>BORLÄNGE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10498-2023</t>
        </is>
      </c>
      <c r="B166" s="1" t="n">
        <v>44987</v>
      </c>
      <c r="C166" s="1" t="n">
        <v>45878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8489-2025</t>
        </is>
      </c>
      <c r="B167" s="1" t="n">
        <v>45709.50549768518</v>
      </c>
      <c r="C167" s="1" t="n">
        <v>45878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58616-2023</t>
        </is>
      </c>
      <c r="B168" s="1" t="n">
        <v>45251</v>
      </c>
      <c r="C168" s="1" t="n">
        <v>45878</v>
      </c>
      <c r="D168" t="inlineStr">
        <is>
          <t>DALARNAS LÄN</t>
        </is>
      </c>
      <c r="E168" t="inlineStr">
        <is>
          <t>BORLÄNGE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51862-2023</t>
        </is>
      </c>
      <c r="B169" s="1" t="n">
        <v>45223</v>
      </c>
      <c r="C169" s="1" t="n">
        <v>45878</v>
      </c>
      <c r="D169" t="inlineStr">
        <is>
          <t>DALARNAS LÄN</t>
        </is>
      </c>
      <c r="E169" t="inlineStr">
        <is>
          <t>BORLÄNGE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43944-2021</t>
        </is>
      </c>
      <c r="B170" s="1" t="n">
        <v>44434</v>
      </c>
      <c r="C170" s="1" t="n">
        <v>45878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40570-2021</t>
        </is>
      </c>
      <c r="B171" s="1" t="n">
        <v>44420</v>
      </c>
      <c r="C171" s="1" t="n">
        <v>45878</v>
      </c>
      <c r="D171" t="inlineStr">
        <is>
          <t>DALARNAS LÄN</t>
        </is>
      </c>
      <c r="E171" t="inlineStr">
        <is>
          <t>BORLÄNGE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18152-2025</t>
        </is>
      </c>
      <c r="B172" s="1" t="n">
        <v>45761.6196412037</v>
      </c>
      <c r="C172" s="1" t="n">
        <v>45878</v>
      </c>
      <c r="D172" t="inlineStr">
        <is>
          <t>DALARNAS LÄN</t>
        </is>
      </c>
      <c r="E172" t="inlineStr">
        <is>
          <t>BORLÄNGE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37708-2024</t>
        </is>
      </c>
      <c r="B173" s="1" t="n">
        <v>45541.62574074074</v>
      </c>
      <c r="C173" s="1" t="n">
        <v>45878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37722-2024</t>
        </is>
      </c>
      <c r="B174" s="1" t="n">
        <v>45541.64743055555</v>
      </c>
      <c r="C174" s="1" t="n">
        <v>45878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53544-2022</t>
        </is>
      </c>
      <c r="B175" s="1" t="n">
        <v>44879</v>
      </c>
      <c r="C175" s="1" t="n">
        <v>45878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16706-2021</t>
        </is>
      </c>
      <c r="B176" s="1" t="n">
        <v>44294.6346412037</v>
      </c>
      <c r="C176" s="1" t="n">
        <v>45878</v>
      </c>
      <c r="D176" t="inlineStr">
        <is>
          <t>DALARNAS LÄN</t>
        </is>
      </c>
      <c r="E176" t="inlineStr">
        <is>
          <t>BORLÄNGE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10156-2025</t>
        </is>
      </c>
      <c r="B177" s="1" t="n">
        <v>45719.64394675926</v>
      </c>
      <c r="C177" s="1" t="n">
        <v>45878</v>
      </c>
      <c r="D177" t="inlineStr">
        <is>
          <t>DALARNAS LÄN</t>
        </is>
      </c>
      <c r="E177" t="inlineStr">
        <is>
          <t>BORLÄNGE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54148-2023</t>
        </is>
      </c>
      <c r="B178" s="1" t="n">
        <v>45232.45122685185</v>
      </c>
      <c r="C178" s="1" t="n">
        <v>45878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7194-2025</t>
        </is>
      </c>
      <c r="B179" s="1" t="n">
        <v>45702.44947916667</v>
      </c>
      <c r="C179" s="1" t="n">
        <v>45878</v>
      </c>
      <c r="D179" t="inlineStr">
        <is>
          <t>DALARNAS LÄN</t>
        </is>
      </c>
      <c r="E179" t="inlineStr">
        <is>
          <t>BORLÄNGE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16883-2024</t>
        </is>
      </c>
      <c r="B180" s="1" t="n">
        <v>45411.59621527778</v>
      </c>
      <c r="C180" s="1" t="n">
        <v>45878</v>
      </c>
      <c r="D180" t="inlineStr">
        <is>
          <t>DALARNAS LÄN</t>
        </is>
      </c>
      <c r="E180" t="inlineStr">
        <is>
          <t>BORLÄNGE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8208-2021</t>
        </is>
      </c>
      <c r="B181" s="1" t="n">
        <v>44244</v>
      </c>
      <c r="C181" s="1" t="n">
        <v>45878</v>
      </c>
      <c r="D181" t="inlineStr">
        <is>
          <t>DALARNAS LÄN</t>
        </is>
      </c>
      <c r="E181" t="inlineStr">
        <is>
          <t>BORLÄNGE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13658-2024</t>
        </is>
      </c>
      <c r="B182" s="1" t="n">
        <v>45390.48613425926</v>
      </c>
      <c r="C182" s="1" t="n">
        <v>45878</v>
      </c>
      <c r="D182" t="inlineStr">
        <is>
          <t>DALARNAS LÄN</t>
        </is>
      </c>
      <c r="E182" t="inlineStr">
        <is>
          <t>BORLÄNGE</t>
        </is>
      </c>
      <c r="F182" t="inlineStr">
        <is>
          <t>Kommuner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60086-2023</t>
        </is>
      </c>
      <c r="B183" s="1" t="n">
        <v>45258</v>
      </c>
      <c r="C183" s="1" t="n">
        <v>45878</v>
      </c>
      <c r="D183" t="inlineStr">
        <is>
          <t>DALARNAS LÄN</t>
        </is>
      </c>
      <c r="E183" t="inlineStr">
        <is>
          <t>BORLÄNGE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60908-2023</t>
        </is>
      </c>
      <c r="B184" s="1" t="n">
        <v>45261</v>
      </c>
      <c r="C184" s="1" t="n">
        <v>45878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422-2023</t>
        </is>
      </c>
      <c r="B185" s="1" t="n">
        <v>44929.6525</v>
      </c>
      <c r="C185" s="1" t="n">
        <v>45878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12448-2023</t>
        </is>
      </c>
      <c r="B186" s="1" t="n">
        <v>44999</v>
      </c>
      <c r="C186" s="1" t="n">
        <v>45878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39574-2023</t>
        </is>
      </c>
      <c r="B187" s="1" t="n">
        <v>45167.4177199074</v>
      </c>
      <c r="C187" s="1" t="n">
        <v>45878</v>
      </c>
      <c r="D187" t="inlineStr">
        <is>
          <t>DALARNAS LÄN</t>
        </is>
      </c>
      <c r="E187" t="inlineStr">
        <is>
          <t>BORLÄNGE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43650-2022</t>
        </is>
      </c>
      <c r="B188" s="1" t="n">
        <v>44837.57366898148</v>
      </c>
      <c r="C188" s="1" t="n">
        <v>45878</v>
      </c>
      <c r="D188" t="inlineStr">
        <is>
          <t>DALARNAS LÄN</t>
        </is>
      </c>
      <c r="E188" t="inlineStr">
        <is>
          <t>BORLÄNGE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12783-2024</t>
        </is>
      </c>
      <c r="B189" s="1" t="n">
        <v>45384.60384259259</v>
      </c>
      <c r="C189" s="1" t="n">
        <v>45878</v>
      </c>
      <c r="D189" t="inlineStr">
        <is>
          <t>DALARNAS LÄN</t>
        </is>
      </c>
      <c r="E189" t="inlineStr">
        <is>
          <t>BORLÄNGE</t>
        </is>
      </c>
      <c r="F189" t="inlineStr">
        <is>
          <t>Övriga statliga verk och myndigheter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10381-2023</t>
        </is>
      </c>
      <c r="B190" s="1" t="n">
        <v>44987.42900462963</v>
      </c>
      <c r="C190" s="1" t="n">
        <v>45878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53455-2021</t>
        </is>
      </c>
      <c r="B191" s="1" t="n">
        <v>44468</v>
      </c>
      <c r="C191" s="1" t="n">
        <v>45878</v>
      </c>
      <c r="D191" t="inlineStr">
        <is>
          <t>DALARNAS LÄN</t>
        </is>
      </c>
      <c r="E191" t="inlineStr">
        <is>
          <t>BORLÄNGE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61809-2022</t>
        </is>
      </c>
      <c r="B192" s="1" t="n">
        <v>44917.57221064815</v>
      </c>
      <c r="C192" s="1" t="n">
        <v>45878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24181-2023</t>
        </is>
      </c>
      <c r="B193" s="1" t="n">
        <v>45079</v>
      </c>
      <c r="C193" s="1" t="n">
        <v>45878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58903-2023</t>
        </is>
      </c>
      <c r="B194" s="1" t="n">
        <v>45252.50012731482</v>
      </c>
      <c r="C194" s="1" t="n">
        <v>45878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17572-2021</t>
        </is>
      </c>
      <c r="B195" s="1" t="n">
        <v>44299</v>
      </c>
      <c r="C195" s="1" t="n">
        <v>45878</v>
      </c>
      <c r="D195" t="inlineStr">
        <is>
          <t>DALARNAS LÄN</t>
        </is>
      </c>
      <c r="E195" t="inlineStr">
        <is>
          <t>BORLÄNGE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32941-2024</t>
        </is>
      </c>
      <c r="B196" s="1" t="n">
        <v>45517.33768518519</v>
      </c>
      <c r="C196" s="1" t="n">
        <v>45878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15989-2024</t>
        </is>
      </c>
      <c r="B197" s="1" t="n">
        <v>45405.60082175926</v>
      </c>
      <c r="C197" s="1" t="n">
        <v>45878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1088-2023</t>
        </is>
      </c>
      <c r="B198" s="1" t="n">
        <v>44935</v>
      </c>
      <c r="C198" s="1" t="n">
        <v>45878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31679-2023</t>
        </is>
      </c>
      <c r="B199" s="1" t="n">
        <v>45117</v>
      </c>
      <c r="C199" s="1" t="n">
        <v>45878</v>
      </c>
      <c r="D199" t="inlineStr">
        <is>
          <t>DALARNAS LÄN</t>
        </is>
      </c>
      <c r="E199" t="inlineStr">
        <is>
          <t>BORLÄNGE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6798-2024</t>
        </is>
      </c>
      <c r="B200" s="1" t="n">
        <v>45342.56981481481</v>
      </c>
      <c r="C200" s="1" t="n">
        <v>45878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6803-2024</t>
        </is>
      </c>
      <c r="B201" s="1" t="n">
        <v>45342</v>
      </c>
      <c r="C201" s="1" t="n">
        <v>45878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36422-2024</t>
        </is>
      </c>
      <c r="B202" s="1" t="n">
        <v>45536.65696759259</v>
      </c>
      <c r="C202" s="1" t="n">
        <v>45878</v>
      </c>
      <c r="D202" t="inlineStr">
        <is>
          <t>DALARNAS LÄN</t>
        </is>
      </c>
      <c r="E202" t="inlineStr">
        <is>
          <t>BORLÄNGE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21541-2024</t>
        </is>
      </c>
      <c r="B203" s="1" t="n">
        <v>45441.6142824074</v>
      </c>
      <c r="C203" s="1" t="n">
        <v>45878</v>
      </c>
      <c r="D203" t="inlineStr">
        <is>
          <t>DALARNAS LÄN</t>
        </is>
      </c>
      <c r="E203" t="inlineStr">
        <is>
          <t>BORLÄNGE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HYPERLINK("https://klasma.github.io/Logging_2081/knärot/A 21541-2024 karta knärot.png", "A 21541-2024")</f>
        <v/>
      </c>
      <c r="V203">
        <f>HYPERLINK("https://klasma.github.io/Logging_2081/klagomål/A 21541-2024 FSC-klagomål.docx", "A 21541-2024")</f>
        <v/>
      </c>
      <c r="W203">
        <f>HYPERLINK("https://klasma.github.io/Logging_2081/klagomålsmail/A 21541-2024 FSC-klagomål mail.docx", "A 21541-2024")</f>
        <v/>
      </c>
      <c r="X203">
        <f>HYPERLINK("https://klasma.github.io/Logging_2081/tillsyn/A 21541-2024 tillsynsbegäran.docx", "A 21541-2024")</f>
        <v/>
      </c>
      <c r="Y203">
        <f>HYPERLINK("https://klasma.github.io/Logging_2081/tillsynsmail/A 21541-2024 tillsynsbegäran mail.docx", "A 21541-2024")</f>
        <v/>
      </c>
    </row>
    <row r="204" ht="15" customHeight="1">
      <c r="A204" t="inlineStr">
        <is>
          <t>A 37785-2024</t>
        </is>
      </c>
      <c r="B204" s="1" t="n">
        <v>45542.82690972222</v>
      </c>
      <c r="C204" s="1" t="n">
        <v>45878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20784-2024</t>
        </is>
      </c>
      <c r="B205" s="1" t="n">
        <v>45437.55819444444</v>
      </c>
      <c r="C205" s="1" t="n">
        <v>45878</v>
      </c>
      <c r="D205" t="inlineStr">
        <is>
          <t>DALARNAS LÄN</t>
        </is>
      </c>
      <c r="E205" t="inlineStr">
        <is>
          <t>BORLÄNGE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60152-2023</t>
        </is>
      </c>
      <c r="B206" s="1" t="n">
        <v>45258</v>
      </c>
      <c r="C206" s="1" t="n">
        <v>45878</v>
      </c>
      <c r="D206" t="inlineStr">
        <is>
          <t>DALARNAS LÄN</t>
        </is>
      </c>
      <c r="E206" t="inlineStr">
        <is>
          <t>BORLÄNGE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1723-2025</t>
        </is>
      </c>
      <c r="B207" s="1" t="n">
        <v>45671.34664351852</v>
      </c>
      <c r="C207" s="1" t="n">
        <v>45878</v>
      </c>
      <c r="D207" t="inlineStr">
        <is>
          <t>DALARNAS LÄN</t>
        </is>
      </c>
      <c r="E207" t="inlineStr">
        <is>
          <t>BORLÄNGE</t>
        </is>
      </c>
      <c r="G207" t="n">
        <v>24.5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57530-2023</t>
        </is>
      </c>
      <c r="B208" s="1" t="n">
        <v>45246</v>
      </c>
      <c r="C208" s="1" t="n">
        <v>45878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51716-2024</t>
        </is>
      </c>
      <c r="B209" s="1" t="n">
        <v>45607.37652777778</v>
      </c>
      <c r="C209" s="1" t="n">
        <v>45878</v>
      </c>
      <c r="D209" t="inlineStr">
        <is>
          <t>DALARNAS LÄN</t>
        </is>
      </c>
      <c r="E209" t="inlineStr">
        <is>
          <t>BORLÄNGE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34334-2023</t>
        </is>
      </c>
      <c r="B210" s="1" t="n">
        <v>45139</v>
      </c>
      <c r="C210" s="1" t="n">
        <v>45878</v>
      </c>
      <c r="D210" t="inlineStr">
        <is>
          <t>DALARNAS LÄN</t>
        </is>
      </c>
      <c r="E210" t="inlineStr">
        <is>
          <t>BORLÄNGE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60072-2023</t>
        </is>
      </c>
      <c r="B211" s="1" t="n">
        <v>45258</v>
      </c>
      <c r="C211" s="1" t="n">
        <v>45878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59772-2021</t>
        </is>
      </c>
      <c r="B212" s="1" t="n">
        <v>44494</v>
      </c>
      <c r="C212" s="1" t="n">
        <v>45878</v>
      </c>
      <c r="D212" t="inlineStr">
        <is>
          <t>DALARNAS LÄN</t>
        </is>
      </c>
      <c r="E212" t="inlineStr">
        <is>
          <t>BORLÄNGE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30248-2023</t>
        </is>
      </c>
      <c r="B213" s="1" t="n">
        <v>45110</v>
      </c>
      <c r="C213" s="1" t="n">
        <v>45878</v>
      </c>
      <c r="D213" t="inlineStr">
        <is>
          <t>DALARNAS LÄN</t>
        </is>
      </c>
      <c r="E213" t="inlineStr">
        <is>
          <t>BORLÄNGE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62214-2023</t>
        </is>
      </c>
      <c r="B214" s="1" t="n">
        <v>45267.50777777778</v>
      </c>
      <c r="C214" s="1" t="n">
        <v>45878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50437-2020</t>
        </is>
      </c>
      <c r="B215" s="1" t="n">
        <v>44110</v>
      </c>
      <c r="C215" s="1" t="n">
        <v>45878</v>
      </c>
      <c r="D215" t="inlineStr">
        <is>
          <t>DALARNAS LÄN</t>
        </is>
      </c>
      <c r="E215" t="inlineStr">
        <is>
          <t>BORLÄNGE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128-2024</t>
        </is>
      </c>
      <c r="B216" s="1" t="n">
        <v>45294.41001157407</v>
      </c>
      <c r="C216" s="1" t="n">
        <v>45878</v>
      </c>
      <c r="D216" t="inlineStr">
        <is>
          <t>DALARNAS LÄN</t>
        </is>
      </c>
      <c r="E216" t="inlineStr">
        <is>
          <t>BORLÄNGE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61396-2021</t>
        </is>
      </c>
      <c r="B217" s="1" t="n">
        <v>44500</v>
      </c>
      <c r="C217" s="1" t="n">
        <v>45878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466-2025</t>
        </is>
      </c>
      <c r="B218" s="1" t="n">
        <v>45664.41989583334</v>
      </c>
      <c r="C218" s="1" t="n">
        <v>45878</v>
      </c>
      <c r="D218" t="inlineStr">
        <is>
          <t>DALARNAS LÄN</t>
        </is>
      </c>
      <c r="E218" t="inlineStr">
        <is>
          <t>BORLÄNGE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17569-2023</t>
        </is>
      </c>
      <c r="B219" s="1" t="n">
        <v>45036</v>
      </c>
      <c r="C219" s="1" t="n">
        <v>45878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30253-2023</t>
        </is>
      </c>
      <c r="B220" s="1" t="n">
        <v>45110</v>
      </c>
      <c r="C220" s="1" t="n">
        <v>45878</v>
      </c>
      <c r="D220" t="inlineStr">
        <is>
          <t>DALARNAS LÄN</t>
        </is>
      </c>
      <c r="E220" t="inlineStr">
        <is>
          <t>BORLÄNGE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3964-2021</t>
        </is>
      </c>
      <c r="B221" s="1" t="n">
        <v>44222</v>
      </c>
      <c r="C221" s="1" t="n">
        <v>45878</v>
      </c>
      <c r="D221" t="inlineStr">
        <is>
          <t>DALARNAS LÄN</t>
        </is>
      </c>
      <c r="E221" t="inlineStr">
        <is>
          <t>BORLÄNGE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2182-2023</t>
        </is>
      </c>
      <c r="B222" s="1" t="n">
        <v>44942.31047453704</v>
      </c>
      <c r="C222" s="1" t="n">
        <v>45878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9295-2024</t>
        </is>
      </c>
      <c r="B223" s="1" t="n">
        <v>45358</v>
      </c>
      <c r="C223" s="1" t="n">
        <v>45878</v>
      </c>
      <c r="D223" t="inlineStr">
        <is>
          <t>DALARNAS LÄN</t>
        </is>
      </c>
      <c r="E223" t="inlineStr">
        <is>
          <t>BORLÄNGE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29856-2024</t>
        </is>
      </c>
      <c r="B224" s="1" t="n">
        <v>45485.66964120371</v>
      </c>
      <c r="C224" s="1" t="n">
        <v>45878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11105-2023</t>
        </is>
      </c>
      <c r="B225" s="1" t="n">
        <v>44992</v>
      </c>
      <c r="C225" s="1" t="n">
        <v>45878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43324-2023</t>
        </is>
      </c>
      <c r="B226" s="1" t="n">
        <v>45183.62677083333</v>
      </c>
      <c r="C226" s="1" t="n">
        <v>45878</v>
      </c>
      <c r="D226" t="inlineStr">
        <is>
          <t>DALARNAS LÄN</t>
        </is>
      </c>
      <c r="E226" t="inlineStr">
        <is>
          <t>BORLÄNGE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29854-2024</t>
        </is>
      </c>
      <c r="B227" s="1" t="n">
        <v>45485.66295138889</v>
      </c>
      <c r="C227" s="1" t="n">
        <v>45878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29861-2024</t>
        </is>
      </c>
      <c r="B228" s="1" t="n">
        <v>45485.71377314815</v>
      </c>
      <c r="C228" s="1" t="n">
        <v>45878</v>
      </c>
      <c r="D228" t="inlineStr">
        <is>
          <t>DALARNAS LÄN</t>
        </is>
      </c>
      <c r="E228" t="inlineStr">
        <is>
          <t>BORLÄNGE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44896-2024</t>
        </is>
      </c>
      <c r="B229" s="1" t="n">
        <v>45575.36628472222</v>
      </c>
      <c r="C229" s="1" t="n">
        <v>45878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30162-2024</t>
        </is>
      </c>
      <c r="B230" s="1" t="n">
        <v>45489.65583333333</v>
      </c>
      <c r="C230" s="1" t="n">
        <v>45878</v>
      </c>
      <c r="D230" t="inlineStr">
        <is>
          <t>DALARNAS LÄN</t>
        </is>
      </c>
      <c r="E230" t="inlineStr">
        <is>
          <t>BORLÄNGE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9442-2023</t>
        </is>
      </c>
      <c r="B231" s="1" t="n">
        <v>44981</v>
      </c>
      <c r="C231" s="1" t="n">
        <v>45878</v>
      </c>
      <c r="D231" t="inlineStr">
        <is>
          <t>DALARNAS LÄN</t>
        </is>
      </c>
      <c r="E231" t="inlineStr">
        <is>
          <t>BORLÄNGE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49936-2023</t>
        </is>
      </c>
      <c r="B232" s="1" t="n">
        <v>45215</v>
      </c>
      <c r="C232" s="1" t="n">
        <v>45878</v>
      </c>
      <c r="D232" t="inlineStr">
        <is>
          <t>DALARNAS LÄN</t>
        </is>
      </c>
      <c r="E232" t="inlineStr">
        <is>
          <t>BORLÄNGE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13983-2024</t>
        </is>
      </c>
      <c r="B233" s="1" t="n">
        <v>45392.40825231482</v>
      </c>
      <c r="C233" s="1" t="n">
        <v>45878</v>
      </c>
      <c r="D233" t="inlineStr">
        <is>
          <t>DALARNAS LÄN</t>
        </is>
      </c>
      <c r="E233" t="inlineStr">
        <is>
          <t>BORLÄNGE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58650-2024</t>
        </is>
      </c>
      <c r="B234" s="1" t="n">
        <v>45632</v>
      </c>
      <c r="C234" s="1" t="n">
        <v>45878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43713-2024</t>
        </is>
      </c>
      <c r="B235" s="1" t="n">
        <v>45569.60569444444</v>
      </c>
      <c r="C235" s="1" t="n">
        <v>45878</v>
      </c>
      <c r="D235" t="inlineStr">
        <is>
          <t>DALARNAS LÄN</t>
        </is>
      </c>
      <c r="E235" t="inlineStr">
        <is>
          <t>BORLÄNGE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28572-2025</t>
        </is>
      </c>
      <c r="B236" s="1" t="n">
        <v>45819</v>
      </c>
      <c r="C236" s="1" t="n">
        <v>45878</v>
      </c>
      <c r="D236" t="inlineStr">
        <is>
          <t>DALARNAS LÄN</t>
        </is>
      </c>
      <c r="E236" t="inlineStr">
        <is>
          <t>BORLÄNGE</t>
        </is>
      </c>
      <c r="F236" t="inlineStr">
        <is>
          <t>Kommuner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8556-2023</t>
        </is>
      </c>
      <c r="B237" s="1" t="n">
        <v>44977</v>
      </c>
      <c r="C237" s="1" t="n">
        <v>45878</v>
      </c>
      <c r="D237" t="inlineStr">
        <is>
          <t>DALARNAS LÄN</t>
        </is>
      </c>
      <c r="E237" t="inlineStr">
        <is>
          <t>BORLÄNGE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50441-2020</t>
        </is>
      </c>
      <c r="B238" s="1" t="n">
        <v>44110</v>
      </c>
      <c r="C238" s="1" t="n">
        <v>45878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39377-2024</t>
        </is>
      </c>
      <c r="B239" s="1" t="n">
        <v>45551.4868287037</v>
      </c>
      <c r="C239" s="1" t="n">
        <v>45878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27717-2024</t>
        </is>
      </c>
      <c r="B240" s="1" t="n">
        <v>45475.38892361111</v>
      </c>
      <c r="C240" s="1" t="n">
        <v>45878</v>
      </c>
      <c r="D240" t="inlineStr">
        <is>
          <t>DALARNAS LÄN</t>
        </is>
      </c>
      <c r="E240" t="inlineStr">
        <is>
          <t>BORLÄNGE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32940-2024</t>
        </is>
      </c>
      <c r="B241" s="1" t="n">
        <v>45517.33597222222</v>
      </c>
      <c r="C241" s="1" t="n">
        <v>45878</v>
      </c>
      <c r="D241" t="inlineStr">
        <is>
          <t>DALARNAS LÄN</t>
        </is>
      </c>
      <c r="E241" t="inlineStr">
        <is>
          <t>BORLÄNGE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21828-2025</t>
        </is>
      </c>
      <c r="B242" s="1" t="n">
        <v>45783.91428240741</v>
      </c>
      <c r="C242" s="1" t="n">
        <v>45878</v>
      </c>
      <c r="D242" t="inlineStr">
        <is>
          <t>DALARNAS LÄN</t>
        </is>
      </c>
      <c r="E242" t="inlineStr">
        <is>
          <t>BORLÄNGE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8540-2025</t>
        </is>
      </c>
      <c r="B243" s="1" t="n">
        <v>45709.60369212963</v>
      </c>
      <c r="C243" s="1" t="n">
        <v>45878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61918-2024</t>
        </is>
      </c>
      <c r="B244" s="1" t="n">
        <v>45653.43668981481</v>
      </c>
      <c r="C244" s="1" t="n">
        <v>45878</v>
      </c>
      <c r="D244" t="inlineStr">
        <is>
          <t>DALARNAS LÄN</t>
        </is>
      </c>
      <c r="E244" t="inlineStr">
        <is>
          <t>BORLÄNGE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36423-2024</t>
        </is>
      </c>
      <c r="B245" s="1" t="n">
        <v>45536.66635416666</v>
      </c>
      <c r="C245" s="1" t="n">
        <v>45878</v>
      </c>
      <c r="D245" t="inlineStr">
        <is>
          <t>DALARNAS LÄN</t>
        </is>
      </c>
      <c r="E245" t="inlineStr">
        <is>
          <t>BORLÄNGE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50496-2020</t>
        </is>
      </c>
      <c r="B246" s="1" t="n">
        <v>44110</v>
      </c>
      <c r="C246" s="1" t="n">
        <v>45878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55910-2022</t>
        </is>
      </c>
      <c r="B247" s="1" t="n">
        <v>44889</v>
      </c>
      <c r="C247" s="1" t="n">
        <v>45878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34882-2024</t>
        </is>
      </c>
      <c r="B248" s="1" t="n">
        <v>45527.35987268519</v>
      </c>
      <c r="C248" s="1" t="n">
        <v>45878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60625-2023</t>
        </is>
      </c>
      <c r="B249" s="1" t="n">
        <v>45260.38826388889</v>
      </c>
      <c r="C249" s="1" t="n">
        <v>45878</v>
      </c>
      <c r="D249" t="inlineStr">
        <is>
          <t>DALARNAS LÄN</t>
        </is>
      </c>
      <c r="E249" t="inlineStr">
        <is>
          <t>BORLÄNGE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21928-2023</t>
        </is>
      </c>
      <c r="B250" s="1" t="n">
        <v>45068</v>
      </c>
      <c r="C250" s="1" t="n">
        <v>45878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42668-2024</t>
        </is>
      </c>
      <c r="B251" s="1" t="n">
        <v>45566.36052083333</v>
      </c>
      <c r="C251" s="1" t="n">
        <v>45878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558-2025</t>
        </is>
      </c>
      <c r="B252" s="1" t="n">
        <v>45664.53787037037</v>
      </c>
      <c r="C252" s="1" t="n">
        <v>45878</v>
      </c>
      <c r="D252" t="inlineStr">
        <is>
          <t>DALARNAS LÄN</t>
        </is>
      </c>
      <c r="E252" t="inlineStr">
        <is>
          <t>BORLÄNGE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36863-2021</t>
        </is>
      </c>
      <c r="B253" s="1" t="n">
        <v>44393</v>
      </c>
      <c r="C253" s="1" t="n">
        <v>45878</v>
      </c>
      <c r="D253" t="inlineStr">
        <is>
          <t>DALARNAS LÄN</t>
        </is>
      </c>
      <c r="E253" t="inlineStr">
        <is>
          <t>BORLÄNGE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51675-2024</t>
        </is>
      </c>
      <c r="B254" s="1" t="n">
        <v>45607.29688657408</v>
      </c>
      <c r="C254" s="1" t="n">
        <v>45878</v>
      </c>
      <c r="D254" t="inlineStr">
        <is>
          <t>DALARNAS LÄN</t>
        </is>
      </c>
      <c r="E254" t="inlineStr">
        <is>
          <t>BORLÄNGE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15495-2024</t>
        </is>
      </c>
      <c r="B255" s="1" t="n">
        <v>45401.53269675926</v>
      </c>
      <c r="C255" s="1" t="n">
        <v>45878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31530-2023</t>
        </is>
      </c>
      <c r="B256" s="1" t="n">
        <v>45116</v>
      </c>
      <c r="C256" s="1" t="n">
        <v>45878</v>
      </c>
      <c r="D256" t="inlineStr">
        <is>
          <t>DALARNAS LÄN</t>
        </is>
      </c>
      <c r="E256" t="inlineStr">
        <is>
          <t>BORLÄNGE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43918-2024</t>
        </is>
      </c>
      <c r="B257" s="1" t="n">
        <v>45572.44064814815</v>
      </c>
      <c r="C257" s="1" t="n">
        <v>45878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13528-2025</t>
        </is>
      </c>
      <c r="B258" s="1" t="n">
        <v>45736.5049537037</v>
      </c>
      <c r="C258" s="1" t="n">
        <v>45878</v>
      </c>
      <c r="D258" t="inlineStr">
        <is>
          <t>DALARNAS LÄN</t>
        </is>
      </c>
      <c r="E258" t="inlineStr">
        <is>
          <t>BORLÄNGE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38863-2023</t>
        </is>
      </c>
      <c r="B259" s="1" t="n">
        <v>45163</v>
      </c>
      <c r="C259" s="1" t="n">
        <v>45878</v>
      </c>
      <c r="D259" t="inlineStr">
        <is>
          <t>DALARNAS LÄN</t>
        </is>
      </c>
      <c r="E259" t="inlineStr">
        <is>
          <t>BORLÄNGE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38868-2023</t>
        </is>
      </c>
      <c r="B260" s="1" t="n">
        <v>45163</v>
      </c>
      <c r="C260" s="1" t="n">
        <v>45878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11138-2023</t>
        </is>
      </c>
      <c r="B261" s="1" t="n">
        <v>44992</v>
      </c>
      <c r="C261" s="1" t="n">
        <v>45878</v>
      </c>
      <c r="D261" t="inlineStr">
        <is>
          <t>DALARNAS LÄN</t>
        </is>
      </c>
      <c r="E261" t="inlineStr">
        <is>
          <t>BORLÄNGE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59633-2021</t>
        </is>
      </c>
      <c r="B262" s="1" t="n">
        <v>44493</v>
      </c>
      <c r="C262" s="1" t="n">
        <v>45878</v>
      </c>
      <c r="D262" t="inlineStr">
        <is>
          <t>DALARNAS LÄN</t>
        </is>
      </c>
      <c r="E262" t="inlineStr">
        <is>
          <t>BORLÄNGE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28039-2023</t>
        </is>
      </c>
      <c r="B263" s="1" t="n">
        <v>45099</v>
      </c>
      <c r="C263" s="1" t="n">
        <v>45878</v>
      </c>
      <c r="D263" t="inlineStr">
        <is>
          <t>DALARNAS LÄN</t>
        </is>
      </c>
      <c r="E263" t="inlineStr">
        <is>
          <t>BORLÄNGE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20005-2023</t>
        </is>
      </c>
      <c r="B264" s="1" t="n">
        <v>45054.62554398148</v>
      </c>
      <c r="C264" s="1" t="n">
        <v>45878</v>
      </c>
      <c r="D264" t="inlineStr">
        <is>
          <t>DALARNAS LÄN</t>
        </is>
      </c>
      <c r="E264" t="inlineStr">
        <is>
          <t>BORLÄNGE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5802-2025</t>
        </is>
      </c>
      <c r="B265" s="1" t="n">
        <v>45694.67778935185</v>
      </c>
      <c r="C265" s="1" t="n">
        <v>45878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16878-2024</t>
        </is>
      </c>
      <c r="B266" s="1" t="n">
        <v>45411.58637731482</v>
      </c>
      <c r="C266" s="1" t="n">
        <v>45878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10774-2024</t>
        </is>
      </c>
      <c r="B267" s="1" t="n">
        <v>45369.58125</v>
      </c>
      <c r="C267" s="1" t="n">
        <v>45878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44606.54209490741</v>
      </c>
      <c r="C268" s="1" t="n">
        <v>45878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51859-2023</t>
        </is>
      </c>
      <c r="B269" s="1" t="n">
        <v>45223.35689814815</v>
      </c>
      <c r="C269" s="1" t="n">
        <v>45878</v>
      </c>
      <c r="D269" t="inlineStr">
        <is>
          <t>DALARNAS LÄN</t>
        </is>
      </c>
      <c r="E269" t="inlineStr">
        <is>
          <t>BORLÄNGE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60740-2024</t>
        </is>
      </c>
      <c r="B270" s="1" t="n">
        <v>45644</v>
      </c>
      <c r="C270" s="1" t="n">
        <v>45878</v>
      </c>
      <c r="D270" t="inlineStr">
        <is>
          <t>DALARNAS LÄN</t>
        </is>
      </c>
      <c r="E270" t="inlineStr">
        <is>
          <t>BORLÄNGE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44240-2023</t>
        </is>
      </c>
      <c r="B271" s="1" t="n">
        <v>45188</v>
      </c>
      <c r="C271" s="1" t="n">
        <v>45878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6654-2024</t>
        </is>
      </c>
      <c r="B272" s="1" t="n">
        <v>45341.68972222223</v>
      </c>
      <c r="C272" s="1" t="n">
        <v>45878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43497-2024</t>
        </is>
      </c>
      <c r="B273" s="1" t="n">
        <v>45568</v>
      </c>
      <c r="C273" s="1" t="n">
        <v>45878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58283-2024</t>
        </is>
      </c>
      <c r="B274" s="1" t="n">
        <v>45632.5812962963</v>
      </c>
      <c r="C274" s="1" t="n">
        <v>45878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43957-2024</t>
        </is>
      </c>
      <c r="B275" s="1" t="n">
        <v>45572.47766203704</v>
      </c>
      <c r="C275" s="1" t="n">
        <v>45878</v>
      </c>
      <c r="D275" t="inlineStr">
        <is>
          <t>DALARNAS LÄN</t>
        </is>
      </c>
      <c r="E275" t="inlineStr">
        <is>
          <t>BORLÄNGE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47109-2024</t>
        </is>
      </c>
      <c r="B276" s="1" t="n">
        <v>45586.55450231482</v>
      </c>
      <c r="C276" s="1" t="n">
        <v>45878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73002-2021</t>
        </is>
      </c>
      <c r="B277" s="1" t="n">
        <v>44550.27520833333</v>
      </c>
      <c r="C277" s="1" t="n">
        <v>45878</v>
      </c>
      <c r="D277" t="inlineStr">
        <is>
          <t>DALARNAS LÄN</t>
        </is>
      </c>
      <c r="E277" t="inlineStr">
        <is>
          <t>BORLÄNGE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47318-2023</t>
        </is>
      </c>
      <c r="B278" s="1" t="n">
        <v>45202</v>
      </c>
      <c r="C278" s="1" t="n">
        <v>45878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8473-2022</t>
        </is>
      </c>
      <c r="B279" s="1" t="n">
        <v>44613.34505787037</v>
      </c>
      <c r="C279" s="1" t="n">
        <v>45878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60301-2024</t>
        </is>
      </c>
      <c r="B280" s="1" t="n">
        <v>45643.32780092592</v>
      </c>
      <c r="C280" s="1" t="n">
        <v>45878</v>
      </c>
      <c r="D280" t="inlineStr">
        <is>
          <t>DALARNAS LÄN</t>
        </is>
      </c>
      <c r="E280" t="inlineStr">
        <is>
          <t>BORLÄNGE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20008-2023</t>
        </is>
      </c>
      <c r="B281" s="1" t="n">
        <v>45054.62822916666</v>
      </c>
      <c r="C281" s="1" t="n">
        <v>45878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49888-2023</t>
        </is>
      </c>
      <c r="B282" s="1" t="n">
        <v>45213</v>
      </c>
      <c r="C282" s="1" t="n">
        <v>45878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61195-2023</t>
        </is>
      </c>
      <c r="B283" s="1" t="n">
        <v>45264.36013888889</v>
      </c>
      <c r="C283" s="1" t="n">
        <v>45878</v>
      </c>
      <c r="D283" t="inlineStr">
        <is>
          <t>DALARNAS LÄN</t>
        </is>
      </c>
      <c r="E283" t="inlineStr">
        <is>
          <t>BORLÄNGE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24019-2025</t>
        </is>
      </c>
      <c r="B284" s="1" t="n">
        <v>45796.44989583334</v>
      </c>
      <c r="C284" s="1" t="n">
        <v>45878</v>
      </c>
      <c r="D284" t="inlineStr">
        <is>
          <t>DALARNAS LÄN</t>
        </is>
      </c>
      <c r="E284" t="inlineStr">
        <is>
          <t>BORLÄNGE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56350-2024</t>
        </is>
      </c>
      <c r="B285" s="1" t="n">
        <v>45624.90174768519</v>
      </c>
      <c r="C285" s="1" t="n">
        <v>45878</v>
      </c>
      <c r="D285" t="inlineStr">
        <is>
          <t>DALARNAS LÄN</t>
        </is>
      </c>
      <c r="E285" t="inlineStr">
        <is>
          <t>BORLÄNGE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12787-2024</t>
        </is>
      </c>
      <c r="B286" s="1" t="n">
        <v>45384.61032407408</v>
      </c>
      <c r="C286" s="1" t="n">
        <v>45878</v>
      </c>
      <c r="D286" t="inlineStr">
        <is>
          <t>DALARNAS LÄN</t>
        </is>
      </c>
      <c r="E286" t="inlineStr">
        <is>
          <t>BORLÄNGE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8554-2023</t>
        </is>
      </c>
      <c r="B287" s="1" t="n">
        <v>44977</v>
      </c>
      <c r="C287" s="1" t="n">
        <v>45878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29810-2022</t>
        </is>
      </c>
      <c r="B288" s="1" t="n">
        <v>44755</v>
      </c>
      <c r="C288" s="1" t="n">
        <v>45878</v>
      </c>
      <c r="D288" t="inlineStr">
        <is>
          <t>DALARNAS LÄN</t>
        </is>
      </c>
      <c r="E288" t="inlineStr">
        <is>
          <t>BORLÄNGE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26216-2023</t>
        </is>
      </c>
      <c r="B289" s="1" t="n">
        <v>45091.55979166667</v>
      </c>
      <c r="C289" s="1" t="n">
        <v>45878</v>
      </c>
      <c r="D289" t="inlineStr">
        <is>
          <t>DALARNAS LÄN</t>
        </is>
      </c>
      <c r="E289" t="inlineStr">
        <is>
          <t>BORLÄNGE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32703-2025</t>
        </is>
      </c>
      <c r="B290" s="1" t="n">
        <v>45839.35089120371</v>
      </c>
      <c r="C290" s="1" t="n">
        <v>45878</v>
      </c>
      <c r="D290" t="inlineStr">
        <is>
          <t>DALARNAS LÄN</t>
        </is>
      </c>
      <c r="E290" t="inlineStr">
        <is>
          <t>BORLÄNGE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24594-2025</t>
        </is>
      </c>
      <c r="B291" s="1" t="n">
        <v>45798</v>
      </c>
      <c r="C291" s="1" t="n">
        <v>45878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24641-2025</t>
        </is>
      </c>
      <c r="B292" s="1" t="n">
        <v>45798</v>
      </c>
      <c r="C292" s="1" t="n">
        <v>45878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21026-2022</t>
        </is>
      </c>
      <c r="B293" s="1" t="n">
        <v>44704.390625</v>
      </c>
      <c r="C293" s="1" t="n">
        <v>45878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58640-2023</t>
        </is>
      </c>
      <c r="B294" s="1" t="n">
        <v>45251.58048611111</v>
      </c>
      <c r="C294" s="1" t="n">
        <v>45878</v>
      </c>
      <c r="D294" t="inlineStr">
        <is>
          <t>DALARNAS LÄN</t>
        </is>
      </c>
      <c r="E294" t="inlineStr">
        <is>
          <t>BORLÄNGE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52522-2024</t>
        </is>
      </c>
      <c r="B295" s="1" t="n">
        <v>45609.60082175926</v>
      </c>
      <c r="C295" s="1" t="n">
        <v>45878</v>
      </c>
      <c r="D295" t="inlineStr">
        <is>
          <t>DALARNAS LÄN</t>
        </is>
      </c>
      <c r="E295" t="inlineStr">
        <is>
          <t>BORLÄNGE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41257-2024</t>
        </is>
      </c>
      <c r="B296" s="1" t="n">
        <v>45559.58381944444</v>
      </c>
      <c r="C296" s="1" t="n">
        <v>45878</v>
      </c>
      <c r="D296" t="inlineStr">
        <is>
          <t>DALARNAS LÄN</t>
        </is>
      </c>
      <c r="E296" t="inlineStr">
        <is>
          <t>BORLÄNGE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41276-2024</t>
        </is>
      </c>
      <c r="B297" s="1" t="n">
        <v>45559.59444444445</v>
      </c>
      <c r="C297" s="1" t="n">
        <v>45878</v>
      </c>
      <c r="D297" t="inlineStr">
        <is>
          <t>DALARNAS LÄN</t>
        </is>
      </c>
      <c r="E297" t="inlineStr">
        <is>
          <t>BORLÄNGE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23416-2023</t>
        </is>
      </c>
      <c r="B298" s="1" t="n">
        <v>45076.51174768519</v>
      </c>
      <c r="C298" s="1" t="n">
        <v>45878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14995-2023</t>
        </is>
      </c>
      <c r="B299" s="1" t="n">
        <v>45015</v>
      </c>
      <c r="C299" s="1" t="n">
        <v>45878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21992-2023</t>
        </is>
      </c>
      <c r="B300" s="1" t="n">
        <v>45068.77065972222</v>
      </c>
      <c r="C300" s="1" t="n">
        <v>45878</v>
      </c>
      <c r="D300" t="inlineStr">
        <is>
          <t>DALARNAS LÄN</t>
        </is>
      </c>
      <c r="E300" t="inlineStr">
        <is>
          <t>BORLÄNGE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19468-2025</t>
        </is>
      </c>
      <c r="B301" s="1" t="n">
        <v>45770</v>
      </c>
      <c r="C301" s="1" t="n">
        <v>45878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24643-2025</t>
        </is>
      </c>
      <c r="B302" s="1" t="n">
        <v>45798</v>
      </c>
      <c r="C302" s="1" t="n">
        <v>45878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24645-2025</t>
        </is>
      </c>
      <c r="B303" s="1" t="n">
        <v>45798</v>
      </c>
      <c r="C303" s="1" t="n">
        <v>45878</v>
      </c>
      <c r="D303" t="inlineStr">
        <is>
          <t>DALARNAS LÄN</t>
        </is>
      </c>
      <c r="E303" t="inlineStr">
        <is>
          <t>BORLÄNGE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51858-2023</t>
        </is>
      </c>
      <c r="B304" s="1" t="n">
        <v>45223</v>
      </c>
      <c r="C304" s="1" t="n">
        <v>45878</v>
      </c>
      <c r="D304" t="inlineStr">
        <is>
          <t>DALARNAS LÄN</t>
        </is>
      </c>
      <c r="E304" t="inlineStr">
        <is>
          <t>BORLÄNGE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54420-2024</t>
        </is>
      </c>
      <c r="B305" s="1" t="n">
        <v>45617.48462962963</v>
      </c>
      <c r="C305" s="1" t="n">
        <v>45878</v>
      </c>
      <c r="D305" t="inlineStr">
        <is>
          <t>DALARNAS LÄN</t>
        </is>
      </c>
      <c r="E305" t="inlineStr">
        <is>
          <t>BORLÄNGE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8309-2022</t>
        </is>
      </c>
      <c r="B306" s="1" t="n">
        <v>44610</v>
      </c>
      <c r="C306" s="1" t="n">
        <v>45878</v>
      </c>
      <c r="D306" t="inlineStr">
        <is>
          <t>DALARNAS LÄN</t>
        </is>
      </c>
      <c r="E306" t="inlineStr">
        <is>
          <t>BORLÄNGE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25389-2022</t>
        </is>
      </c>
      <c r="B307" s="1" t="n">
        <v>44732.41245370371</v>
      </c>
      <c r="C307" s="1" t="n">
        <v>45878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2166-2025</t>
        </is>
      </c>
      <c r="B308" s="1" t="n">
        <v>45672</v>
      </c>
      <c r="C308" s="1" t="n">
        <v>45878</v>
      </c>
      <c r="D308" t="inlineStr">
        <is>
          <t>DALARNAS LÄN</t>
        </is>
      </c>
      <c r="E308" t="inlineStr">
        <is>
          <t>BORLÄNGE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44785.59181712963</v>
      </c>
      <c r="C309" s="1" t="n">
        <v>45878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48606-2023</t>
        </is>
      </c>
      <c r="B310" s="1" t="n">
        <v>45208.53342592593</v>
      </c>
      <c r="C310" s="1" t="n">
        <v>45878</v>
      </c>
      <c r="D310" t="inlineStr">
        <is>
          <t>DALARNAS LÄN</t>
        </is>
      </c>
      <c r="E310" t="inlineStr">
        <is>
          <t>BORLÄNGE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24764-2025</t>
        </is>
      </c>
      <c r="B311" s="1" t="n">
        <v>45799</v>
      </c>
      <c r="C311" s="1" t="n">
        <v>45878</v>
      </c>
      <c r="D311" t="inlineStr">
        <is>
          <t>DALARNAS LÄN</t>
        </is>
      </c>
      <c r="E311" t="inlineStr">
        <is>
          <t>BORLÄNGE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54414-2024</t>
        </is>
      </c>
      <c r="B312" s="1" t="n">
        <v>45617</v>
      </c>
      <c r="C312" s="1" t="n">
        <v>45878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59228-2020</t>
        </is>
      </c>
      <c r="B313" s="1" t="n">
        <v>44147</v>
      </c>
      <c r="C313" s="1" t="n">
        <v>45878</v>
      </c>
      <c r="D313" t="inlineStr">
        <is>
          <t>DALARNAS LÄN</t>
        </is>
      </c>
      <c r="E313" t="inlineStr">
        <is>
          <t>BORLÄNGE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43515-2024</t>
        </is>
      </c>
      <c r="B314" s="1" t="n">
        <v>45569.32403935185</v>
      </c>
      <c r="C314" s="1" t="n">
        <v>45878</v>
      </c>
      <c r="D314" t="inlineStr">
        <is>
          <t>DALARNAS LÄN</t>
        </is>
      </c>
      <c r="E314" t="inlineStr">
        <is>
          <t>BORLÄNGE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1166-2025</t>
        </is>
      </c>
      <c r="B315" s="1" t="n">
        <v>45666.93782407408</v>
      </c>
      <c r="C315" s="1" t="n">
        <v>45878</v>
      </c>
      <c r="D315" t="inlineStr">
        <is>
          <t>DALARNAS LÄN</t>
        </is>
      </c>
      <c r="E315" t="inlineStr">
        <is>
          <t>BORLÄNGE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45959-2024</t>
        </is>
      </c>
      <c r="B316" s="1" t="n">
        <v>45580.56954861111</v>
      </c>
      <c r="C316" s="1" t="n">
        <v>45878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49056-2023</t>
        </is>
      </c>
      <c r="B317" s="1" t="n">
        <v>45210.33983796297</v>
      </c>
      <c r="C317" s="1" t="n">
        <v>45878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25611-2025</t>
        </is>
      </c>
      <c r="B318" s="1" t="n">
        <v>45803</v>
      </c>
      <c r="C318" s="1" t="n">
        <v>45878</v>
      </c>
      <c r="D318" t="inlineStr">
        <is>
          <t>DALARNAS LÄN</t>
        </is>
      </c>
      <c r="E318" t="inlineStr">
        <is>
          <t>BORLÄNGE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42612-2024</t>
        </is>
      </c>
      <c r="B319" s="1" t="n">
        <v>45565.78232638889</v>
      </c>
      <c r="C319" s="1" t="n">
        <v>45878</v>
      </c>
      <c r="D319" t="inlineStr">
        <is>
          <t>DALARNAS LÄN</t>
        </is>
      </c>
      <c r="E319" t="inlineStr">
        <is>
          <t>BORLÄNGE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59771-2021</t>
        </is>
      </c>
      <c r="B320" s="1" t="n">
        <v>44494.46709490741</v>
      </c>
      <c r="C320" s="1" t="n">
        <v>45878</v>
      </c>
      <c r="D320" t="inlineStr">
        <is>
          <t>DALARNAS LÄN</t>
        </is>
      </c>
      <c r="E320" t="inlineStr">
        <is>
          <t>BORLÄNGE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38754-2023</t>
        </is>
      </c>
      <c r="B321" s="1" t="n">
        <v>45163</v>
      </c>
      <c r="C321" s="1" t="n">
        <v>45878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25932-2025</t>
        </is>
      </c>
      <c r="B322" s="1" t="n">
        <v>45804.5856712963</v>
      </c>
      <c r="C322" s="1" t="n">
        <v>45878</v>
      </c>
      <c r="D322" t="inlineStr">
        <is>
          <t>DALARNAS LÄN</t>
        </is>
      </c>
      <c r="E322" t="inlineStr">
        <is>
          <t>BORLÄNGE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34674-2023</t>
        </is>
      </c>
      <c r="B323" s="1" t="n">
        <v>45140</v>
      </c>
      <c r="C323" s="1" t="n">
        <v>45878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25789-2025</t>
        </is>
      </c>
      <c r="B324" s="1" t="n">
        <v>45804.38535879629</v>
      </c>
      <c r="C324" s="1" t="n">
        <v>45878</v>
      </c>
      <c r="D324" t="inlineStr">
        <is>
          <t>DALARNAS LÄN</t>
        </is>
      </c>
      <c r="E324" t="inlineStr">
        <is>
          <t>BORLÄNGE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34783-2024</t>
        </is>
      </c>
      <c r="B325" s="1" t="n">
        <v>45526</v>
      </c>
      <c r="C325" s="1" t="n">
        <v>45878</v>
      </c>
      <c r="D325" t="inlineStr">
        <is>
          <t>DALARNAS LÄN</t>
        </is>
      </c>
      <c r="E325" t="inlineStr">
        <is>
          <t>BORLÄNGE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13702-2021</t>
        </is>
      </c>
      <c r="B326" s="1" t="n">
        <v>44274</v>
      </c>
      <c r="C326" s="1" t="n">
        <v>45878</v>
      </c>
      <c r="D326" t="inlineStr">
        <is>
          <t>DALARNAS LÄN</t>
        </is>
      </c>
      <c r="E326" t="inlineStr">
        <is>
          <t>BORLÄNGE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15393-2023</t>
        </is>
      </c>
      <c r="B327" s="1" t="n">
        <v>45016</v>
      </c>
      <c r="C327" s="1" t="n">
        <v>45878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17510-2022</t>
        </is>
      </c>
      <c r="B328" s="1" t="n">
        <v>44679.54954861111</v>
      </c>
      <c r="C328" s="1" t="n">
        <v>45878</v>
      </c>
      <c r="D328" t="inlineStr">
        <is>
          <t>DALARNAS LÄN</t>
        </is>
      </c>
      <c r="E328" t="inlineStr">
        <is>
          <t>BORLÄNGE</t>
        </is>
      </c>
      <c r="F328" t="inlineStr">
        <is>
          <t>Kommuner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11087-2023</t>
        </is>
      </c>
      <c r="B329" s="1" t="n">
        <v>44992.38239583333</v>
      </c>
      <c r="C329" s="1" t="n">
        <v>45878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1167-2025</t>
        </is>
      </c>
      <c r="B330" s="1" t="n">
        <v>45666.96104166667</v>
      </c>
      <c r="C330" s="1" t="n">
        <v>45878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8017-2025</t>
        </is>
      </c>
      <c r="B331" s="1" t="n">
        <v>45707.56586805556</v>
      </c>
      <c r="C331" s="1" t="n">
        <v>45878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57898-2024</t>
        </is>
      </c>
      <c r="B332" s="1" t="n">
        <v>45631.47834490741</v>
      </c>
      <c r="C332" s="1" t="n">
        <v>45878</v>
      </c>
      <c r="D332" t="inlineStr">
        <is>
          <t>DALARNAS LÄN</t>
        </is>
      </c>
      <c r="E332" t="inlineStr">
        <is>
          <t>BORLÄNGE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27032-2025</t>
        </is>
      </c>
      <c r="B333" s="1" t="n">
        <v>45811.58952546296</v>
      </c>
      <c r="C333" s="1" t="n">
        <v>45878</v>
      </c>
      <c r="D333" t="inlineStr">
        <is>
          <t>DALARNAS LÄN</t>
        </is>
      </c>
      <c r="E333" t="inlineStr">
        <is>
          <t>BORLÄNGE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40654-2022</t>
        </is>
      </c>
      <c r="B334" s="1" t="n">
        <v>44824.35642361111</v>
      </c>
      <c r="C334" s="1" t="n">
        <v>45878</v>
      </c>
      <c r="D334" t="inlineStr">
        <is>
          <t>DALARNAS LÄN</t>
        </is>
      </c>
      <c r="E334" t="inlineStr">
        <is>
          <t>BORLÄNGE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27233-2025</t>
        </is>
      </c>
      <c r="B335" s="1" t="n">
        <v>45812.44297453704</v>
      </c>
      <c r="C335" s="1" t="n">
        <v>45878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19096-2021</t>
        </is>
      </c>
      <c r="B336" s="1" t="n">
        <v>44308</v>
      </c>
      <c r="C336" s="1" t="n">
        <v>45878</v>
      </c>
      <c r="D336" t="inlineStr">
        <is>
          <t>DALARNAS LÄN</t>
        </is>
      </c>
      <c r="E336" t="inlineStr">
        <is>
          <t>BORLÄNGE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10173-2025</t>
        </is>
      </c>
      <c r="B337" s="1" t="n">
        <v>45719.65857638889</v>
      </c>
      <c r="C337" s="1" t="n">
        <v>45878</v>
      </c>
      <c r="D337" t="inlineStr">
        <is>
          <t>DALARNAS LÄN</t>
        </is>
      </c>
      <c r="E337" t="inlineStr">
        <is>
          <t>BORLÄNGE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27670-2025</t>
        </is>
      </c>
      <c r="B338" s="1" t="n">
        <v>45813.62518518518</v>
      </c>
      <c r="C338" s="1" t="n">
        <v>45878</v>
      </c>
      <c r="D338" t="inlineStr">
        <is>
          <t>DALARNAS LÄN</t>
        </is>
      </c>
      <c r="E338" t="inlineStr">
        <is>
          <t>BORLÄNGE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27713-2025</t>
        </is>
      </c>
      <c r="B339" s="1" t="n">
        <v>45813</v>
      </c>
      <c r="C339" s="1" t="n">
        <v>45878</v>
      </c>
      <c r="D339" t="inlineStr">
        <is>
          <t>DALARNAS LÄN</t>
        </is>
      </c>
      <c r="E339" t="inlineStr">
        <is>
          <t>BORLÄNGE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63192-2023</t>
        </is>
      </c>
      <c r="B340" s="1" t="n">
        <v>45273.60155092592</v>
      </c>
      <c r="C340" s="1" t="n">
        <v>45878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27720-2024</t>
        </is>
      </c>
      <c r="B341" s="1" t="n">
        <v>45475.39222222222</v>
      </c>
      <c r="C341" s="1" t="n">
        <v>45878</v>
      </c>
      <c r="D341" t="inlineStr">
        <is>
          <t>DALARNAS LÄN</t>
        </is>
      </c>
      <c r="E341" t="inlineStr">
        <is>
          <t>BORLÄNGE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27714-2025</t>
        </is>
      </c>
      <c r="B342" s="1" t="n">
        <v>45813.91087962963</v>
      </c>
      <c r="C342" s="1" t="n">
        <v>45878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57533-2023</t>
        </is>
      </c>
      <c r="B343" s="1" t="n">
        <v>45246</v>
      </c>
      <c r="C343" s="1" t="n">
        <v>45878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55735-2023</t>
        </is>
      </c>
      <c r="B344" s="1" t="n">
        <v>45239.43166666666</v>
      </c>
      <c r="C344" s="1" t="n">
        <v>45878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619-2024</t>
        </is>
      </c>
      <c r="B345" s="1" t="n">
        <v>45299.66493055555</v>
      </c>
      <c r="C345" s="1" t="n">
        <v>45878</v>
      </c>
      <c r="D345" t="inlineStr">
        <is>
          <t>DALARNAS LÄN</t>
        </is>
      </c>
      <c r="E345" t="inlineStr">
        <is>
          <t>BORLÄNGE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35816-2025</t>
        </is>
      </c>
      <c r="B346" s="1" t="n">
        <v>45861.44006944444</v>
      </c>
      <c r="C346" s="1" t="n">
        <v>45878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28891-2025</t>
        </is>
      </c>
      <c r="B347" s="1" t="n">
        <v>45820.6316087963</v>
      </c>
      <c r="C347" s="1" t="n">
        <v>45878</v>
      </c>
      <c r="D347" t="inlineStr">
        <is>
          <t>DALARNAS LÄN</t>
        </is>
      </c>
      <c r="E347" t="inlineStr">
        <is>
          <t>BORLÄNGE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43012-2023</t>
        </is>
      </c>
      <c r="B348" s="1" t="n">
        <v>45182.63990740741</v>
      </c>
      <c r="C348" s="1" t="n">
        <v>45878</v>
      </c>
      <c r="D348" t="inlineStr">
        <is>
          <t>DALARNAS LÄN</t>
        </is>
      </c>
      <c r="E348" t="inlineStr">
        <is>
          <t>BORLÄNGE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10689-2024</t>
        </is>
      </c>
      <c r="B349" s="1" t="n">
        <v>45369.40248842593</v>
      </c>
      <c r="C349" s="1" t="n">
        <v>45878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36214-2024</t>
        </is>
      </c>
      <c r="B350" s="1" t="n">
        <v>45534.46560185185</v>
      </c>
      <c r="C350" s="1" t="n">
        <v>45878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36217-2024</t>
        </is>
      </c>
      <c r="B351" s="1" t="n">
        <v>45534.46862268518</v>
      </c>
      <c r="C351" s="1" t="n">
        <v>45878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35789-2025</t>
        </is>
      </c>
      <c r="B352" s="1" t="n">
        <v>45861.33846064815</v>
      </c>
      <c r="C352" s="1" t="n">
        <v>45878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5260-2025</t>
        </is>
      </c>
      <c r="B353" s="1" t="n">
        <v>45692.36865740741</v>
      </c>
      <c r="C353" s="1" t="n">
        <v>45878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36356-2021</t>
        </is>
      </c>
      <c r="B354" s="1" t="n">
        <v>44384</v>
      </c>
      <c r="C354" s="1" t="n">
        <v>45878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8504-2025</t>
        </is>
      </c>
      <c r="B355" s="1" t="n">
        <v>45709</v>
      </c>
      <c r="C355" s="1" t="n">
        <v>45878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28321-2024</t>
        </is>
      </c>
      <c r="B356" s="1" t="n">
        <v>45477.50732638889</v>
      </c>
      <c r="C356" s="1" t="n">
        <v>45878</v>
      </c>
      <c r="D356" t="inlineStr">
        <is>
          <t>DALARNAS LÄN</t>
        </is>
      </c>
      <c r="E356" t="inlineStr">
        <is>
          <t>BORLÄNGE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60518-2023</t>
        </is>
      </c>
      <c r="B357" s="1" t="n">
        <v>45259</v>
      </c>
      <c r="C357" s="1" t="n">
        <v>45878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62080-2024</t>
        </is>
      </c>
      <c r="B358" s="1" t="n">
        <v>45656.42575231481</v>
      </c>
      <c r="C358" s="1" t="n">
        <v>45878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60060-2023</t>
        </is>
      </c>
      <c r="B359" s="1" t="n">
        <v>45258.38181712963</v>
      </c>
      <c r="C359" s="1" t="n">
        <v>45878</v>
      </c>
      <c r="D359" t="inlineStr">
        <is>
          <t>DALARNAS LÄN</t>
        </is>
      </c>
      <c r="E359" t="inlineStr">
        <is>
          <t>BORLÄNGE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30540-2025</t>
        </is>
      </c>
      <c r="B360" s="1" t="n">
        <v>45831.36956018519</v>
      </c>
      <c r="C360" s="1" t="n">
        <v>45878</v>
      </c>
      <c r="D360" t="inlineStr">
        <is>
          <t>DALARNAS LÄN</t>
        </is>
      </c>
      <c r="E360" t="inlineStr">
        <is>
          <t>BORLÄNGE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43516-2023</t>
        </is>
      </c>
      <c r="B361" s="1" t="n">
        <v>45184</v>
      </c>
      <c r="C361" s="1" t="n">
        <v>45878</v>
      </c>
      <c r="D361" t="inlineStr">
        <is>
          <t>DALARNAS LÄN</t>
        </is>
      </c>
      <c r="E361" t="inlineStr">
        <is>
          <t>BORLÄNGE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17560-2025</t>
        </is>
      </c>
      <c r="B362" s="1" t="n">
        <v>45757.63572916666</v>
      </c>
      <c r="C362" s="1" t="n">
        <v>45878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36696-2025</t>
        </is>
      </c>
      <c r="B363" s="1" t="n">
        <v>45873.43974537037</v>
      </c>
      <c r="C363" s="1" t="n">
        <v>45878</v>
      </c>
      <c r="D363" t="inlineStr">
        <is>
          <t>DALARNAS LÄN</t>
        </is>
      </c>
      <c r="E363" t="inlineStr">
        <is>
          <t>BORLÄNGE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36675-2025</t>
        </is>
      </c>
      <c r="B364" s="1" t="n">
        <v>45873.39479166667</v>
      </c>
      <c r="C364" s="1" t="n">
        <v>45878</v>
      </c>
      <c r="D364" t="inlineStr">
        <is>
          <t>DALARNAS LÄN</t>
        </is>
      </c>
      <c r="E364" t="inlineStr">
        <is>
          <t>BORLÄNGE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36679-2025</t>
        </is>
      </c>
      <c r="B365" s="1" t="n">
        <v>45873.39715277778</v>
      </c>
      <c r="C365" s="1" t="n">
        <v>45878</v>
      </c>
      <c r="D365" t="inlineStr">
        <is>
          <t>DALARNAS LÄN</t>
        </is>
      </c>
      <c r="E365" t="inlineStr">
        <is>
          <t>BORLÄNGE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35501-2023</t>
        </is>
      </c>
      <c r="B366" s="1" t="n">
        <v>45146</v>
      </c>
      <c r="C366" s="1" t="n">
        <v>45878</v>
      </c>
      <c r="D366" t="inlineStr">
        <is>
          <t>DALARNAS LÄN</t>
        </is>
      </c>
      <c r="E366" t="inlineStr">
        <is>
          <t>BORLÄNGE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35594-2022</t>
        </is>
      </c>
      <c r="B367" s="1" t="n">
        <v>44799</v>
      </c>
      <c r="C367" s="1" t="n">
        <v>45878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70621-2021</t>
        </is>
      </c>
      <c r="B368" s="1" t="n">
        <v>44537.4658449074</v>
      </c>
      <c r="C368" s="1" t="n">
        <v>45878</v>
      </c>
      <c r="D368" t="inlineStr">
        <is>
          <t>DALARNAS LÄN</t>
        </is>
      </c>
      <c r="E368" t="inlineStr">
        <is>
          <t>BORLÄNGE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37221-2025</t>
        </is>
      </c>
      <c r="B369" s="1" t="n">
        <v>45875.92728009259</v>
      </c>
      <c r="C369" s="1" t="n">
        <v>45878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37223-2025</t>
        </is>
      </c>
      <c r="B370" s="1" t="n">
        <v>45875.93337962963</v>
      </c>
      <c r="C370" s="1" t="n">
        <v>45878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51849-2022</t>
        </is>
      </c>
      <c r="B371" s="1" t="n">
        <v>44867</v>
      </c>
      <c r="C371" s="1" t="n">
        <v>45878</v>
      </c>
      <c r="D371" t="inlineStr">
        <is>
          <t>DALARNAS LÄN</t>
        </is>
      </c>
      <c r="E371" t="inlineStr">
        <is>
          <t>BORLÄNGE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68085-2021</t>
        </is>
      </c>
      <c r="B372" s="1" t="n">
        <v>44526.3409375</v>
      </c>
      <c r="C372" s="1" t="n">
        <v>45878</v>
      </c>
      <c r="D372" t="inlineStr">
        <is>
          <t>DALARNAS LÄN</t>
        </is>
      </c>
      <c r="E372" t="inlineStr">
        <is>
          <t>BORLÄNGE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37222-2025</t>
        </is>
      </c>
      <c r="B373" s="1" t="n">
        <v>45875.93008101852</v>
      </c>
      <c r="C373" s="1" t="n">
        <v>45878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37034-2025</t>
        </is>
      </c>
      <c r="B374" s="1" t="n">
        <v>45874</v>
      </c>
      <c r="C374" s="1" t="n">
        <v>45878</v>
      </c>
      <c r="D374" t="inlineStr">
        <is>
          <t>DALARNAS LÄN</t>
        </is>
      </c>
      <c r="E374" t="inlineStr">
        <is>
          <t>BORLÄNGE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31589-2025</t>
        </is>
      </c>
      <c r="B375" s="1" t="n">
        <v>45833.69518518518</v>
      </c>
      <c r="C375" s="1" t="n">
        <v>45878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36424-2024</t>
        </is>
      </c>
      <c r="B376" s="1" t="n">
        <v>45536.67121527778</v>
      </c>
      <c r="C376" s="1" t="n">
        <v>45878</v>
      </c>
      <c r="D376" t="inlineStr">
        <is>
          <t>DALARNAS LÄN</t>
        </is>
      </c>
      <c r="E376" t="inlineStr">
        <is>
          <t>BORLÄNGE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45083-2021</t>
        </is>
      </c>
      <c r="B377" s="1" t="n">
        <v>44438</v>
      </c>
      <c r="C377" s="1" t="n">
        <v>45878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67422-2021</t>
        </is>
      </c>
      <c r="B378" s="1" t="n">
        <v>44524</v>
      </c>
      <c r="C378" s="1" t="n">
        <v>45878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11568-2021</t>
        </is>
      </c>
      <c r="B379" s="1" t="n">
        <v>44264.51380787037</v>
      </c>
      <c r="C379" s="1" t="n">
        <v>45878</v>
      </c>
      <c r="D379" t="inlineStr">
        <is>
          <t>DALARNAS LÄN</t>
        </is>
      </c>
      <c r="E379" t="inlineStr">
        <is>
          <t>BORLÄNGE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50325-2021</t>
        </is>
      </c>
      <c r="B380" s="1" t="n">
        <v>44438</v>
      </c>
      <c r="C380" s="1" t="n">
        <v>45878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45488-2023</t>
        </is>
      </c>
      <c r="B381" s="1" t="n">
        <v>45194</v>
      </c>
      <c r="C381" s="1" t="n">
        <v>45878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11136-2023</t>
        </is>
      </c>
      <c r="B382" s="1" t="n">
        <v>44992</v>
      </c>
      <c r="C382" s="1" t="n">
        <v>45878</v>
      </c>
      <c r="D382" t="inlineStr">
        <is>
          <t>DALARNAS LÄN</t>
        </is>
      </c>
      <c r="E382" t="inlineStr">
        <is>
          <t>BORLÄNGE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20581-2024</t>
        </is>
      </c>
      <c r="B383" s="1" t="n">
        <v>45436</v>
      </c>
      <c r="C383" s="1" t="n">
        <v>45878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599-2021</t>
        </is>
      </c>
      <c r="B384" s="1" t="n">
        <v>44203</v>
      </c>
      <c r="C384" s="1" t="n">
        <v>45878</v>
      </c>
      <c r="D384" t="inlineStr">
        <is>
          <t>DALARNAS LÄN</t>
        </is>
      </c>
      <c r="E384" t="inlineStr">
        <is>
          <t>BORLÄNGE</t>
        </is>
      </c>
      <c r="F384" t="inlineStr">
        <is>
          <t>Kommuner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22652-2024</t>
        </is>
      </c>
      <c r="B385" s="1" t="n">
        <v>45447.90041666666</v>
      </c>
      <c r="C385" s="1" t="n">
        <v>45878</v>
      </c>
      <c r="D385" t="inlineStr">
        <is>
          <t>DALARNAS LÄN</t>
        </is>
      </c>
      <c r="E385" t="inlineStr">
        <is>
          <t>BORLÄNGE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1966-2024</t>
        </is>
      </c>
      <c r="B386" s="1" t="n">
        <v>45308</v>
      </c>
      <c r="C386" s="1" t="n">
        <v>45878</v>
      </c>
      <c r="D386" t="inlineStr">
        <is>
          <t>DALARNAS LÄN</t>
        </is>
      </c>
      <c r="E386" t="inlineStr">
        <is>
          <t>BORLÄNGE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383-2022</t>
        </is>
      </c>
      <c r="B387" s="1" t="n">
        <v>44565</v>
      </c>
      <c r="C387" s="1" t="n">
        <v>45878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28312-2022</t>
        </is>
      </c>
      <c r="B388" s="1" t="n">
        <v>44747.36041666667</v>
      </c>
      <c r="C388" s="1" t="n">
        <v>45878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18529-2024</t>
        </is>
      </c>
      <c r="B389" s="1" t="n">
        <v>45425</v>
      </c>
      <c r="C389" s="1" t="n">
        <v>45878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53092-2021</t>
        </is>
      </c>
      <c r="B390" s="1" t="n">
        <v>44467</v>
      </c>
      <c r="C390" s="1" t="n">
        <v>45878</v>
      </c>
      <c r="D390" t="inlineStr">
        <is>
          <t>DALARNAS LÄN</t>
        </is>
      </c>
      <c r="E390" t="inlineStr">
        <is>
          <t>BORLÄNGE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19558-2025</t>
        </is>
      </c>
      <c r="B391" s="1" t="n">
        <v>45770.51365740741</v>
      </c>
      <c r="C391" s="1" t="n">
        <v>45878</v>
      </c>
      <c r="D391" t="inlineStr">
        <is>
          <t>DALARNAS LÄN</t>
        </is>
      </c>
      <c r="E391" t="inlineStr">
        <is>
          <t>BORLÄNGE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28324-2024</t>
        </is>
      </c>
      <c r="B392" s="1" t="n">
        <v>45477.51149305556</v>
      </c>
      <c r="C392" s="1" t="n">
        <v>45878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59674-2021</t>
        </is>
      </c>
      <c r="B393" s="1" t="n">
        <v>44494</v>
      </c>
      <c r="C393" s="1" t="n">
        <v>45878</v>
      </c>
      <c r="D393" t="inlineStr">
        <is>
          <t>DALARNAS LÄN</t>
        </is>
      </c>
      <c r="E393" t="inlineStr">
        <is>
          <t>BORLÄNGE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HYPERLINK("https://klasma.github.io/Logging_2081/knärot/A 59674-2021 karta knärot.png", "A 59674-2021")</f>
        <v/>
      </c>
      <c r="V393">
        <f>HYPERLINK("https://klasma.github.io/Logging_2081/klagomål/A 59674-2021 FSC-klagomål.docx", "A 59674-2021")</f>
        <v/>
      </c>
      <c r="W393">
        <f>HYPERLINK("https://klasma.github.io/Logging_2081/klagomålsmail/A 59674-2021 FSC-klagomål mail.docx", "A 59674-2021")</f>
        <v/>
      </c>
      <c r="X393">
        <f>HYPERLINK("https://klasma.github.io/Logging_2081/tillsyn/A 59674-2021 tillsynsbegäran.docx", "A 59674-2021")</f>
        <v/>
      </c>
      <c r="Y393">
        <f>HYPERLINK("https://klasma.github.io/Logging_2081/tillsynsmail/A 59674-2021 tillsynsbegäran mail.docx", "A 59674-2021")</f>
        <v/>
      </c>
    </row>
    <row r="394" ht="15" customHeight="1">
      <c r="A394" t="inlineStr">
        <is>
          <t>A 20814-2024</t>
        </is>
      </c>
      <c r="B394" s="1" t="n">
        <v>45439.35818287037</v>
      </c>
      <c r="C394" s="1" t="n">
        <v>45878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26886-2024</t>
        </is>
      </c>
      <c r="B395" s="1" t="n">
        <v>45470</v>
      </c>
      <c r="C395" s="1" t="n">
        <v>45878</v>
      </c>
      <c r="D395" t="inlineStr">
        <is>
          <t>DALARNAS LÄN</t>
        </is>
      </c>
      <c r="E395" t="inlineStr">
        <is>
          <t>BORLÄNGE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HYPERLINK("https://klasma.github.io/Logging_2081/knärot/A 26886-2024 karta knärot.png", "A 26886-2024")</f>
        <v/>
      </c>
      <c r="V395">
        <f>HYPERLINK("https://klasma.github.io/Logging_2081/klagomål/A 26886-2024 FSC-klagomål.docx", "A 26886-2024")</f>
        <v/>
      </c>
      <c r="W395">
        <f>HYPERLINK("https://klasma.github.io/Logging_2081/klagomålsmail/A 26886-2024 FSC-klagomål mail.docx", "A 26886-2024")</f>
        <v/>
      </c>
      <c r="X395">
        <f>HYPERLINK("https://klasma.github.io/Logging_2081/tillsyn/A 26886-2024 tillsynsbegäran.docx", "A 26886-2024")</f>
        <v/>
      </c>
      <c r="Y395">
        <f>HYPERLINK("https://klasma.github.io/Logging_2081/tillsynsmail/A 26886-2024 tillsynsbegäran mail.docx", "A 26886-2024")</f>
        <v/>
      </c>
    </row>
    <row r="396" ht="15" customHeight="1">
      <c r="A396" t="inlineStr">
        <is>
          <t>A 4682-2025</t>
        </is>
      </c>
      <c r="B396" s="1" t="n">
        <v>45687.86734953704</v>
      </c>
      <c r="C396" s="1" t="n">
        <v>45878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6436-2022</t>
        </is>
      </c>
      <c r="B397" s="1" t="n">
        <v>44601</v>
      </c>
      <c r="C397" s="1" t="n">
        <v>45878</v>
      </c>
      <c r="D397" t="inlineStr">
        <is>
          <t>DALARNAS LÄN</t>
        </is>
      </c>
      <c r="E397" t="inlineStr">
        <is>
          <t>BORLÄNGE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5384-2025</t>
        </is>
      </c>
      <c r="B398" s="1" t="n">
        <v>45692.61747685185</v>
      </c>
      <c r="C398" s="1" t="n">
        <v>45878</v>
      </c>
      <c r="D398" t="inlineStr">
        <is>
          <t>DALARNAS LÄN</t>
        </is>
      </c>
      <c r="E398" t="inlineStr">
        <is>
          <t>BORLÄNGE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55298-2023</t>
        </is>
      </c>
      <c r="B399" s="1" t="n">
        <v>45237</v>
      </c>
      <c r="C399" s="1" t="n">
        <v>45878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14753-2025</t>
        </is>
      </c>
      <c r="B400" s="1" t="n">
        <v>45742.66197916667</v>
      </c>
      <c r="C400" s="1" t="n">
        <v>45878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43662-2022</t>
        </is>
      </c>
      <c r="B401" s="1" t="n">
        <v>44837</v>
      </c>
      <c r="C401" s="1" t="n">
        <v>45878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64688-2023</t>
        </is>
      </c>
      <c r="B402" s="1" t="n">
        <v>45281</v>
      </c>
      <c r="C402" s="1" t="n">
        <v>45878</v>
      </c>
      <c r="D402" t="inlineStr">
        <is>
          <t>DALARNAS LÄN</t>
        </is>
      </c>
      <c r="E402" t="inlineStr">
        <is>
          <t>BORLÄNGE</t>
        </is>
      </c>
      <c r="F402" t="inlineStr">
        <is>
          <t>Kyrkan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14691-2021</t>
        </is>
      </c>
      <c r="B403" s="1" t="n">
        <v>44280</v>
      </c>
      <c r="C403" s="1" t="n">
        <v>45878</v>
      </c>
      <c r="D403" t="inlineStr">
        <is>
          <t>DALARNAS LÄN</t>
        </is>
      </c>
      <c r="E403" t="inlineStr">
        <is>
          <t>BORLÄNGE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68735-2021</t>
        </is>
      </c>
      <c r="B404" s="1" t="n">
        <v>44529</v>
      </c>
      <c r="C404" s="1" t="n">
        <v>45878</v>
      </c>
      <c r="D404" t="inlineStr">
        <is>
          <t>DALARNAS LÄN</t>
        </is>
      </c>
      <c r="E404" t="inlineStr">
        <is>
          <t>BORLÄNGE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7588-2023</t>
        </is>
      </c>
      <c r="B405" s="1" t="n">
        <v>44972</v>
      </c>
      <c r="C405" s="1" t="n">
        <v>45878</v>
      </c>
      <c r="D405" t="inlineStr">
        <is>
          <t>DALARNAS LÄN</t>
        </is>
      </c>
      <c r="E405" t="inlineStr">
        <is>
          <t>BORLÄNGE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2025-08-09T18:50:20Z</dcterms:created>
  <dcterms:modified xmlns:dcterms="http://purl.org/dc/terms/" xmlns:xsi="http://www.w3.org/2001/XMLSchema-instance" xsi:type="dcterms:W3CDTF">2025-08-09T18:50:21Z</dcterms:modified>
</cp:coreProperties>
</file>