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45565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45565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45565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45565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45565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45565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45565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45565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45565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45565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45565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45565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45565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45565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45565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45565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45565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45565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45565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45565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45565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45565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45565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45565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45565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45565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45565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45565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45565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45565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45565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45565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45565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45565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45565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45565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45565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45565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45565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45565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45565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45565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45565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45565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45565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45565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45565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45565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45565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45565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45565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45565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45565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45565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45565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45565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45565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45565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45565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15196-2023</t>
        </is>
      </c>
      <c r="B61" s="1" t="n">
        <v>45016</v>
      </c>
      <c r="C61" s="1" t="n">
        <v>45565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HYPERLINK("https://klasma.github.io/Logging_2081/artfynd/A 15196-2023 artfynd.xlsx", "A 15196-2023")</f>
        <v/>
      </c>
      <c r="T61">
        <f>HYPERLINK("https://klasma.github.io/Logging_2081/kartor/A 15196-2023 karta.png", "A 15196-2023")</f>
        <v/>
      </c>
      <c r="V61">
        <f>HYPERLINK("https://klasma.github.io/Logging_2081/klagomål/A 15196-2023 FSC-klagomål.docx", "A 15196-2023")</f>
        <v/>
      </c>
      <c r="W61">
        <f>HYPERLINK("https://klasma.github.io/Logging_2081/klagomålsmail/A 15196-2023 FSC-klagomål mail.docx", "A 15196-2023")</f>
        <v/>
      </c>
      <c r="X61">
        <f>HYPERLINK("https://klasma.github.io/Logging_2081/tillsyn/A 15196-2023 tillsynsbegäran.docx", "A 15196-2023")</f>
        <v/>
      </c>
      <c r="Y61">
        <f>HYPERLINK("https://klasma.github.io/Logging_2081/tillsynsmail/A 15196-2023 tillsynsbegäran mail.docx", "A 15196-2023")</f>
        <v/>
      </c>
    </row>
    <row r="62" ht="15" customHeight="1">
      <c r="A62" t="inlineStr">
        <is>
          <t>A 17576-2023</t>
        </is>
      </c>
      <c r="B62" s="1" t="n">
        <v>45036</v>
      </c>
      <c r="C62" s="1" t="n">
        <v>45565</v>
      </c>
      <c r="D62" t="inlineStr">
        <is>
          <t>DALARNAS LÄN</t>
        </is>
      </c>
      <c r="E62" t="inlineStr">
        <is>
          <t>BORLÄNGE</t>
        </is>
      </c>
      <c r="G62" t="n">
        <v>12.6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HYPERLINK("https://klasma.github.io/Logging_2081/artfynd/A 17576-2023 artfynd.xlsx", "A 17576-2023")</f>
        <v/>
      </c>
      <c r="T62">
        <f>HYPERLINK("https://klasma.github.io/Logging_2081/kartor/A 17576-2023 karta.png", "A 17576-2023")</f>
        <v/>
      </c>
      <c r="V62">
        <f>HYPERLINK("https://klasma.github.io/Logging_2081/klagomål/A 17576-2023 FSC-klagomål.docx", "A 17576-2023")</f>
        <v/>
      </c>
      <c r="W62">
        <f>HYPERLINK("https://klasma.github.io/Logging_2081/klagomålsmail/A 17576-2023 FSC-klagomål mail.docx", "A 17576-2023")</f>
        <v/>
      </c>
      <c r="X62">
        <f>HYPERLINK("https://klasma.github.io/Logging_2081/tillsyn/A 17576-2023 tillsynsbegäran.docx", "A 17576-2023")</f>
        <v/>
      </c>
      <c r="Y62">
        <f>HYPERLINK("https://klasma.github.io/Logging_2081/tillsynsmail/A 17576-2023 tillsynsbegäran mail.docx", "A 17576-2023")</f>
        <v/>
      </c>
      <c r="Z62">
        <f>HYPERLINK("https://klasma.github.io/Logging_2081/fåglar/A 17576-2023 prioriterade fågelarter.docx", "A 17576-2023")</f>
        <v/>
      </c>
    </row>
    <row r="63" ht="15" customHeight="1">
      <c r="A63" t="inlineStr">
        <is>
          <t>A 17571-2023</t>
        </is>
      </c>
      <c r="B63" s="1" t="n">
        <v>45036</v>
      </c>
      <c r="C63" s="1" t="n">
        <v>45565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17571-2023 artfynd.xlsx", "A 17571-2023")</f>
        <v/>
      </c>
      <c r="T63">
        <f>HYPERLINK("https://klasma.github.io/Logging_2081/kartor/A 17571-2023 karta.png", "A 17571-2023")</f>
        <v/>
      </c>
      <c r="V63">
        <f>HYPERLINK("https://klasma.github.io/Logging_2081/klagomål/A 17571-2023 FSC-klagomål.docx", "A 17571-2023")</f>
        <v/>
      </c>
      <c r="W63">
        <f>HYPERLINK("https://klasma.github.io/Logging_2081/klagomålsmail/A 17571-2023 FSC-klagomål mail.docx", "A 17571-2023")</f>
        <v/>
      </c>
      <c r="X63">
        <f>HYPERLINK("https://klasma.github.io/Logging_2081/tillsyn/A 17571-2023 tillsynsbegäran.docx", "A 17571-2023")</f>
        <v/>
      </c>
      <c r="Y63">
        <f>HYPERLINK("https://klasma.github.io/Logging_2081/tillsynsmail/A 17571-2023 tillsynsbegäran mail.docx", "A 17571-2023")</f>
        <v/>
      </c>
      <c r="Z63">
        <f>HYPERLINK("https://klasma.github.io/Logging_2081/fåglar/A 17571-2023 prioriterade fågelarter.docx", "A 17571-2023")</f>
        <v/>
      </c>
    </row>
    <row r="64" ht="15" customHeight="1">
      <c r="A64" t="inlineStr">
        <is>
          <t>A 17913-2023</t>
        </is>
      </c>
      <c r="B64" s="1" t="n">
        <v>45040</v>
      </c>
      <c r="C64" s="1" t="n">
        <v>45565</v>
      </c>
      <c r="D64" t="inlineStr">
        <is>
          <t>DALARNAS LÄN</t>
        </is>
      </c>
      <c r="E64" t="inlineStr">
        <is>
          <t>BORLÄNGE</t>
        </is>
      </c>
      <c r="G64" t="n">
        <v>8.800000000000001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17913-2023 artfynd.xlsx", "A 17913-2023")</f>
        <v/>
      </c>
      <c r="T64">
        <f>HYPERLINK("https://klasma.github.io/Logging_2081/kartor/A 17913-2023 karta.png", "A 17913-2023")</f>
        <v/>
      </c>
      <c r="V64">
        <f>HYPERLINK("https://klasma.github.io/Logging_2081/klagomål/A 17913-2023 FSC-klagomål.docx", "A 17913-2023")</f>
        <v/>
      </c>
      <c r="W64">
        <f>HYPERLINK("https://klasma.github.io/Logging_2081/klagomålsmail/A 17913-2023 FSC-klagomål mail.docx", "A 17913-2023")</f>
        <v/>
      </c>
      <c r="X64">
        <f>HYPERLINK("https://klasma.github.io/Logging_2081/tillsyn/A 17913-2023 tillsynsbegäran.docx", "A 17913-2023")</f>
        <v/>
      </c>
      <c r="Y64">
        <f>HYPERLINK("https://klasma.github.io/Logging_2081/tillsynsmail/A 17913-2023 tillsynsbegäran mail.docx", "A 17913-2023")</f>
        <v/>
      </c>
    </row>
    <row r="65" ht="15" customHeight="1">
      <c r="A65" t="inlineStr">
        <is>
          <t>A 20925-2023</t>
        </is>
      </c>
      <c r="B65" s="1" t="n">
        <v>45061</v>
      </c>
      <c r="C65" s="1" t="n">
        <v>45565</v>
      </c>
      <c r="D65" t="inlineStr">
        <is>
          <t>DALARNAS LÄN</t>
        </is>
      </c>
      <c r="E65" t="inlineStr">
        <is>
          <t>BORLÄNGE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20925-2023 artfynd.xlsx", "A 20925-2023")</f>
        <v/>
      </c>
      <c r="T65">
        <f>HYPERLINK("https://klasma.github.io/Logging_2081/kartor/A 20925-2023 karta.png", "A 20925-2023")</f>
        <v/>
      </c>
      <c r="U65">
        <f>HYPERLINK("https://klasma.github.io/Logging_2081/knärot/A 20925-2023 karta knärot.png", "A 20925-2023")</f>
        <v/>
      </c>
      <c r="V65">
        <f>HYPERLINK("https://klasma.github.io/Logging_2081/klagomål/A 20925-2023 FSC-klagomål.docx", "A 20925-2023")</f>
        <v/>
      </c>
      <c r="W65">
        <f>HYPERLINK("https://klasma.github.io/Logging_2081/klagomålsmail/A 20925-2023 FSC-klagomål mail.docx", "A 20925-2023")</f>
        <v/>
      </c>
      <c r="X65">
        <f>HYPERLINK("https://klasma.github.io/Logging_2081/tillsyn/A 20925-2023 tillsynsbegäran.docx", "A 20925-2023")</f>
        <v/>
      </c>
      <c r="Y65">
        <f>HYPERLINK("https://klasma.github.io/Logging_2081/tillsynsmail/A 20925-2023 tillsynsbegäran mail.docx", "A 20925-2023")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45565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22900-2023</t>
        </is>
      </c>
      <c r="B67" s="1" t="n">
        <v>45072</v>
      </c>
      <c r="C67" s="1" t="n">
        <v>45565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22900-2023 artfynd.xlsx", "A 22900-2023")</f>
        <v/>
      </c>
      <c r="T67">
        <f>HYPERLINK("https://klasma.github.io/Logging_2081/kartor/A 22900-2023 karta.png", "A 22900-2023")</f>
        <v/>
      </c>
      <c r="V67">
        <f>HYPERLINK("https://klasma.github.io/Logging_2081/klagomål/A 22900-2023 FSC-klagomål.docx", "A 22900-2023")</f>
        <v/>
      </c>
      <c r="W67">
        <f>HYPERLINK("https://klasma.github.io/Logging_2081/klagomålsmail/A 22900-2023 FSC-klagomål mail.docx", "A 22900-2023")</f>
        <v/>
      </c>
      <c r="X67">
        <f>HYPERLINK("https://klasma.github.io/Logging_2081/tillsyn/A 22900-2023 tillsynsbegäran.docx", "A 22900-2023")</f>
        <v/>
      </c>
      <c r="Y67">
        <f>HYPERLINK("https://klasma.github.io/Logging_2081/tillsynsmail/A 22900-2023 tillsynsbegäran mail.docx", "A 22900-2023")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45565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45565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47211-2023</t>
        </is>
      </c>
      <c r="B70" s="1" t="n">
        <v>45202</v>
      </c>
      <c r="C70" s="1" t="n">
        <v>45565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7.4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47211-2023 artfynd.xlsx", "A 47211-2023")</f>
        <v/>
      </c>
      <c r="T70">
        <f>HYPERLINK("https://klasma.github.io/Logging_2081/kartor/A 47211-2023 karta.png", "A 47211-2023")</f>
        <v/>
      </c>
      <c r="U70">
        <f>HYPERLINK("https://klasma.github.io/Logging_2081/knärot/A 47211-2023 karta knärot.png", "A 47211-2023")</f>
        <v/>
      </c>
      <c r="V70">
        <f>HYPERLINK("https://klasma.github.io/Logging_2081/klagomål/A 47211-2023 FSC-klagomål.docx", "A 47211-2023")</f>
        <v/>
      </c>
      <c r="W70">
        <f>HYPERLINK("https://klasma.github.io/Logging_2081/klagomålsmail/A 47211-2023 FSC-klagomål mail.docx", "A 47211-2023")</f>
        <v/>
      </c>
      <c r="X70">
        <f>HYPERLINK("https://klasma.github.io/Logging_2081/tillsyn/A 47211-2023 tillsynsbegäran.docx", "A 47211-2023")</f>
        <v/>
      </c>
      <c r="Y70">
        <f>HYPERLINK("https://klasma.github.io/Logging_2081/tillsynsmail/A 47211-2023 tillsynsbegäran mail.docx", "A 47211-2023")</f>
        <v/>
      </c>
    </row>
    <row r="71" ht="15" customHeight="1">
      <c r="A71" t="inlineStr">
        <is>
          <t>A 58609-2023</t>
        </is>
      </c>
      <c r="B71" s="1" t="n">
        <v>45251</v>
      </c>
      <c r="C71" s="1" t="n">
        <v>45565</v>
      </c>
      <c r="D71" t="inlineStr">
        <is>
          <t>DALARNAS LÄN</t>
        </is>
      </c>
      <c r="E71" t="inlineStr">
        <is>
          <t>BORLÄNGE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HYPERLINK("https://klasma.github.io/Logging_2081/artfynd/A 58609-2023 artfynd.xlsx", "A 58609-2023")</f>
        <v/>
      </c>
      <c r="T71">
        <f>HYPERLINK("https://klasma.github.io/Logging_2081/kartor/A 58609-2023 karta.png", "A 58609-2023")</f>
        <v/>
      </c>
      <c r="V71">
        <f>HYPERLINK("https://klasma.github.io/Logging_2081/klagomål/A 58609-2023 FSC-klagomål.docx", "A 58609-2023")</f>
        <v/>
      </c>
      <c r="W71">
        <f>HYPERLINK("https://klasma.github.io/Logging_2081/klagomålsmail/A 58609-2023 FSC-klagomål mail.docx", "A 58609-2023")</f>
        <v/>
      </c>
      <c r="X71">
        <f>HYPERLINK("https://klasma.github.io/Logging_2081/tillsyn/A 58609-2023 tillsynsbegäran.docx", "A 58609-2023")</f>
        <v/>
      </c>
      <c r="Y71">
        <f>HYPERLINK("https://klasma.github.io/Logging_2081/tillsynsmail/A 58609-2023 tillsynsbegäran mail.docx", "A 58609-2023")</f>
        <v/>
      </c>
    </row>
    <row r="72" ht="15" customHeight="1">
      <c r="A72" t="inlineStr">
        <is>
          <t>A 60150-2023</t>
        </is>
      </c>
      <c r="B72" s="1" t="n">
        <v>45258</v>
      </c>
      <c r="C72" s="1" t="n">
        <v>45565</v>
      </c>
      <c r="D72" t="inlineStr">
        <is>
          <t>DALARNAS LÄN</t>
        </is>
      </c>
      <c r="E72" t="inlineStr">
        <is>
          <t>BORLÄNGE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Trådticka</t>
        </is>
      </c>
      <c r="S72">
        <f>HYPERLINK("https://klasma.github.io/Logging_2081/artfynd/A 60150-2023 artfynd.xlsx", "A 60150-2023")</f>
        <v/>
      </c>
      <c r="T72">
        <f>HYPERLINK("https://klasma.github.io/Logging_2081/kartor/A 60150-2023 karta.png", "A 60150-2023")</f>
        <v/>
      </c>
      <c r="V72">
        <f>HYPERLINK("https://klasma.github.io/Logging_2081/klagomål/A 60150-2023 FSC-klagomål.docx", "A 60150-2023")</f>
        <v/>
      </c>
      <c r="W72">
        <f>HYPERLINK("https://klasma.github.io/Logging_2081/klagomålsmail/A 60150-2023 FSC-klagomål mail.docx", "A 60150-2023")</f>
        <v/>
      </c>
      <c r="X72">
        <f>HYPERLINK("https://klasma.github.io/Logging_2081/tillsyn/A 60150-2023 tillsynsbegäran.docx", "A 60150-2023")</f>
        <v/>
      </c>
      <c r="Y72">
        <f>HYPERLINK("https://klasma.github.io/Logging_2081/tillsynsmail/A 60150-2023 tillsynsbegäran mail.docx", "A 60150-2023")</f>
        <v/>
      </c>
    </row>
    <row r="73" ht="15" customHeight="1">
      <c r="A73" t="inlineStr">
        <is>
          <t>A 1751-2024</t>
        </is>
      </c>
      <c r="B73" s="1" t="n">
        <v>45307</v>
      </c>
      <c r="C73" s="1" t="n">
        <v>45565</v>
      </c>
      <c r="D73" t="inlineStr">
        <is>
          <t>DALARNAS LÄN</t>
        </is>
      </c>
      <c r="E73" t="inlineStr">
        <is>
          <t>BORLÄNGE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1751-2024 artfynd.xlsx", "A 1751-2024")</f>
        <v/>
      </c>
      <c r="T73">
        <f>HYPERLINK("https://klasma.github.io/Logging_2081/kartor/A 1751-2024 karta.png", "A 1751-2024")</f>
        <v/>
      </c>
      <c r="V73">
        <f>HYPERLINK("https://klasma.github.io/Logging_2081/klagomål/A 1751-2024 FSC-klagomål.docx", "A 1751-2024")</f>
        <v/>
      </c>
      <c r="W73">
        <f>HYPERLINK("https://klasma.github.io/Logging_2081/klagomålsmail/A 1751-2024 FSC-klagomål mail.docx", "A 1751-2024")</f>
        <v/>
      </c>
      <c r="X73">
        <f>HYPERLINK("https://klasma.github.io/Logging_2081/tillsyn/A 1751-2024 tillsynsbegäran.docx", "A 1751-2024")</f>
        <v/>
      </c>
      <c r="Y73">
        <f>HYPERLINK("https://klasma.github.io/Logging_2081/tillsynsmail/A 1751-2024 tillsynsbegäran mail.docx", "A 1751-2024")</f>
        <v/>
      </c>
    </row>
    <row r="74" ht="15" customHeight="1">
      <c r="A74" t="inlineStr">
        <is>
          <t>A 18971-2024</t>
        </is>
      </c>
      <c r="B74" s="1" t="n">
        <v>45427</v>
      </c>
      <c r="C74" s="1" t="n">
        <v>45565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19650-2024</t>
        </is>
      </c>
      <c r="B75" s="1" t="n">
        <v>45432</v>
      </c>
      <c r="C75" s="1" t="n">
        <v>45565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19650-2024 artfynd.xlsx", "A 19650-2024")</f>
        <v/>
      </c>
      <c r="T75">
        <f>HYPERLINK("https://klasma.github.io/Logging_2081/kartor/A 19650-2024 karta.png", "A 19650-2024")</f>
        <v/>
      </c>
      <c r="U75">
        <f>HYPERLINK("https://klasma.github.io/Logging_2081/knärot/A 19650-2024 karta knärot.png", "A 19650-2024")</f>
        <v/>
      </c>
      <c r="V75">
        <f>HYPERLINK("https://klasma.github.io/Logging_2081/klagomål/A 19650-2024 FSC-klagomål.docx", "A 19650-2024")</f>
        <v/>
      </c>
      <c r="W75">
        <f>HYPERLINK("https://klasma.github.io/Logging_2081/klagomålsmail/A 19650-2024 FSC-klagomål mail.docx", "A 19650-2024")</f>
        <v/>
      </c>
      <c r="X75">
        <f>HYPERLINK("https://klasma.github.io/Logging_2081/tillsyn/A 19650-2024 tillsynsbegäran.docx", "A 19650-2024")</f>
        <v/>
      </c>
      <c r="Y75">
        <f>HYPERLINK("https://klasma.github.io/Logging_2081/tillsynsmail/A 19650-2024 tillsynsbegäran mail.docx", "A 19650-2024")</f>
        <v/>
      </c>
    </row>
    <row r="76" ht="15" customHeight="1">
      <c r="A76" t="inlineStr">
        <is>
          <t>A 30870-2024</t>
        </is>
      </c>
      <c r="B76" s="1" t="n">
        <v>45497</v>
      </c>
      <c r="C76" s="1" t="n">
        <v>45565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17996-2019</t>
        </is>
      </c>
      <c r="B77" s="1" t="n">
        <v>43556</v>
      </c>
      <c r="C77" s="1" t="n">
        <v>45565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21707-2019</t>
        </is>
      </c>
      <c r="B78" s="1" t="n">
        <v>43581</v>
      </c>
      <c r="C78" s="1" t="n">
        <v>45565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24586-2019</t>
        </is>
      </c>
      <c r="B79" s="1" t="n">
        <v>43601</v>
      </c>
      <c r="C79" s="1" t="n">
        <v>45565</v>
      </c>
      <c r="D79" t="inlineStr">
        <is>
          <t>DALARNAS LÄN</t>
        </is>
      </c>
      <c r="E79" t="inlineStr">
        <is>
          <t>BORLÄNGE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25421-2019</t>
        </is>
      </c>
      <c r="B80" s="1" t="n">
        <v>43606</v>
      </c>
      <c r="C80" s="1" t="n">
        <v>45565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26874-2019</t>
        </is>
      </c>
      <c r="B81" s="1" t="n">
        <v>43613</v>
      </c>
      <c r="C81" s="1" t="n">
        <v>45565</v>
      </c>
      <c r="D81" t="inlineStr">
        <is>
          <t>DALARNAS LÄN</t>
        </is>
      </c>
      <c r="E81" t="inlineStr">
        <is>
          <t>BORLÄNGE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27062-2019</t>
        </is>
      </c>
      <c r="B82" s="1" t="n">
        <v>43614</v>
      </c>
      <c r="C82" s="1" t="n">
        <v>45565</v>
      </c>
      <c r="D82" t="inlineStr">
        <is>
          <t>DALARNAS LÄN</t>
        </is>
      </c>
      <c r="E82" t="inlineStr">
        <is>
          <t>BORLÄNGE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27009-2019</t>
        </is>
      </c>
      <c r="B83" s="1" t="n">
        <v>43614</v>
      </c>
      <c r="C83" s="1" t="n">
        <v>45565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27008-2019</t>
        </is>
      </c>
      <c r="B84" s="1" t="n">
        <v>43614</v>
      </c>
      <c r="C84" s="1" t="n">
        <v>45565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29697-2019</t>
        </is>
      </c>
      <c r="B85" s="1" t="n">
        <v>43630</v>
      </c>
      <c r="C85" s="1" t="n">
        <v>45565</v>
      </c>
      <c r="D85" t="inlineStr">
        <is>
          <t>DALARNAS LÄN</t>
        </is>
      </c>
      <c r="E85" t="inlineStr">
        <is>
          <t>BORLÄNGE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31833-2019</t>
        </is>
      </c>
      <c r="B86" s="1" t="n">
        <v>43642</v>
      </c>
      <c r="C86" s="1" t="n">
        <v>45565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32826-2019</t>
        </is>
      </c>
      <c r="B87" s="1" t="n">
        <v>43648</v>
      </c>
      <c r="C87" s="1" t="n">
        <v>45565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33003-2019</t>
        </is>
      </c>
      <c r="B88" s="1" t="n">
        <v>43649</v>
      </c>
      <c r="C88" s="1" t="n">
        <v>45565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34992-2019</t>
        </is>
      </c>
      <c r="B89" s="1" t="n">
        <v>43660</v>
      </c>
      <c r="C89" s="1" t="n">
        <v>45565</v>
      </c>
      <c r="D89" t="inlineStr">
        <is>
          <t>DALARNAS LÄN</t>
        </is>
      </c>
      <c r="E89" t="inlineStr">
        <is>
          <t>BORLÄNGE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42531-2019</t>
        </is>
      </c>
      <c r="B90" s="1" t="n">
        <v>43704</v>
      </c>
      <c r="C90" s="1" t="n">
        <v>45565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42540-2019</t>
        </is>
      </c>
      <c r="B91" s="1" t="n">
        <v>43704</v>
      </c>
      <c r="C91" s="1" t="n">
        <v>45565</v>
      </c>
      <c r="D91" t="inlineStr">
        <is>
          <t>DALARNAS LÄN</t>
        </is>
      </c>
      <c r="E91" t="inlineStr">
        <is>
          <t>BORLÄNGE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43835-2019</t>
        </is>
      </c>
      <c r="B92" s="1" t="n">
        <v>43707</v>
      </c>
      <c r="C92" s="1" t="n">
        <v>45565</v>
      </c>
      <c r="D92" t="inlineStr">
        <is>
          <t>DALARNAS LÄN</t>
        </is>
      </c>
      <c r="E92" t="inlineStr">
        <is>
          <t>BORLÄNGE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51019-2019</t>
        </is>
      </c>
      <c r="B93" s="1" t="n">
        <v>43739</v>
      </c>
      <c r="C93" s="1" t="n">
        <v>45565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57297-2019</t>
        </is>
      </c>
      <c r="B94" s="1" t="n">
        <v>43767</v>
      </c>
      <c r="C94" s="1" t="n">
        <v>45565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57618-2019</t>
        </is>
      </c>
      <c r="B95" s="1" t="n">
        <v>43768</v>
      </c>
      <c r="C95" s="1" t="n">
        <v>45565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61107-2019</t>
        </is>
      </c>
      <c r="B96" s="1" t="n">
        <v>43782</v>
      </c>
      <c r="C96" s="1" t="n">
        <v>45565</v>
      </c>
      <c r="D96" t="inlineStr">
        <is>
          <t>DALARNAS LÄN</t>
        </is>
      </c>
      <c r="E96" t="inlineStr">
        <is>
          <t>BORLÄNGE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61288-2019</t>
        </is>
      </c>
      <c r="B97" s="1" t="n">
        <v>43783</v>
      </c>
      <c r="C97" s="1" t="n">
        <v>45565</v>
      </c>
      <c r="D97" t="inlineStr">
        <is>
          <t>DALARNAS LÄN</t>
        </is>
      </c>
      <c r="E97" t="inlineStr">
        <is>
          <t>BORLÄNGE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66563-2019</t>
        </is>
      </c>
      <c r="B98" s="1" t="n">
        <v>43803</v>
      </c>
      <c r="C98" s="1" t="n">
        <v>45565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66159-2019</t>
        </is>
      </c>
      <c r="B99" s="1" t="n">
        <v>43808</v>
      </c>
      <c r="C99" s="1" t="n">
        <v>45565</v>
      </c>
      <c r="D99" t="inlineStr">
        <is>
          <t>DALARNAS LÄN</t>
        </is>
      </c>
      <c r="E99" t="inlineStr">
        <is>
          <t>BORLÄNGE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67435-2019</t>
        </is>
      </c>
      <c r="B100" s="1" t="n">
        <v>43812</v>
      </c>
      <c r="C100" s="1" t="n">
        <v>45565</v>
      </c>
      <c r="D100" t="inlineStr">
        <is>
          <t>DALARNAS LÄN</t>
        </is>
      </c>
      <c r="E100" t="inlineStr">
        <is>
          <t>BORLÄNGE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9309-2020</t>
        </is>
      </c>
      <c r="B101" s="1" t="n">
        <v>43880</v>
      </c>
      <c r="C101" s="1" t="n">
        <v>45565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11590-2020</t>
        </is>
      </c>
      <c r="B102" s="1" t="n">
        <v>43893</v>
      </c>
      <c r="C102" s="1" t="n">
        <v>45565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13404-2020</t>
        </is>
      </c>
      <c r="B103" s="1" t="n">
        <v>43902</v>
      </c>
      <c r="C103" s="1" t="n">
        <v>45565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14736-2020</t>
        </is>
      </c>
      <c r="B104" s="1" t="n">
        <v>43909</v>
      </c>
      <c r="C104" s="1" t="n">
        <v>45565</v>
      </c>
      <c r="D104" t="inlineStr">
        <is>
          <t>DALARNAS LÄN</t>
        </is>
      </c>
      <c r="E104" t="inlineStr">
        <is>
          <t>BORLÄNGE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15089-2020</t>
        </is>
      </c>
      <c r="B105" s="1" t="n">
        <v>43910</v>
      </c>
      <c r="C105" s="1" t="n">
        <v>45565</v>
      </c>
      <c r="D105" t="inlineStr">
        <is>
          <t>DALARNAS LÄN</t>
        </is>
      </c>
      <c r="E105" t="inlineStr">
        <is>
          <t>BORLÄNGE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16404-2020</t>
        </is>
      </c>
      <c r="B106" s="1" t="n">
        <v>43918</v>
      </c>
      <c r="C106" s="1" t="n">
        <v>45565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18108-2020</t>
        </is>
      </c>
      <c r="B107" s="1" t="n">
        <v>43927</v>
      </c>
      <c r="C107" s="1" t="n">
        <v>45565</v>
      </c>
      <c r="D107" t="inlineStr">
        <is>
          <t>DALARNAS LÄN</t>
        </is>
      </c>
      <c r="E107" t="inlineStr">
        <is>
          <t>BORLÄNGE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19446-2020</t>
        </is>
      </c>
      <c r="B108" s="1" t="n">
        <v>43938</v>
      </c>
      <c r="C108" s="1" t="n">
        <v>45565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19667-2020</t>
        </is>
      </c>
      <c r="B109" s="1" t="n">
        <v>43941</v>
      </c>
      <c r="C109" s="1" t="n">
        <v>45565</v>
      </c>
      <c r="D109" t="inlineStr">
        <is>
          <t>DALARNAS LÄN</t>
        </is>
      </c>
      <c r="E109" t="inlineStr">
        <is>
          <t>BORLÄNGE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20501-2020</t>
        </is>
      </c>
      <c r="B110" s="1" t="n">
        <v>43948</v>
      </c>
      <c r="C110" s="1" t="n">
        <v>45565</v>
      </c>
      <c r="D110" t="inlineStr">
        <is>
          <t>DALARNAS LÄN</t>
        </is>
      </c>
      <c r="E110" t="inlineStr">
        <is>
          <t>BORLÄNGE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21684-2020</t>
        </is>
      </c>
      <c r="B111" s="1" t="n">
        <v>43957</v>
      </c>
      <c r="C111" s="1" t="n">
        <v>45565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23998-2020</t>
        </is>
      </c>
      <c r="B112" s="1" t="n">
        <v>43971</v>
      </c>
      <c r="C112" s="1" t="n">
        <v>45565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27064-2020</t>
        </is>
      </c>
      <c r="B113" s="1" t="n">
        <v>43991</v>
      </c>
      <c r="C113" s="1" t="n">
        <v>45565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39449-2020</t>
        </is>
      </c>
      <c r="B114" s="1" t="n">
        <v>44064</v>
      </c>
      <c r="C114" s="1" t="n">
        <v>45565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44111-2020</t>
        </is>
      </c>
      <c r="B115" s="1" t="n">
        <v>44083</v>
      </c>
      <c r="C115" s="1" t="n">
        <v>45565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44118-2020</t>
        </is>
      </c>
      <c r="B116" s="1" t="n">
        <v>44083</v>
      </c>
      <c r="C116" s="1" t="n">
        <v>45565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50164-2020</t>
        </is>
      </c>
      <c r="B117" s="1" t="n">
        <v>44104</v>
      </c>
      <c r="C117" s="1" t="n">
        <v>45565</v>
      </c>
      <c r="D117" t="inlineStr">
        <is>
          <t>DALARNAS LÄN</t>
        </is>
      </c>
      <c r="E117" t="inlineStr">
        <is>
          <t>BORLÄNGE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49348-2020</t>
        </is>
      </c>
      <c r="B118" s="1" t="n">
        <v>44105</v>
      </c>
      <c r="C118" s="1" t="n">
        <v>45565</v>
      </c>
      <c r="D118" t="inlineStr">
        <is>
          <t>DALARNAS LÄN</t>
        </is>
      </c>
      <c r="E118" t="inlineStr">
        <is>
          <t>BORLÄNGE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50459-2020</t>
        </is>
      </c>
      <c r="B119" s="1" t="n">
        <v>44110</v>
      </c>
      <c r="C119" s="1" t="n">
        <v>45565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50437-2020</t>
        </is>
      </c>
      <c r="B120" s="1" t="n">
        <v>44110</v>
      </c>
      <c r="C120" s="1" t="n">
        <v>45565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50496-2020</t>
        </is>
      </c>
      <c r="B121" s="1" t="n">
        <v>44110</v>
      </c>
      <c r="C121" s="1" t="n">
        <v>45565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50441-2020</t>
        </is>
      </c>
      <c r="B122" s="1" t="n">
        <v>44110</v>
      </c>
      <c r="C122" s="1" t="n">
        <v>45565</v>
      </c>
      <c r="D122" t="inlineStr">
        <is>
          <t>DALARNAS LÄN</t>
        </is>
      </c>
      <c r="E122" t="inlineStr">
        <is>
          <t>BORLÄNGE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52515-2020</t>
        </is>
      </c>
      <c r="B123" s="1" t="n">
        <v>44118</v>
      </c>
      <c r="C123" s="1" t="n">
        <v>45565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52957-2020</t>
        </is>
      </c>
      <c r="B124" s="1" t="n">
        <v>44120</v>
      </c>
      <c r="C124" s="1" t="n">
        <v>45565</v>
      </c>
      <c r="D124" t="inlineStr">
        <is>
          <t>DALARNAS LÄN</t>
        </is>
      </c>
      <c r="E124" t="inlineStr">
        <is>
          <t>BORLÄNGE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52943-2020</t>
        </is>
      </c>
      <c r="B125" s="1" t="n">
        <v>44120</v>
      </c>
      <c r="C125" s="1" t="n">
        <v>45565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55730-2020</t>
        </is>
      </c>
      <c r="B126" s="1" t="n">
        <v>44132</v>
      </c>
      <c r="C126" s="1" t="n">
        <v>45565</v>
      </c>
      <c r="D126" t="inlineStr">
        <is>
          <t>DALARNAS LÄN</t>
        </is>
      </c>
      <c r="E126" t="inlineStr">
        <is>
          <t>BORLÄNGE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58625-2020</t>
        </is>
      </c>
      <c r="B127" s="1" t="n">
        <v>44145</v>
      </c>
      <c r="C127" s="1" t="n">
        <v>45565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59228-2020</t>
        </is>
      </c>
      <c r="B128" s="1" t="n">
        <v>44147</v>
      </c>
      <c r="C128" s="1" t="n">
        <v>45565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60899-2020</t>
        </is>
      </c>
      <c r="B129" s="1" t="n">
        <v>44154</v>
      </c>
      <c r="C129" s="1" t="n">
        <v>45565</v>
      </c>
      <c r="D129" t="inlineStr">
        <is>
          <t>DALARNAS LÄN</t>
        </is>
      </c>
      <c r="E129" t="inlineStr">
        <is>
          <t>BORLÄNGE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64036-2020</t>
        </is>
      </c>
      <c r="B130" s="1" t="n">
        <v>44167</v>
      </c>
      <c r="C130" s="1" t="n">
        <v>45565</v>
      </c>
      <c r="D130" t="inlineStr">
        <is>
          <t>DALARNAS LÄN</t>
        </is>
      </c>
      <c r="E130" t="inlineStr">
        <is>
          <t>BORLÄNGE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64051-2020</t>
        </is>
      </c>
      <c r="B131" s="1" t="n">
        <v>44167</v>
      </c>
      <c r="C131" s="1" t="n">
        <v>45565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64260-2020</t>
        </is>
      </c>
      <c r="B132" s="1" t="n">
        <v>44168</v>
      </c>
      <c r="C132" s="1" t="n">
        <v>45565</v>
      </c>
      <c r="D132" t="inlineStr">
        <is>
          <t>DALARNAS LÄN</t>
        </is>
      </c>
      <c r="E132" t="inlineStr">
        <is>
          <t>BORLÄNGE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64934-2020</t>
        </is>
      </c>
      <c r="B133" s="1" t="n">
        <v>44172</v>
      </c>
      <c r="C133" s="1" t="n">
        <v>45565</v>
      </c>
      <c r="D133" t="inlineStr">
        <is>
          <t>DALARNAS LÄN</t>
        </is>
      </c>
      <c r="E133" t="inlineStr">
        <is>
          <t>BORLÄNGE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65908-2020</t>
        </is>
      </c>
      <c r="B134" s="1" t="n">
        <v>44174</v>
      </c>
      <c r="C134" s="1" t="n">
        <v>45565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599-2021</t>
        </is>
      </c>
      <c r="B135" s="1" t="n">
        <v>44203</v>
      </c>
      <c r="C135" s="1" t="n">
        <v>45565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3964-2021</t>
        </is>
      </c>
      <c r="B136" s="1" t="n">
        <v>44222</v>
      </c>
      <c r="C136" s="1" t="n">
        <v>45565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5058-2021</t>
        </is>
      </c>
      <c r="B137" s="1" t="n">
        <v>44228</v>
      </c>
      <c r="C137" s="1" t="n">
        <v>45565</v>
      </c>
      <c r="D137" t="inlineStr">
        <is>
          <t>DALARNAS LÄN</t>
        </is>
      </c>
      <c r="E137" t="inlineStr">
        <is>
          <t>BORLÄNGE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8208-2021</t>
        </is>
      </c>
      <c r="B138" s="1" t="n">
        <v>44244</v>
      </c>
      <c r="C138" s="1" t="n">
        <v>45565</v>
      </c>
      <c r="D138" t="inlineStr">
        <is>
          <t>DALARNAS LÄN</t>
        </is>
      </c>
      <c r="E138" t="inlineStr">
        <is>
          <t>BORLÄNGE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11568-2021</t>
        </is>
      </c>
      <c r="B139" s="1" t="n">
        <v>44264</v>
      </c>
      <c r="C139" s="1" t="n">
        <v>45565</v>
      </c>
      <c r="D139" t="inlineStr">
        <is>
          <t>DALARNAS LÄN</t>
        </is>
      </c>
      <c r="E139" t="inlineStr">
        <is>
          <t>BORLÄNGE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13421-2021</t>
        </is>
      </c>
      <c r="B140" s="1" t="n">
        <v>44273</v>
      </c>
      <c r="C140" s="1" t="n">
        <v>45565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13702-2021</t>
        </is>
      </c>
      <c r="B141" s="1" t="n">
        <v>44274</v>
      </c>
      <c r="C141" s="1" t="n">
        <v>45565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14432-2021</t>
        </is>
      </c>
      <c r="B142" s="1" t="n">
        <v>44279</v>
      </c>
      <c r="C142" s="1" t="n">
        <v>45565</v>
      </c>
      <c r="D142" t="inlineStr">
        <is>
          <t>DALARNAS LÄN</t>
        </is>
      </c>
      <c r="E142" t="inlineStr">
        <is>
          <t>BORLÄNGE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14691-2021</t>
        </is>
      </c>
      <c r="B143" s="1" t="n">
        <v>44280</v>
      </c>
      <c r="C143" s="1" t="n">
        <v>45565</v>
      </c>
      <c r="D143" t="inlineStr">
        <is>
          <t>DALARNAS LÄN</t>
        </is>
      </c>
      <c r="E143" t="inlineStr">
        <is>
          <t>BORLÄNGE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45565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15786-2021</t>
        </is>
      </c>
      <c r="B145" s="1" t="n">
        <v>44286</v>
      </c>
      <c r="C145" s="1" t="n">
        <v>45565</v>
      </c>
      <c r="D145" t="inlineStr">
        <is>
          <t>DALARNAS LÄN</t>
        </is>
      </c>
      <c r="E145" t="inlineStr">
        <is>
          <t>BORLÄNGE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15979-2021</t>
        </is>
      </c>
      <c r="B146" s="1" t="n">
        <v>44287</v>
      </c>
      <c r="C146" s="1" t="n">
        <v>45565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16377-2021</t>
        </is>
      </c>
      <c r="B147" s="1" t="n">
        <v>44293</v>
      </c>
      <c r="C147" s="1" t="n">
        <v>45565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16413-2021</t>
        </is>
      </c>
      <c r="B148" s="1" t="n">
        <v>44293</v>
      </c>
      <c r="C148" s="1" t="n">
        <v>45565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16711-2021</t>
        </is>
      </c>
      <c r="B149" s="1" t="n">
        <v>44294</v>
      </c>
      <c r="C149" s="1" t="n">
        <v>45565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16706-2021</t>
        </is>
      </c>
      <c r="B150" s="1" t="n">
        <v>44294</v>
      </c>
      <c r="C150" s="1" t="n">
        <v>45565</v>
      </c>
      <c r="D150" t="inlineStr">
        <is>
          <t>DALARNAS LÄN</t>
        </is>
      </c>
      <c r="E150" t="inlineStr">
        <is>
          <t>BORLÄNGE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17204-2021</t>
        </is>
      </c>
      <c r="B151" s="1" t="n">
        <v>44298</v>
      </c>
      <c r="C151" s="1" t="n">
        <v>45565</v>
      </c>
      <c r="D151" t="inlineStr">
        <is>
          <t>DALARNAS LÄN</t>
        </is>
      </c>
      <c r="E151" t="inlineStr">
        <is>
          <t>BORLÄNGE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17572-2021</t>
        </is>
      </c>
      <c r="B152" s="1" t="n">
        <v>44299</v>
      </c>
      <c r="C152" s="1" t="n">
        <v>45565</v>
      </c>
      <c r="D152" t="inlineStr">
        <is>
          <t>DALARNAS LÄN</t>
        </is>
      </c>
      <c r="E152" t="inlineStr">
        <is>
          <t>BORLÄNGE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17887-2021</t>
        </is>
      </c>
      <c r="B153" s="1" t="n">
        <v>44301</v>
      </c>
      <c r="C153" s="1" t="n">
        <v>45565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18393-2021</t>
        </is>
      </c>
      <c r="B154" s="1" t="n">
        <v>44305</v>
      </c>
      <c r="C154" s="1" t="n">
        <v>45565</v>
      </c>
      <c r="D154" t="inlineStr">
        <is>
          <t>DALARNAS LÄN</t>
        </is>
      </c>
      <c r="E154" t="inlineStr">
        <is>
          <t>BORLÄNGE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18481-2021</t>
        </is>
      </c>
      <c r="B155" s="1" t="n">
        <v>44306</v>
      </c>
      <c r="C155" s="1" t="n">
        <v>45565</v>
      </c>
      <c r="D155" t="inlineStr">
        <is>
          <t>DALARNAS LÄN</t>
        </is>
      </c>
      <c r="E155" t="inlineStr">
        <is>
          <t>BORLÄNGE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18715-2021</t>
        </is>
      </c>
      <c r="B156" s="1" t="n">
        <v>44307</v>
      </c>
      <c r="C156" s="1" t="n">
        <v>45565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19096-2021</t>
        </is>
      </c>
      <c r="B157" s="1" t="n">
        <v>44308</v>
      </c>
      <c r="C157" s="1" t="n">
        <v>45565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20052-2021</t>
        </is>
      </c>
      <c r="B158" s="1" t="n">
        <v>44314</v>
      </c>
      <c r="C158" s="1" t="n">
        <v>45565</v>
      </c>
      <c r="D158" t="inlineStr">
        <is>
          <t>DALARNAS LÄN</t>
        </is>
      </c>
      <c r="E158" t="inlineStr">
        <is>
          <t>BORLÄNGE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</v>
      </c>
      <c r="C159" s="1" t="n">
        <v>45565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24284-2021</t>
        </is>
      </c>
      <c r="B160" s="1" t="n">
        <v>44337</v>
      </c>
      <c r="C160" s="1" t="n">
        <v>45565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24438-2021</t>
        </is>
      </c>
      <c r="B161" s="1" t="n">
        <v>44337</v>
      </c>
      <c r="C161" s="1" t="n">
        <v>45565</v>
      </c>
      <c r="D161" t="inlineStr">
        <is>
          <t>DALARNAS LÄN</t>
        </is>
      </c>
      <c r="E161" t="inlineStr">
        <is>
          <t>BORLÄNGE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24426-2021</t>
        </is>
      </c>
      <c r="B162" s="1" t="n">
        <v>44337</v>
      </c>
      <c r="C162" s="1" t="n">
        <v>45565</v>
      </c>
      <c r="D162" t="inlineStr">
        <is>
          <t>DALARNAS LÄN</t>
        </is>
      </c>
      <c r="E162" t="inlineStr">
        <is>
          <t>BORLÄNGE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24961-2021</t>
        </is>
      </c>
      <c r="B163" s="1" t="n">
        <v>44341</v>
      </c>
      <c r="C163" s="1" t="n">
        <v>45565</v>
      </c>
      <c r="D163" t="inlineStr">
        <is>
          <t>DALARNAS LÄN</t>
        </is>
      </c>
      <c r="E163" t="inlineStr">
        <is>
          <t>BORLÄNGE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24992-2021</t>
        </is>
      </c>
      <c r="B164" s="1" t="n">
        <v>44341</v>
      </c>
      <c r="C164" s="1" t="n">
        <v>45565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24949-2021</t>
        </is>
      </c>
      <c r="B165" s="1" t="n">
        <v>44341</v>
      </c>
      <c r="C165" s="1" t="n">
        <v>45565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25296-2021</t>
        </is>
      </c>
      <c r="B166" s="1" t="n">
        <v>44342</v>
      </c>
      <c r="C166" s="1" t="n">
        <v>45565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27853-2021</t>
        </is>
      </c>
      <c r="B167" s="1" t="n">
        <v>44354</v>
      </c>
      <c r="C167" s="1" t="n">
        <v>45565</v>
      </c>
      <c r="D167" t="inlineStr">
        <is>
          <t>DALARNAS LÄN</t>
        </is>
      </c>
      <c r="E167" t="inlineStr">
        <is>
          <t>BORLÄNGE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28395-2021</t>
        </is>
      </c>
      <c r="B168" s="1" t="n">
        <v>44356</v>
      </c>
      <c r="C168" s="1" t="n">
        <v>45565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29135-2021</t>
        </is>
      </c>
      <c r="B169" s="1" t="n">
        <v>44358</v>
      </c>
      <c r="C169" s="1" t="n">
        <v>45565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29305-2021</t>
        </is>
      </c>
      <c r="B170" s="1" t="n">
        <v>44361</v>
      </c>
      <c r="C170" s="1" t="n">
        <v>45565</v>
      </c>
      <c r="D170" t="inlineStr">
        <is>
          <t>DALARNAS LÄN</t>
        </is>
      </c>
      <c r="E170" t="inlineStr">
        <is>
          <t>BORLÄNGE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32181-2021</t>
        </is>
      </c>
      <c r="B171" s="1" t="n">
        <v>44371</v>
      </c>
      <c r="C171" s="1" t="n">
        <v>45565</v>
      </c>
      <c r="D171" t="inlineStr">
        <is>
          <t>DALARNAS LÄN</t>
        </is>
      </c>
      <c r="E171" t="inlineStr">
        <is>
          <t>BORLÄNGE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32206-2021</t>
        </is>
      </c>
      <c r="B172" s="1" t="n">
        <v>44371</v>
      </c>
      <c r="C172" s="1" t="n">
        <v>45565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32977-2021</t>
        </is>
      </c>
      <c r="B173" s="1" t="n">
        <v>44376</v>
      </c>
      <c r="C173" s="1" t="n">
        <v>45565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33460-2021</t>
        </is>
      </c>
      <c r="B174" s="1" t="n">
        <v>44377</v>
      </c>
      <c r="C174" s="1" t="n">
        <v>45565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34107-2021</t>
        </is>
      </c>
      <c r="B175" s="1" t="n">
        <v>44379</v>
      </c>
      <c r="C175" s="1" t="n">
        <v>45565</v>
      </c>
      <c r="D175" t="inlineStr">
        <is>
          <t>DALARNAS LÄN</t>
        </is>
      </c>
      <c r="E175" t="inlineStr">
        <is>
          <t>BORLÄNGE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34087-2021</t>
        </is>
      </c>
      <c r="B176" s="1" t="n">
        <v>44379</v>
      </c>
      <c r="C176" s="1" t="n">
        <v>45565</v>
      </c>
      <c r="D176" t="inlineStr">
        <is>
          <t>DALARNAS LÄN</t>
        </is>
      </c>
      <c r="E176" t="inlineStr">
        <is>
          <t>BORLÄNGE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35237-2021</t>
        </is>
      </c>
      <c r="B177" s="1" t="n">
        <v>44384</v>
      </c>
      <c r="C177" s="1" t="n">
        <v>45565</v>
      </c>
      <c r="D177" t="inlineStr">
        <is>
          <t>DALARNAS LÄN</t>
        </is>
      </c>
      <c r="E177" t="inlineStr">
        <is>
          <t>BORLÄNGE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36349-2021</t>
        </is>
      </c>
      <c r="B178" s="1" t="n">
        <v>44384</v>
      </c>
      <c r="C178" s="1" t="n">
        <v>45565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36356-2021</t>
        </is>
      </c>
      <c r="B179" s="1" t="n">
        <v>44384</v>
      </c>
      <c r="C179" s="1" t="n">
        <v>45565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36269-2021</t>
        </is>
      </c>
      <c r="B180" s="1" t="n">
        <v>44389</v>
      </c>
      <c r="C180" s="1" t="n">
        <v>45565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36261-2021</t>
        </is>
      </c>
      <c r="B181" s="1" t="n">
        <v>44389</v>
      </c>
      <c r="C181" s="1" t="n">
        <v>45565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36863-2021</t>
        </is>
      </c>
      <c r="B182" s="1" t="n">
        <v>44393</v>
      </c>
      <c r="C182" s="1" t="n">
        <v>45565</v>
      </c>
      <c r="D182" t="inlineStr">
        <is>
          <t>DALARNAS LÄN</t>
        </is>
      </c>
      <c r="E182" t="inlineStr">
        <is>
          <t>BORLÄNGE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36860-2021</t>
        </is>
      </c>
      <c r="B183" s="1" t="n">
        <v>44393</v>
      </c>
      <c r="C183" s="1" t="n">
        <v>45565</v>
      </c>
      <c r="D183" t="inlineStr">
        <is>
          <t>DALARNAS LÄN</t>
        </is>
      </c>
      <c r="E183" t="inlineStr">
        <is>
          <t>BORLÄNGE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37534-2021</t>
        </is>
      </c>
      <c r="B184" s="1" t="n">
        <v>44399</v>
      </c>
      <c r="C184" s="1" t="n">
        <v>45565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37535-2021</t>
        </is>
      </c>
      <c r="B185" s="1" t="n">
        <v>44399</v>
      </c>
      <c r="C185" s="1" t="n">
        <v>45565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39970-2021</t>
        </is>
      </c>
      <c r="B186" s="1" t="n">
        <v>44417</v>
      </c>
      <c r="C186" s="1" t="n">
        <v>45565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40570-2021</t>
        </is>
      </c>
      <c r="B187" s="1" t="n">
        <v>44420</v>
      </c>
      <c r="C187" s="1" t="n">
        <v>45565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40922-2021</t>
        </is>
      </c>
      <c r="B188" s="1" t="n">
        <v>44421</v>
      </c>
      <c r="C188" s="1" t="n">
        <v>45565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41636-2021</t>
        </is>
      </c>
      <c r="B189" s="1" t="n">
        <v>44425</v>
      </c>
      <c r="C189" s="1" t="n">
        <v>45565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41705-2021</t>
        </is>
      </c>
      <c r="B190" s="1" t="n">
        <v>44425</v>
      </c>
      <c r="C190" s="1" t="n">
        <v>45565</v>
      </c>
      <c r="D190" t="inlineStr">
        <is>
          <t>DALARNAS LÄN</t>
        </is>
      </c>
      <c r="E190" t="inlineStr">
        <is>
          <t>BORLÄNGE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41857-2021</t>
        </is>
      </c>
      <c r="B191" s="1" t="n">
        <v>44426</v>
      </c>
      <c r="C191" s="1" t="n">
        <v>45565</v>
      </c>
      <c r="D191" t="inlineStr">
        <is>
          <t>DALARNAS LÄN</t>
        </is>
      </c>
      <c r="E191" t="inlineStr">
        <is>
          <t>BORLÄNGE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42117-2021</t>
        </is>
      </c>
      <c r="B192" s="1" t="n">
        <v>44426</v>
      </c>
      <c r="C192" s="1" t="n">
        <v>45565</v>
      </c>
      <c r="D192" t="inlineStr">
        <is>
          <t>DALARNAS LÄN</t>
        </is>
      </c>
      <c r="E192" t="inlineStr">
        <is>
          <t>BORLÄNGE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42478-2021</t>
        </is>
      </c>
      <c r="B193" s="1" t="n">
        <v>44427</v>
      </c>
      <c r="C193" s="1" t="n">
        <v>45565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43531-2021</t>
        </is>
      </c>
      <c r="B194" s="1" t="n">
        <v>44433</v>
      </c>
      <c r="C194" s="1" t="n">
        <v>45565</v>
      </c>
      <c r="D194" t="inlineStr">
        <is>
          <t>DALARNAS LÄN</t>
        </is>
      </c>
      <c r="E194" t="inlineStr">
        <is>
          <t>BORLÄNGE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43944-2021</t>
        </is>
      </c>
      <c r="B195" s="1" t="n">
        <v>44434</v>
      </c>
      <c r="C195" s="1" t="n">
        <v>45565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44422-2021</t>
        </is>
      </c>
      <c r="B196" s="1" t="n">
        <v>44435</v>
      </c>
      <c r="C196" s="1" t="n">
        <v>45565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45083-2021</t>
        </is>
      </c>
      <c r="B197" s="1" t="n">
        <v>44438</v>
      </c>
      <c r="C197" s="1" t="n">
        <v>45565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50325-2021</t>
        </is>
      </c>
      <c r="B198" s="1" t="n">
        <v>44438</v>
      </c>
      <c r="C198" s="1" t="n">
        <v>45565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50418-2021</t>
        </is>
      </c>
      <c r="B199" s="1" t="n">
        <v>44438</v>
      </c>
      <c r="C199" s="1" t="n">
        <v>45565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45078-2021</t>
        </is>
      </c>
      <c r="B200" s="1" t="n">
        <v>44439</v>
      </c>
      <c r="C200" s="1" t="n">
        <v>45565</v>
      </c>
      <c r="D200" t="inlineStr">
        <is>
          <t>DALARNAS LÄN</t>
        </is>
      </c>
      <c r="E200" t="inlineStr">
        <is>
          <t>BORLÄNGE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45085-2021</t>
        </is>
      </c>
      <c r="B201" s="1" t="n">
        <v>44439</v>
      </c>
      <c r="C201" s="1" t="n">
        <v>45565</v>
      </c>
      <c r="D201" t="inlineStr">
        <is>
          <t>DALARNAS LÄN</t>
        </is>
      </c>
      <c r="E201" t="inlineStr">
        <is>
          <t>BORLÄNGE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45755-2021</t>
        </is>
      </c>
      <c r="B202" s="1" t="n">
        <v>44441</v>
      </c>
      <c r="C202" s="1" t="n">
        <v>45565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48450-2021</t>
        </is>
      </c>
      <c r="B203" s="1" t="n">
        <v>44452</v>
      </c>
      <c r="C203" s="1" t="n">
        <v>45565</v>
      </c>
      <c r="D203" t="inlineStr">
        <is>
          <t>DALARNAS LÄN</t>
        </is>
      </c>
      <c r="E203" t="inlineStr">
        <is>
          <t>BORLÄNGE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48493-2021</t>
        </is>
      </c>
      <c r="B204" s="1" t="n">
        <v>44452</v>
      </c>
      <c r="C204" s="1" t="n">
        <v>45565</v>
      </c>
      <c r="D204" t="inlineStr">
        <is>
          <t>DALARNAS LÄN</t>
        </is>
      </c>
      <c r="E204" t="inlineStr">
        <is>
          <t>BORLÄNGE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48511-2021</t>
        </is>
      </c>
      <c r="B205" s="1" t="n">
        <v>44452</v>
      </c>
      <c r="C205" s="1" t="n">
        <v>45565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49737-2021</t>
        </is>
      </c>
      <c r="B206" s="1" t="n">
        <v>44454</v>
      </c>
      <c r="C206" s="1" t="n">
        <v>45565</v>
      </c>
      <c r="D206" t="inlineStr">
        <is>
          <t>DALARNAS LÄN</t>
        </is>
      </c>
      <c r="E206" t="inlineStr">
        <is>
          <t>BORLÄNGE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50259-2021</t>
        </is>
      </c>
      <c r="B207" s="1" t="n">
        <v>44458</v>
      </c>
      <c r="C207" s="1" t="n">
        <v>45565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51308-2021</t>
        </is>
      </c>
      <c r="B208" s="1" t="n">
        <v>44461</v>
      </c>
      <c r="C208" s="1" t="n">
        <v>45565</v>
      </c>
      <c r="D208" t="inlineStr">
        <is>
          <t>DALARNAS LÄN</t>
        </is>
      </c>
      <c r="E208" t="inlineStr">
        <is>
          <t>BORLÄNGE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51527-2021</t>
        </is>
      </c>
      <c r="B209" s="1" t="n">
        <v>44462</v>
      </c>
      <c r="C209" s="1" t="n">
        <v>45565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52681-2021</t>
        </is>
      </c>
      <c r="B210" s="1" t="n">
        <v>44466</v>
      </c>
      <c r="C210" s="1" t="n">
        <v>45565</v>
      </c>
      <c r="D210" t="inlineStr">
        <is>
          <t>DALARNAS LÄN</t>
        </is>
      </c>
      <c r="E210" t="inlineStr">
        <is>
          <t>BORLÄNGE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53092-2021</t>
        </is>
      </c>
      <c r="B211" s="1" t="n">
        <v>44467</v>
      </c>
      <c r="C211" s="1" t="n">
        <v>45565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53455-2021</t>
        </is>
      </c>
      <c r="B212" s="1" t="n">
        <v>44468</v>
      </c>
      <c r="C212" s="1" t="n">
        <v>45565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54697-2021</t>
        </is>
      </c>
      <c r="B213" s="1" t="n">
        <v>44473</v>
      </c>
      <c r="C213" s="1" t="n">
        <v>45565</v>
      </c>
      <c r="D213" t="inlineStr">
        <is>
          <t>DALARNAS LÄN</t>
        </is>
      </c>
      <c r="E213" t="inlineStr">
        <is>
          <t>BORLÄNGE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55525-2021</t>
        </is>
      </c>
      <c r="B214" s="1" t="n">
        <v>44475</v>
      </c>
      <c r="C214" s="1" t="n">
        <v>45565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55707-2021</t>
        </is>
      </c>
      <c r="B215" s="1" t="n">
        <v>44475</v>
      </c>
      <c r="C215" s="1" t="n">
        <v>45565</v>
      </c>
      <c r="D215" t="inlineStr">
        <is>
          <t>DALARNAS LÄN</t>
        </is>
      </c>
      <c r="E215" t="inlineStr">
        <is>
          <t>BORLÄNGE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58237-2021</t>
        </is>
      </c>
      <c r="B216" s="1" t="n">
        <v>44487</v>
      </c>
      <c r="C216" s="1" t="n">
        <v>45565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58242-2021</t>
        </is>
      </c>
      <c r="B217" s="1" t="n">
        <v>44487</v>
      </c>
      <c r="C217" s="1" t="n">
        <v>45565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58747-2021</t>
        </is>
      </c>
      <c r="B218" s="1" t="n">
        <v>44488</v>
      </c>
      <c r="C218" s="1" t="n">
        <v>45565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59633-2021</t>
        </is>
      </c>
      <c r="B219" s="1" t="n">
        <v>44493</v>
      </c>
      <c r="C219" s="1" t="n">
        <v>45565</v>
      </c>
      <c r="D219" t="inlineStr">
        <is>
          <t>DALARNAS LÄN</t>
        </is>
      </c>
      <c r="E219" t="inlineStr">
        <is>
          <t>BORLÄNGE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59680-2021</t>
        </is>
      </c>
      <c r="B220" s="1" t="n">
        <v>44494</v>
      </c>
      <c r="C220" s="1" t="n">
        <v>45565</v>
      </c>
      <c r="D220" t="inlineStr">
        <is>
          <t>DALARNAS LÄN</t>
        </is>
      </c>
      <c r="E220" t="inlineStr">
        <is>
          <t>BORLÄNGE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59772-2021</t>
        </is>
      </c>
      <c r="B221" s="1" t="n">
        <v>44494</v>
      </c>
      <c r="C221" s="1" t="n">
        <v>45565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59674-2021</t>
        </is>
      </c>
      <c r="B222" s="1" t="n">
        <v>44494</v>
      </c>
      <c r="C222" s="1" t="n">
        <v>45565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59674-2021 karta knärot.png", "A 59674-2021")</f>
        <v/>
      </c>
      <c r="V222">
        <f>HYPERLINK("https://klasma.github.io/Logging_2081/klagomål/A 59674-2021 FSC-klagomål.docx", "A 59674-2021")</f>
        <v/>
      </c>
      <c r="W222">
        <f>HYPERLINK("https://klasma.github.io/Logging_2081/klagomålsmail/A 59674-2021 FSC-klagomål mail.docx", "A 59674-2021")</f>
        <v/>
      </c>
      <c r="X222">
        <f>HYPERLINK("https://klasma.github.io/Logging_2081/tillsyn/A 59674-2021 tillsynsbegäran.docx", "A 59674-2021")</f>
        <v/>
      </c>
      <c r="Y222">
        <f>HYPERLINK("https://klasma.github.io/Logging_2081/tillsynsmail/A 59674-2021 tillsynsbegäran mail.docx", "A 59674-2021")</f>
        <v/>
      </c>
    </row>
    <row r="223" ht="15" customHeight="1">
      <c r="A223" t="inlineStr">
        <is>
          <t>A 59764-2021</t>
        </is>
      </c>
      <c r="B223" s="1" t="n">
        <v>44494</v>
      </c>
      <c r="C223" s="1" t="n">
        <v>45565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59771-2021</t>
        </is>
      </c>
      <c r="B224" s="1" t="n">
        <v>44494</v>
      </c>
      <c r="C224" s="1" t="n">
        <v>45565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59759-2021</t>
        </is>
      </c>
      <c r="B225" s="1" t="n">
        <v>44494</v>
      </c>
      <c r="C225" s="1" t="n">
        <v>45565</v>
      </c>
      <c r="D225" t="inlineStr">
        <is>
          <t>DALARNAS LÄN</t>
        </is>
      </c>
      <c r="E225" t="inlineStr">
        <is>
          <t>BORLÄNGE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60342-2021</t>
        </is>
      </c>
      <c r="B226" s="1" t="n">
        <v>44495</v>
      </c>
      <c r="C226" s="1" t="n">
        <v>45565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60580-2021</t>
        </is>
      </c>
      <c r="B227" s="1" t="n">
        <v>44496</v>
      </c>
      <c r="C227" s="1" t="n">
        <v>45565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60960-2021</t>
        </is>
      </c>
      <c r="B228" s="1" t="n">
        <v>44497</v>
      </c>
      <c r="C228" s="1" t="n">
        <v>45565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60824-2021</t>
        </is>
      </c>
      <c r="B229" s="1" t="n">
        <v>44497</v>
      </c>
      <c r="C229" s="1" t="n">
        <v>45565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61277-2021</t>
        </is>
      </c>
      <c r="B230" s="1" t="n">
        <v>44498</v>
      </c>
      <c r="C230" s="1" t="n">
        <v>45565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61288-2021</t>
        </is>
      </c>
      <c r="B231" s="1" t="n">
        <v>44498</v>
      </c>
      <c r="C231" s="1" t="n">
        <v>45565</v>
      </c>
      <c r="D231" t="inlineStr">
        <is>
          <t>DALARNAS LÄN</t>
        </is>
      </c>
      <c r="E231" t="inlineStr">
        <is>
          <t>BORLÄNGE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61398-2021</t>
        </is>
      </c>
      <c r="B232" s="1" t="n">
        <v>44500</v>
      </c>
      <c r="C232" s="1" t="n">
        <v>45565</v>
      </c>
      <c r="D232" t="inlineStr">
        <is>
          <t>DALARNAS LÄN</t>
        </is>
      </c>
      <c r="E232" t="inlineStr">
        <is>
          <t>BORLÄNGE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61396-2021</t>
        </is>
      </c>
      <c r="B233" s="1" t="n">
        <v>44500</v>
      </c>
      <c r="C233" s="1" t="n">
        <v>45565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62976-2021</t>
        </is>
      </c>
      <c r="B234" s="1" t="n">
        <v>44505</v>
      </c>
      <c r="C234" s="1" t="n">
        <v>45565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64262-2021</t>
        </is>
      </c>
      <c r="B235" s="1" t="n">
        <v>44510</v>
      </c>
      <c r="C235" s="1" t="n">
        <v>45565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67422-2021</t>
        </is>
      </c>
      <c r="B236" s="1" t="n">
        <v>44524</v>
      </c>
      <c r="C236" s="1" t="n">
        <v>45565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68085-2021</t>
        </is>
      </c>
      <c r="B237" s="1" t="n">
        <v>44526</v>
      </c>
      <c r="C237" s="1" t="n">
        <v>45565</v>
      </c>
      <c r="D237" t="inlineStr">
        <is>
          <t>DALARNAS LÄN</t>
        </is>
      </c>
      <c r="E237" t="inlineStr">
        <is>
          <t>BORLÄNGE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68735-2021</t>
        </is>
      </c>
      <c r="B238" s="1" t="n">
        <v>44529</v>
      </c>
      <c r="C238" s="1" t="n">
        <v>45565</v>
      </c>
      <c r="D238" t="inlineStr">
        <is>
          <t>DALARNAS LÄN</t>
        </is>
      </c>
      <c r="E238" t="inlineStr">
        <is>
          <t>BORLÄNGE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69798-2021</t>
        </is>
      </c>
      <c r="B239" s="1" t="n">
        <v>44532</v>
      </c>
      <c r="C239" s="1" t="n">
        <v>45565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70621-2021</t>
        </is>
      </c>
      <c r="B240" s="1" t="n">
        <v>44537</v>
      </c>
      <c r="C240" s="1" t="n">
        <v>45565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72647-2021</t>
        </is>
      </c>
      <c r="B241" s="1" t="n">
        <v>44546</v>
      </c>
      <c r="C241" s="1" t="n">
        <v>45565</v>
      </c>
      <c r="D241" t="inlineStr">
        <is>
          <t>DALARNAS LÄN</t>
        </is>
      </c>
      <c r="E241" t="inlineStr">
        <is>
          <t>BORLÄNGE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72837-2021</t>
        </is>
      </c>
      <c r="B242" s="1" t="n">
        <v>44547</v>
      </c>
      <c r="C242" s="1" t="n">
        <v>45565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73001-2021</t>
        </is>
      </c>
      <c r="B243" s="1" t="n">
        <v>44550</v>
      </c>
      <c r="C243" s="1" t="n">
        <v>45565</v>
      </c>
      <c r="D243" t="inlineStr">
        <is>
          <t>DALARNAS LÄN</t>
        </is>
      </c>
      <c r="E243" t="inlineStr">
        <is>
          <t>BORLÄNGE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72999-2021</t>
        </is>
      </c>
      <c r="B244" s="1" t="n">
        <v>44550</v>
      </c>
      <c r="C244" s="1" t="n">
        <v>45565</v>
      </c>
      <c r="D244" t="inlineStr">
        <is>
          <t>DALARNAS LÄN</t>
        </is>
      </c>
      <c r="E244" t="inlineStr">
        <is>
          <t>BORLÄNGE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73002-2021</t>
        </is>
      </c>
      <c r="B245" s="1" t="n">
        <v>44550</v>
      </c>
      <c r="C245" s="1" t="n">
        <v>45565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142-2022</t>
        </is>
      </c>
      <c r="B246" s="1" t="n">
        <v>44564</v>
      </c>
      <c r="C246" s="1" t="n">
        <v>45565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362-2022</t>
        </is>
      </c>
      <c r="B247" s="1" t="n">
        <v>44565</v>
      </c>
      <c r="C247" s="1" t="n">
        <v>45565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383-2022</t>
        </is>
      </c>
      <c r="B248" s="1" t="n">
        <v>44565</v>
      </c>
      <c r="C248" s="1" t="n">
        <v>45565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2008-2022</t>
        </is>
      </c>
      <c r="B249" s="1" t="n">
        <v>44575</v>
      </c>
      <c r="C249" s="1" t="n">
        <v>45565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2454-2022</t>
        </is>
      </c>
      <c r="B250" s="1" t="n">
        <v>44579</v>
      </c>
      <c r="C250" s="1" t="n">
        <v>45565</v>
      </c>
      <c r="D250" t="inlineStr">
        <is>
          <t>DALARNAS LÄN</t>
        </is>
      </c>
      <c r="E250" t="inlineStr">
        <is>
          <t>BORLÄNGE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2584-2022</t>
        </is>
      </c>
      <c r="B251" s="1" t="n">
        <v>44580</v>
      </c>
      <c r="C251" s="1" t="n">
        <v>45565</v>
      </c>
      <c r="D251" t="inlineStr">
        <is>
          <t>DALARNAS LÄN</t>
        </is>
      </c>
      <c r="E251" t="inlineStr">
        <is>
          <t>BORLÄNGE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3978-2022</t>
        </is>
      </c>
      <c r="B252" s="1" t="n">
        <v>44587</v>
      </c>
      <c r="C252" s="1" t="n">
        <v>45565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4203-2022</t>
        </is>
      </c>
      <c r="B253" s="1" t="n">
        <v>44588</v>
      </c>
      <c r="C253" s="1" t="n">
        <v>45565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4478-2022</t>
        </is>
      </c>
      <c r="B254" s="1" t="n">
        <v>44589</v>
      </c>
      <c r="C254" s="1" t="n">
        <v>45565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4750-2022</t>
        </is>
      </c>
      <c r="B255" s="1" t="n">
        <v>44592</v>
      </c>
      <c r="C255" s="1" t="n">
        <v>45565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6436-2022</t>
        </is>
      </c>
      <c r="B256" s="1" t="n">
        <v>44601</v>
      </c>
      <c r="C256" s="1" t="n">
        <v>45565</v>
      </c>
      <c r="D256" t="inlineStr">
        <is>
          <t>DALARNAS LÄN</t>
        </is>
      </c>
      <c r="E256" t="inlineStr">
        <is>
          <t>BORLÄNGE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7332-2022</t>
        </is>
      </c>
      <c r="B257" s="1" t="n">
        <v>44606</v>
      </c>
      <c r="C257" s="1" t="n">
        <v>45565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8309-2022</t>
        </is>
      </c>
      <c r="B258" s="1" t="n">
        <v>44610</v>
      </c>
      <c r="C258" s="1" t="n">
        <v>45565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8473-2022</t>
        </is>
      </c>
      <c r="B259" s="1" t="n">
        <v>44613</v>
      </c>
      <c r="C259" s="1" t="n">
        <v>45565</v>
      </c>
      <c r="D259" t="inlineStr">
        <is>
          <t>DALARNAS LÄN</t>
        </is>
      </c>
      <c r="E259" t="inlineStr">
        <is>
          <t>BORLÄNGE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8744-2022</t>
        </is>
      </c>
      <c r="B260" s="1" t="n">
        <v>44614</v>
      </c>
      <c r="C260" s="1" t="n">
        <v>45565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10421-2022</t>
        </is>
      </c>
      <c r="B261" s="1" t="n">
        <v>44623</v>
      </c>
      <c r="C261" s="1" t="n">
        <v>45565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10569-2022</t>
        </is>
      </c>
      <c r="B262" s="1" t="n">
        <v>44624</v>
      </c>
      <c r="C262" s="1" t="n">
        <v>45565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11435-2022</t>
        </is>
      </c>
      <c r="B263" s="1" t="n">
        <v>44630</v>
      </c>
      <c r="C263" s="1" t="n">
        <v>45565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12106-2022</t>
        </is>
      </c>
      <c r="B264" s="1" t="n">
        <v>44636</v>
      </c>
      <c r="C264" s="1" t="n">
        <v>45565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14564-2022</t>
        </is>
      </c>
      <c r="B265" s="1" t="n">
        <v>44655</v>
      </c>
      <c r="C265" s="1" t="n">
        <v>45565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15818-2022</t>
        </is>
      </c>
      <c r="B266" s="1" t="n">
        <v>44664</v>
      </c>
      <c r="C266" s="1" t="n">
        <v>45565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16319-2022</t>
        </is>
      </c>
      <c r="B267" s="1" t="n">
        <v>44670</v>
      </c>
      <c r="C267" s="1" t="n">
        <v>45565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16320-2022</t>
        </is>
      </c>
      <c r="B268" s="1" t="n">
        <v>44670</v>
      </c>
      <c r="C268" s="1" t="n">
        <v>45565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16767-2022</t>
        </is>
      </c>
      <c r="B269" s="1" t="n">
        <v>44673</v>
      </c>
      <c r="C269" s="1" t="n">
        <v>45565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16890-2022</t>
        </is>
      </c>
      <c r="B270" s="1" t="n">
        <v>44675</v>
      </c>
      <c r="C270" s="1" t="n">
        <v>45565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17948-2022</t>
        </is>
      </c>
      <c r="B271" s="1" t="n">
        <v>44683</v>
      </c>
      <c r="C271" s="1" t="n">
        <v>45565</v>
      </c>
      <c r="D271" t="inlineStr">
        <is>
          <t>DALARNAS LÄN</t>
        </is>
      </c>
      <c r="E271" t="inlineStr">
        <is>
          <t>BORLÄNGE</t>
        </is>
      </c>
      <c r="G271" t="n">
        <v>27.3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18600-2022</t>
        </is>
      </c>
      <c r="B272" s="1" t="n">
        <v>44687</v>
      </c>
      <c r="C272" s="1" t="n">
        <v>45565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19047-2022</t>
        </is>
      </c>
      <c r="B273" s="1" t="n">
        <v>44691</v>
      </c>
      <c r="C273" s="1" t="n">
        <v>45565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19313-2022</t>
        </is>
      </c>
      <c r="B274" s="1" t="n">
        <v>44692</v>
      </c>
      <c r="C274" s="1" t="n">
        <v>45565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21026-2022</t>
        </is>
      </c>
      <c r="B275" s="1" t="n">
        <v>44704</v>
      </c>
      <c r="C275" s="1" t="n">
        <v>45565</v>
      </c>
      <c r="D275" t="inlineStr">
        <is>
          <t>DALARNAS LÄN</t>
        </is>
      </c>
      <c r="E275" t="inlineStr">
        <is>
          <t>BORLÄNGE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21322-2022</t>
        </is>
      </c>
      <c r="B276" s="1" t="n">
        <v>44705</v>
      </c>
      <c r="C276" s="1" t="n">
        <v>45565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22363-2022</t>
        </is>
      </c>
      <c r="B277" s="1" t="n">
        <v>44713</v>
      </c>
      <c r="C277" s="1" t="n">
        <v>45565</v>
      </c>
      <c r="D277" t="inlineStr">
        <is>
          <t>DALARNAS LÄN</t>
        </is>
      </c>
      <c r="E277" t="inlineStr">
        <is>
          <t>BORLÄNGE</t>
        </is>
      </c>
      <c r="F277" t="inlineStr">
        <is>
          <t>Naturvårdsverket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22983-2022</t>
        </is>
      </c>
      <c r="B278" s="1" t="n">
        <v>44717</v>
      </c>
      <c r="C278" s="1" t="n">
        <v>45565</v>
      </c>
      <c r="D278" t="inlineStr">
        <is>
          <t>DALARNAS LÄN</t>
        </is>
      </c>
      <c r="E278" t="inlineStr">
        <is>
          <t>BORLÄNGE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24902-2022</t>
        </is>
      </c>
      <c r="B279" s="1" t="n">
        <v>44728</v>
      </c>
      <c r="C279" s="1" t="n">
        <v>45565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25403-2022</t>
        </is>
      </c>
      <c r="B280" s="1" t="n">
        <v>44732</v>
      </c>
      <c r="C280" s="1" t="n">
        <v>45565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25389-2022</t>
        </is>
      </c>
      <c r="B281" s="1" t="n">
        <v>44732</v>
      </c>
      <c r="C281" s="1" t="n">
        <v>45565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25896-2022</t>
        </is>
      </c>
      <c r="B282" s="1" t="n">
        <v>44733</v>
      </c>
      <c r="C282" s="1" t="n">
        <v>45565</v>
      </c>
      <c r="D282" t="inlineStr">
        <is>
          <t>DALARNAS LÄN</t>
        </is>
      </c>
      <c r="E282" t="inlineStr">
        <is>
          <t>BORLÄNGE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25895-2022</t>
        </is>
      </c>
      <c r="B283" s="1" t="n">
        <v>44733</v>
      </c>
      <c r="C283" s="1" t="n">
        <v>45565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27048-2022</t>
        </is>
      </c>
      <c r="B284" s="1" t="n">
        <v>44741</v>
      </c>
      <c r="C284" s="1" t="n">
        <v>45565</v>
      </c>
      <c r="D284" t="inlineStr">
        <is>
          <t>DALARNAS LÄN</t>
        </is>
      </c>
      <c r="E284" t="inlineStr">
        <is>
          <t>BORLÄNGE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27424-2022</t>
        </is>
      </c>
      <c r="B285" s="1" t="n">
        <v>44742</v>
      </c>
      <c r="C285" s="1" t="n">
        <v>45565</v>
      </c>
      <c r="D285" t="inlineStr">
        <is>
          <t>DALARNAS LÄN</t>
        </is>
      </c>
      <c r="E285" t="inlineStr">
        <is>
          <t>BORLÄNGE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27423-2022</t>
        </is>
      </c>
      <c r="B286" s="1" t="n">
        <v>44742</v>
      </c>
      <c r="C286" s="1" t="n">
        <v>45565</v>
      </c>
      <c r="D286" t="inlineStr">
        <is>
          <t>DALARNAS LÄN</t>
        </is>
      </c>
      <c r="E286" t="inlineStr">
        <is>
          <t>BORLÄNGE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28312-2022</t>
        </is>
      </c>
      <c r="B287" s="1" t="n">
        <v>44747</v>
      </c>
      <c r="C287" s="1" t="n">
        <v>45565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28362-2022</t>
        </is>
      </c>
      <c r="B288" s="1" t="n">
        <v>44747</v>
      </c>
      <c r="C288" s="1" t="n">
        <v>45565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29808-2022</t>
        </is>
      </c>
      <c r="B289" s="1" t="n">
        <v>44755</v>
      </c>
      <c r="C289" s="1" t="n">
        <v>45565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29810-2022</t>
        </is>
      </c>
      <c r="B290" s="1" t="n">
        <v>44755</v>
      </c>
      <c r="C290" s="1" t="n">
        <v>45565</v>
      </c>
      <c r="D290" t="inlineStr">
        <is>
          <t>DALARNAS LÄN</t>
        </is>
      </c>
      <c r="E290" t="inlineStr">
        <is>
          <t>BORLÄNGE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32154-2022</t>
        </is>
      </c>
      <c r="B291" s="1" t="n">
        <v>44781</v>
      </c>
      <c r="C291" s="1" t="n">
        <v>45565</v>
      </c>
      <c r="D291" t="inlineStr">
        <is>
          <t>DALARNAS LÄN</t>
        </is>
      </c>
      <c r="E291" t="inlineStr">
        <is>
          <t>BORLÄNGE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32170-2022</t>
        </is>
      </c>
      <c r="B292" s="1" t="n">
        <v>44781</v>
      </c>
      <c r="C292" s="1" t="n">
        <v>45565</v>
      </c>
      <c r="D292" t="inlineStr">
        <is>
          <t>DALARNAS LÄN</t>
        </is>
      </c>
      <c r="E292" t="inlineStr">
        <is>
          <t>BORLÄNGE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32243-2022</t>
        </is>
      </c>
      <c r="B293" s="1" t="n">
        <v>44781</v>
      </c>
      <c r="C293" s="1" t="n">
        <v>45565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33163-2022</t>
        </is>
      </c>
      <c r="B294" s="1" t="n">
        <v>44785</v>
      </c>
      <c r="C294" s="1" t="n">
        <v>45565</v>
      </c>
      <c r="D294" t="inlineStr">
        <is>
          <t>DALARNAS LÄN</t>
        </is>
      </c>
      <c r="E294" t="inlineStr">
        <is>
          <t>BORLÄNGE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33668-2022</t>
        </is>
      </c>
      <c r="B295" s="1" t="n">
        <v>44789</v>
      </c>
      <c r="C295" s="1" t="n">
        <v>45565</v>
      </c>
      <c r="D295" t="inlineStr">
        <is>
          <t>DALARNAS LÄN</t>
        </is>
      </c>
      <c r="E295" t="inlineStr">
        <is>
          <t>BORLÄNGE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34323-2022</t>
        </is>
      </c>
      <c r="B296" s="1" t="n">
        <v>44792</v>
      </c>
      <c r="C296" s="1" t="n">
        <v>45565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34320-2022</t>
        </is>
      </c>
      <c r="B297" s="1" t="n">
        <v>44792</v>
      </c>
      <c r="C297" s="1" t="n">
        <v>45565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35357-2022</t>
        </is>
      </c>
      <c r="B298" s="1" t="n">
        <v>44798</v>
      </c>
      <c r="C298" s="1" t="n">
        <v>45565</v>
      </c>
      <c r="D298" t="inlineStr">
        <is>
          <t>DALARNAS LÄN</t>
        </is>
      </c>
      <c r="E298" t="inlineStr">
        <is>
          <t>BORLÄNGE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35593-2022</t>
        </is>
      </c>
      <c r="B299" s="1" t="n">
        <v>44799</v>
      </c>
      <c r="C299" s="1" t="n">
        <v>45565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35592-2022</t>
        </is>
      </c>
      <c r="B300" s="1" t="n">
        <v>44799</v>
      </c>
      <c r="C300" s="1" t="n">
        <v>45565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35678-2022</t>
        </is>
      </c>
      <c r="B301" s="1" t="n">
        <v>44799</v>
      </c>
      <c r="C301" s="1" t="n">
        <v>45565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35594-2022</t>
        </is>
      </c>
      <c r="B302" s="1" t="n">
        <v>44799</v>
      </c>
      <c r="C302" s="1" t="n">
        <v>45565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35932-2022</t>
        </is>
      </c>
      <c r="B303" s="1" t="n">
        <v>44802</v>
      </c>
      <c r="C303" s="1" t="n">
        <v>45565</v>
      </c>
      <c r="D303" t="inlineStr">
        <is>
          <t>DALARNAS LÄN</t>
        </is>
      </c>
      <c r="E303" t="inlineStr">
        <is>
          <t>BORLÄNGE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36544-2022</t>
        </is>
      </c>
      <c r="B304" s="1" t="n">
        <v>44804</v>
      </c>
      <c r="C304" s="1" t="n">
        <v>45565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36759-2022</t>
        </is>
      </c>
      <c r="B305" s="1" t="n">
        <v>44805</v>
      </c>
      <c r="C305" s="1" t="n">
        <v>45565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37357-2022</t>
        </is>
      </c>
      <c r="B306" s="1" t="n">
        <v>44809</v>
      </c>
      <c r="C306" s="1" t="n">
        <v>45565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38283-2022</t>
        </is>
      </c>
      <c r="B307" s="1" t="n">
        <v>44812</v>
      </c>
      <c r="C307" s="1" t="n">
        <v>45565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40078-2022</t>
        </is>
      </c>
      <c r="B308" s="1" t="n">
        <v>44820</v>
      </c>
      <c r="C308" s="1" t="n">
        <v>45565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40124-2022</t>
        </is>
      </c>
      <c r="B309" s="1" t="n">
        <v>44820</v>
      </c>
      <c r="C309" s="1" t="n">
        <v>45565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40654-2022</t>
        </is>
      </c>
      <c r="B310" s="1" t="n">
        <v>44824</v>
      </c>
      <c r="C310" s="1" t="n">
        <v>45565</v>
      </c>
      <c r="D310" t="inlineStr">
        <is>
          <t>DALARNAS LÄN</t>
        </is>
      </c>
      <c r="E310" t="inlineStr">
        <is>
          <t>BORLÄNGE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41638-2022</t>
        </is>
      </c>
      <c r="B311" s="1" t="n">
        <v>44827</v>
      </c>
      <c r="C311" s="1" t="n">
        <v>45565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41973-2022</t>
        </is>
      </c>
      <c r="B312" s="1" t="n">
        <v>44830</v>
      </c>
      <c r="C312" s="1" t="n">
        <v>45565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41978-2022</t>
        </is>
      </c>
      <c r="B313" s="1" t="n">
        <v>44830</v>
      </c>
      <c r="C313" s="1" t="n">
        <v>45565</v>
      </c>
      <c r="D313" t="inlineStr">
        <is>
          <t>DALARNAS LÄN</t>
        </is>
      </c>
      <c r="E313" t="inlineStr">
        <is>
          <t>BORLÄNGE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42732-2022</t>
        </is>
      </c>
      <c r="B314" s="1" t="n">
        <v>44832</v>
      </c>
      <c r="C314" s="1" t="n">
        <v>45565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42861-2022</t>
        </is>
      </c>
      <c r="B315" s="1" t="n">
        <v>44832</v>
      </c>
      <c r="C315" s="1" t="n">
        <v>45565</v>
      </c>
      <c r="D315" t="inlineStr">
        <is>
          <t>DALARNAS LÄN</t>
        </is>
      </c>
      <c r="E315" t="inlineStr">
        <is>
          <t>BORLÄNGE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43662-2022</t>
        </is>
      </c>
      <c r="B316" s="1" t="n">
        <v>44837</v>
      </c>
      <c r="C316" s="1" t="n">
        <v>45565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50695-2022</t>
        </is>
      </c>
      <c r="B317" s="1" t="n">
        <v>44867</v>
      </c>
      <c r="C317" s="1" t="n">
        <v>45565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50693-2022</t>
        </is>
      </c>
      <c r="B318" s="1" t="n">
        <v>44867</v>
      </c>
      <c r="C318" s="1" t="n">
        <v>45565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52278-2022</t>
        </is>
      </c>
      <c r="B319" s="1" t="n">
        <v>44869</v>
      </c>
      <c r="C319" s="1" t="n">
        <v>45565</v>
      </c>
      <c r="D319" t="inlineStr">
        <is>
          <t>DALARNAS LÄN</t>
        </is>
      </c>
      <c r="E319" t="inlineStr">
        <is>
          <t>BORLÄNGE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51736-2022</t>
        </is>
      </c>
      <c r="B320" s="1" t="n">
        <v>44872</v>
      </c>
      <c r="C320" s="1" t="n">
        <v>45565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53544-2022</t>
        </is>
      </c>
      <c r="B321" s="1" t="n">
        <v>44879</v>
      </c>
      <c r="C321" s="1" t="n">
        <v>45565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53970-2022</t>
        </is>
      </c>
      <c r="B322" s="1" t="n">
        <v>44881</v>
      </c>
      <c r="C322" s="1" t="n">
        <v>45565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55123-2022</t>
        </is>
      </c>
      <c r="B323" s="1" t="n">
        <v>44886</v>
      </c>
      <c r="C323" s="1" t="n">
        <v>45565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55274-2022</t>
        </is>
      </c>
      <c r="B324" s="1" t="n">
        <v>44887</v>
      </c>
      <c r="C324" s="1" t="n">
        <v>45565</v>
      </c>
      <c r="D324" t="inlineStr">
        <is>
          <t>DALARNAS LÄN</t>
        </is>
      </c>
      <c r="E324" t="inlineStr">
        <is>
          <t>BORLÄNGE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55698-2022</t>
        </is>
      </c>
      <c r="B325" s="1" t="n">
        <v>44888</v>
      </c>
      <c r="C325" s="1" t="n">
        <v>45565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55719-2022</t>
        </is>
      </c>
      <c r="B326" s="1" t="n">
        <v>44888</v>
      </c>
      <c r="C326" s="1" t="n">
        <v>45565</v>
      </c>
      <c r="D326" t="inlineStr">
        <is>
          <t>DALARNAS LÄN</t>
        </is>
      </c>
      <c r="E326" t="inlineStr">
        <is>
          <t>BORLÄNGE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55725-2022</t>
        </is>
      </c>
      <c r="B327" s="1" t="n">
        <v>44888</v>
      </c>
      <c r="C327" s="1" t="n">
        <v>45565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55731-2022</t>
        </is>
      </c>
      <c r="B328" s="1" t="n">
        <v>44888</v>
      </c>
      <c r="C328" s="1" t="n">
        <v>45565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55910-2022</t>
        </is>
      </c>
      <c r="B329" s="1" t="n">
        <v>44889</v>
      </c>
      <c r="C329" s="1" t="n">
        <v>45565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58032-2022</t>
        </is>
      </c>
      <c r="B330" s="1" t="n">
        <v>44900</v>
      </c>
      <c r="C330" s="1" t="n">
        <v>45565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59682-2022</t>
        </is>
      </c>
      <c r="B331" s="1" t="n">
        <v>44908</v>
      </c>
      <c r="C331" s="1" t="n">
        <v>45565</v>
      </c>
      <c r="D331" t="inlineStr">
        <is>
          <t>DALARNAS LÄN</t>
        </is>
      </c>
      <c r="E331" t="inlineStr">
        <is>
          <t>BORLÄNGE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60625-2022</t>
        </is>
      </c>
      <c r="B332" s="1" t="n">
        <v>44911</v>
      </c>
      <c r="C332" s="1" t="n">
        <v>45565</v>
      </c>
      <c r="D332" t="inlineStr">
        <is>
          <t>DALARNAS LÄN</t>
        </is>
      </c>
      <c r="E332" t="inlineStr">
        <is>
          <t>BORLÄNGE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61809-2022</t>
        </is>
      </c>
      <c r="B333" s="1" t="n">
        <v>44917</v>
      </c>
      <c r="C333" s="1" t="n">
        <v>45565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422-2023</t>
        </is>
      </c>
      <c r="B334" s="1" t="n">
        <v>44929</v>
      </c>
      <c r="C334" s="1" t="n">
        <v>45565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1088-2023</t>
        </is>
      </c>
      <c r="B335" s="1" t="n">
        <v>44935</v>
      </c>
      <c r="C335" s="1" t="n">
        <v>45565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2182-2023</t>
        </is>
      </c>
      <c r="B336" s="1" t="n">
        <v>44942</v>
      </c>
      <c r="C336" s="1" t="n">
        <v>45565</v>
      </c>
      <c r="D336" t="inlineStr">
        <is>
          <t>DALARNAS LÄN</t>
        </is>
      </c>
      <c r="E336" t="inlineStr">
        <is>
          <t>BORLÄNGE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2179-2023</t>
        </is>
      </c>
      <c r="B337" s="1" t="n">
        <v>44942</v>
      </c>
      <c r="C337" s="1" t="n">
        <v>45565</v>
      </c>
      <c r="D337" t="inlineStr">
        <is>
          <t>DALARNAS LÄN</t>
        </is>
      </c>
      <c r="E337" t="inlineStr">
        <is>
          <t>BORLÄNGE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2504-2023</t>
        </is>
      </c>
      <c r="B338" s="1" t="n">
        <v>44943</v>
      </c>
      <c r="C338" s="1" t="n">
        <v>45565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3515-2023</t>
        </is>
      </c>
      <c r="B339" s="1" t="n">
        <v>44950</v>
      </c>
      <c r="C339" s="1" t="n">
        <v>45565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3722-2023</t>
        </is>
      </c>
      <c r="B340" s="1" t="n">
        <v>44951</v>
      </c>
      <c r="C340" s="1" t="n">
        <v>45565</v>
      </c>
      <c r="D340" t="inlineStr">
        <is>
          <t>DALARNAS LÄN</t>
        </is>
      </c>
      <c r="E340" t="inlineStr">
        <is>
          <t>BORLÄNGE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4735-2023</t>
        </is>
      </c>
      <c r="B341" s="1" t="n">
        <v>44957</v>
      </c>
      <c r="C341" s="1" t="n">
        <v>45565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7379-2023</t>
        </is>
      </c>
      <c r="B342" s="1" t="n">
        <v>44971</v>
      </c>
      <c r="C342" s="1" t="n">
        <v>45565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7588-2023</t>
        </is>
      </c>
      <c r="B343" s="1" t="n">
        <v>44972</v>
      </c>
      <c r="C343" s="1" t="n">
        <v>45565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7863-2023</t>
        </is>
      </c>
      <c r="B344" s="1" t="n">
        <v>44973</v>
      </c>
      <c r="C344" s="1" t="n">
        <v>45565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8554-2023</t>
        </is>
      </c>
      <c r="B345" s="1" t="n">
        <v>44977</v>
      </c>
      <c r="C345" s="1" t="n">
        <v>45565</v>
      </c>
      <c r="D345" t="inlineStr">
        <is>
          <t>DALARNAS LÄN</t>
        </is>
      </c>
      <c r="E345" t="inlineStr">
        <is>
          <t>BORLÄNGE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8556-2023</t>
        </is>
      </c>
      <c r="B346" s="1" t="n">
        <v>44977</v>
      </c>
      <c r="C346" s="1" t="n">
        <v>45565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9442-2023</t>
        </is>
      </c>
      <c r="B347" s="1" t="n">
        <v>44981</v>
      </c>
      <c r="C347" s="1" t="n">
        <v>45565</v>
      </c>
      <c r="D347" t="inlineStr">
        <is>
          <t>DALARNAS LÄN</t>
        </is>
      </c>
      <c r="E347" t="inlineStr">
        <is>
          <t>BORLÄNGE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9881-2023</t>
        </is>
      </c>
      <c r="B348" s="1" t="n">
        <v>44985</v>
      </c>
      <c r="C348" s="1" t="n">
        <v>45565</v>
      </c>
      <c r="D348" t="inlineStr">
        <is>
          <t>DALARNAS LÄN</t>
        </is>
      </c>
      <c r="E348" t="inlineStr">
        <is>
          <t>BORLÄNGE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10381-2023</t>
        </is>
      </c>
      <c r="B349" s="1" t="n">
        <v>44987</v>
      </c>
      <c r="C349" s="1" t="n">
        <v>45565</v>
      </c>
      <c r="D349" t="inlineStr">
        <is>
          <t>DALARNAS LÄN</t>
        </is>
      </c>
      <c r="E349" t="inlineStr">
        <is>
          <t>BORLÄNGE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10498-2023</t>
        </is>
      </c>
      <c r="B350" s="1" t="n">
        <v>44987</v>
      </c>
      <c r="C350" s="1" t="n">
        <v>45565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10751-2023</t>
        </is>
      </c>
      <c r="B351" s="1" t="n">
        <v>44988</v>
      </c>
      <c r="C351" s="1" t="n">
        <v>45565</v>
      </c>
      <c r="D351" t="inlineStr">
        <is>
          <t>DALARNAS LÄN</t>
        </is>
      </c>
      <c r="E351" t="inlineStr">
        <is>
          <t>BORLÄNGE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HYPERLINK("https://klasma.github.io/Logging_2081/knärot/A 10751-2023 karta knärot.png", "A 10751-2023")</f>
        <v/>
      </c>
      <c r="V351">
        <f>HYPERLINK("https://klasma.github.io/Logging_2081/klagomål/A 10751-2023 FSC-klagomål.docx", "A 10751-2023")</f>
        <v/>
      </c>
      <c r="W351">
        <f>HYPERLINK("https://klasma.github.io/Logging_2081/klagomålsmail/A 10751-2023 FSC-klagomål mail.docx", "A 10751-2023")</f>
        <v/>
      </c>
      <c r="X351">
        <f>HYPERLINK("https://klasma.github.io/Logging_2081/tillsyn/A 10751-2023 tillsynsbegäran.docx", "A 10751-2023")</f>
        <v/>
      </c>
      <c r="Y351">
        <f>HYPERLINK("https://klasma.github.io/Logging_2081/tillsynsmail/A 10751-2023 tillsynsbegäran mail.docx", "A 10751-2023")</f>
        <v/>
      </c>
    </row>
    <row r="352" ht="15" customHeight="1">
      <c r="A352" t="inlineStr">
        <is>
          <t>A 11105-2023</t>
        </is>
      </c>
      <c r="B352" s="1" t="n">
        <v>44992</v>
      </c>
      <c r="C352" s="1" t="n">
        <v>45565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11136-2023</t>
        </is>
      </c>
      <c r="B353" s="1" t="n">
        <v>44992</v>
      </c>
      <c r="C353" s="1" t="n">
        <v>45565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11087-2023</t>
        </is>
      </c>
      <c r="B354" s="1" t="n">
        <v>44992</v>
      </c>
      <c r="C354" s="1" t="n">
        <v>45565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11138-2023</t>
        </is>
      </c>
      <c r="B355" s="1" t="n">
        <v>44992</v>
      </c>
      <c r="C355" s="1" t="n">
        <v>45565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11602-2023</t>
        </is>
      </c>
      <c r="B356" s="1" t="n">
        <v>44994</v>
      </c>
      <c r="C356" s="1" t="n">
        <v>45565</v>
      </c>
      <c r="D356" t="inlineStr">
        <is>
          <t>DALARNAS LÄN</t>
        </is>
      </c>
      <c r="E356" t="inlineStr">
        <is>
          <t>BORLÄNGE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11846-2023</t>
        </is>
      </c>
      <c r="B357" s="1" t="n">
        <v>44995</v>
      </c>
      <c r="C357" s="1" t="n">
        <v>45565</v>
      </c>
      <c r="D357" t="inlineStr">
        <is>
          <t>DALARNAS LÄN</t>
        </is>
      </c>
      <c r="E357" t="inlineStr">
        <is>
          <t>BORLÄNGE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45565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45565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45565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45565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45565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45565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45565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45565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45565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45565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45565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45565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45565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45565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45565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45565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45565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45565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45565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45565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45565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45565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45565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45565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45565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45565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45565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45565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45565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45565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45565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45565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45565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45565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45565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45565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45565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45565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45565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45565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45565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45565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45565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45565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45565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45565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45565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45565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45565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45565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45565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45565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45565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45565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45565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45565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45565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45565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45565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45565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45565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45565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45565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45565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45565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45565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45565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45565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45565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45565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45565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45565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45565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45565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45565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45565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45565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45565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45565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45565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45565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45565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45565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45565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45565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45565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45565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45565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45565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45565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45565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45565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45565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45565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45565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45565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45565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45565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45565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45565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45565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45565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45565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45565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45565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45565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45565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45565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45565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45565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45565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45565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45565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45565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45565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45565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45565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45565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45565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45565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45565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45565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45565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45565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45565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45565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45565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45565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45565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45565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45565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45565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45565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45565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45565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45565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45565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45565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45565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45565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45565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45565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45565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45565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45565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45565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45565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45565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45565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45565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45565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45565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45565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45565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45565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45565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45565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45565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45565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45565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45565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45565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45565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45565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45565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45565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45565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45565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45565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45565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45565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45565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45565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45565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45565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45565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45565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45565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45565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45565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45565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45565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45565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45565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45565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45565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45565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45565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45565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45565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45565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45565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45565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45565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45565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45565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45565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45565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45565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45565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45565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45565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45565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45565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45565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45565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45565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45565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45565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45565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45565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45565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45565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45565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45565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45565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45565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45565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45565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45565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45565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45565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45565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45565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45565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36423-2024</t>
        </is>
      </c>
      <c r="B583" s="1" t="n">
        <v>45536</v>
      </c>
      <c r="C583" s="1" t="n">
        <v>45565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36424-2024</t>
        </is>
      </c>
      <c r="B584" s="1" t="n">
        <v>45536</v>
      </c>
      <c r="C584" s="1" t="n">
        <v>45565</v>
      </c>
      <c r="D584" t="inlineStr">
        <is>
          <t>DALARNAS LÄN</t>
        </is>
      </c>
      <c r="E584" t="inlineStr">
        <is>
          <t>BORLÄNGE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45565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45565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45565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37708-2024</t>
        </is>
      </c>
      <c r="B588" s="1" t="n">
        <v>45541</v>
      </c>
      <c r="C588" s="1" t="n">
        <v>45565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37722-2024</t>
        </is>
      </c>
      <c r="B589" s="1" t="n">
        <v>45541</v>
      </c>
      <c r="C589" s="1" t="n">
        <v>45565</v>
      </c>
      <c r="D589" t="inlineStr">
        <is>
          <t>DALARNAS LÄN</t>
        </is>
      </c>
      <c r="E589" t="inlineStr">
        <is>
          <t>BORLÄNGE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37785-2024</t>
        </is>
      </c>
      <c r="B590" s="1" t="n">
        <v>45542</v>
      </c>
      <c r="C590" s="1" t="n">
        <v>45565</v>
      </c>
      <c r="D590" t="inlineStr">
        <is>
          <t>DALARNAS LÄN</t>
        </is>
      </c>
      <c r="E590" t="inlineStr">
        <is>
          <t>BORLÄNGE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37788-2024</t>
        </is>
      </c>
      <c r="B591" s="1" t="n">
        <v>45542</v>
      </c>
      <c r="C591" s="1" t="n">
        <v>45565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45565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38178-2024</t>
        </is>
      </c>
      <c r="B593" s="1" t="n">
        <v>45545</v>
      </c>
      <c r="C593" s="1" t="n">
        <v>45565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38181-2024</t>
        </is>
      </c>
      <c r="B594" s="1" t="n">
        <v>45545</v>
      </c>
      <c r="C594" s="1" t="n">
        <v>45565</v>
      </c>
      <c r="D594" t="inlineStr">
        <is>
          <t>DALARNAS LÄN</t>
        </is>
      </c>
      <c r="E594" t="inlineStr">
        <is>
          <t>BORLÄNGE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45565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45565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45565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41276-2024</t>
        </is>
      </c>
      <c r="B598" s="1" t="n">
        <v>45559</v>
      </c>
      <c r="C598" s="1" t="n">
        <v>45565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2024-09-30T16:54:27Z</dcterms:created>
  <dcterms:modified xmlns:dcterms="http://purl.org/dc/terms/" xmlns:xsi="http://www.w3.org/2001/XMLSchema-instance" xsi:type="dcterms:W3CDTF">2024-09-30T16:54:28Z</dcterms:modified>
</cp:coreProperties>
</file>