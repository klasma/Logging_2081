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53145-2023</t>
        </is>
      </c>
      <c r="B2" t="inlineStr">
        <is>
          <t>avverkningsanmälan</t>
        </is>
      </c>
      <c r="C2" t="inlineStr">
        <is>
          <t>Föryngringsavverkning</t>
        </is>
      </c>
      <c r="D2" s="1" t="n">
        <v>45229</v>
      </c>
      <c r="E2" s="1" t="n">
        <v>46218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2">
        <f>HYPERLINK("https://klasma.github.io/Logging_2081/artfynd/A 53145-2023 artfynd.xlsx", "A 53145-2023")</f>
        <v/>
      </c>
      <c r="W2">
        <f>HYPERLINK("https://klasma.github.io/Logging_2081/kartor/A 53145-2023 karta.png", "A 53145-2023")</f>
        <v/>
      </c>
      <c r="Y2">
        <f>HYPERLINK("https://klasma.github.io/Logging_2081/klagomål/A 53145-2023 FSC-klagomål.docx", "A 53145-2023")</f>
        <v/>
      </c>
      <c r="Z2">
        <f>HYPERLINK("https://klasma.github.io/Logging_2081/klagomålsmail/A 53145-2023 FSC-klagomål mail.docx", "A 53145-2023")</f>
        <v/>
      </c>
      <c r="AA2">
        <f>HYPERLINK("https://klasma.github.io/Logging_2081/tillsyn/A 53145-2023 tillsynsbegäran.docx", "A 53145-2023")</f>
        <v/>
      </c>
      <c r="AB2">
        <f>HYPERLINK("https://klasma.github.io/Logging_2081/tillsynsmail/A 53145-2023 tillsynsbegäran mail.docx", "A 53145-2023")</f>
        <v/>
      </c>
      <c r="AC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46218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s="2" t="inlineStr">
        <is>
          <t>Knärot
Fjällig taggsvamp s.str.
Mindre hackspett
Motaggsvamp
Rosenticka
Skarp dropptaggsvamp
Talltita
Ullticka
Mindre märgborre
Rödgul trumpetsvamp
Svavelriska
Blåsippa
Mindre flugsnappare
Spillkråka
Grönsiska
Kungsfågel
Revlummer</t>
        </is>
      </c>
      <c r="V3">
        <f>HYPERLINK("https://klasma.github.io/Logging_2081/artfynd/A 5108-2023 artfynd.xlsx", "A 5108-2023")</f>
        <v/>
      </c>
      <c r="W3">
        <f>HYPERLINK("https://klasma.github.io/Logging_2081/kartor/A 5108-2023 karta.png", "A 5108-2023")</f>
        <v/>
      </c>
      <c r="X3">
        <f>HYPERLINK("https://klasma.github.io/Logging_2081/knärot/A 5108-2023 karta knärot.png", "A 5108-2023")</f>
        <v/>
      </c>
      <c r="Y3">
        <f>HYPERLINK("https://klasma.github.io/Logging_2081/klagomål/A 5108-2023 FSC-klagomål.docx", "A 5108-2023")</f>
        <v/>
      </c>
      <c r="Z3">
        <f>HYPERLINK("https://klasma.github.io/Logging_2081/klagomålsmail/A 5108-2023 FSC-klagomål mail.docx", "A 5108-2023")</f>
        <v/>
      </c>
      <c r="AA3">
        <f>HYPERLINK("https://klasma.github.io/Logging_2081/tillsyn/A 5108-2023 tillsynsbegäran.docx", "A 5108-2023")</f>
        <v/>
      </c>
      <c r="AB3">
        <f>HYPERLINK("https://klasma.github.io/Logging_2081/tillsynsmail/A 5108-2023 tillsynsbegäran mail.docx", "A 5108-2023")</f>
        <v/>
      </c>
      <c r="AC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46218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s="2" t="inlineStr">
        <is>
          <t>Knärot
Fjällig taggsvamp s.str.
Mindre hackspett
Motaggsvamp
Rosenticka
Skarp dropptaggsvamp
Talltita
Ullticka
Mindre märgborre
Rödgul trumpetsvamp
Svavelriska
Blåsippa
Mindre flugsnappare
Spillkråka
Grönsiska
Kungsfågel
Revlummer</t>
        </is>
      </c>
      <c r="V4">
        <f>HYPERLINK("https://klasma.github.io/Logging_2081/artfynd/A 37099-2024 artfynd.xlsx", "A 37099-2024")</f>
        <v/>
      </c>
      <c r="W4">
        <f>HYPERLINK("https://klasma.github.io/Logging_2081/kartor/A 37099-2024 karta.png", "A 37099-2024")</f>
        <v/>
      </c>
      <c r="X4">
        <f>HYPERLINK("https://klasma.github.io/Logging_2081/knärot/A 37099-2024 karta knärot.png", "A 37099-2024")</f>
        <v/>
      </c>
      <c r="Y4">
        <f>HYPERLINK("https://klasma.github.io/Logging_2081/klagomål/A 37099-2024 FSC-klagomål.docx", "A 37099-2024")</f>
        <v/>
      </c>
      <c r="Z4">
        <f>HYPERLINK("https://klasma.github.io/Logging_2081/klagomålsmail/A 37099-2024 FSC-klagomål mail.docx", "A 37099-2024")</f>
        <v/>
      </c>
      <c r="AA4">
        <f>HYPERLINK("https://klasma.github.io/Logging_2081/tillsyn/A 37099-2024 tillsynsbegäran.docx", "A 37099-2024")</f>
        <v/>
      </c>
      <c r="AB4">
        <f>HYPERLINK("https://klasma.github.io/Logging_2081/tillsynsmail/A 37099-2024 tillsynsbegäran mail.docx", "A 37099-2024")</f>
        <v/>
      </c>
      <c r="AC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46218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s="2" t="inlineStr">
        <is>
          <t>Bitter taggsvamp
Knärot
Dropptaggsvamp
Kryddspindling
Kötticka
Rosenticka
Rynkskinn
Tallfingersvamp
Talltita
Ullticka
Blomkålssvamp
Bronshjon
Grönpyrola
Thomsons trägnagare
Spillkråka</t>
        </is>
      </c>
      <c r="V5">
        <f>HYPERLINK("https://klasma.github.io/Logging_2081/artfynd/A 29266-2023 artfynd.xlsx", "A 29266-2023")</f>
        <v/>
      </c>
      <c r="W5">
        <f>HYPERLINK("https://klasma.github.io/Logging_2081/kartor/A 29266-2023 karta.png", "A 29266-2023")</f>
        <v/>
      </c>
      <c r="X5">
        <f>HYPERLINK("https://klasma.github.io/Logging_2081/knärot/A 29266-2023 karta knärot.png", "A 29266-2023")</f>
        <v/>
      </c>
      <c r="Y5">
        <f>HYPERLINK("https://klasma.github.io/Logging_2081/klagomål/A 29266-2023 FSC-klagomål.docx", "A 29266-2023")</f>
        <v/>
      </c>
      <c r="Z5">
        <f>HYPERLINK("https://klasma.github.io/Logging_2081/klagomålsmail/A 29266-2023 FSC-klagomål mail.docx", "A 29266-2023")</f>
        <v/>
      </c>
      <c r="AA5">
        <f>HYPERLINK("https://klasma.github.io/Logging_2081/tillsyn/A 29266-2023 tillsynsbegäran.docx", "A 29266-2023")</f>
        <v/>
      </c>
      <c r="AB5">
        <f>HYPERLINK("https://klasma.github.io/Logging_2081/tillsynsmail/A 29266-2023 tillsynsbegäran mail.docx", "A 29266-2023")</f>
        <v/>
      </c>
      <c r="AC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46218</v>
      </c>
      <c r="F6" t="inlineStr">
        <is>
          <t>DALARNAS LÄN</t>
        </is>
      </c>
      <c r="G6" t="inlineStr">
        <is>
          <t>BORLÄNGE</t>
        </is>
      </c>
      <c r="I6" t="n">
        <v>28</v>
      </c>
      <c r="J6" t="n">
        <v>3</v>
      </c>
      <c r="K6" t="n">
        <v>2</v>
      </c>
      <c r="L6" t="n">
        <v>7</v>
      </c>
      <c r="M6" t="n">
        <v>1</v>
      </c>
      <c r="N6" t="n">
        <v>0</v>
      </c>
      <c r="O6" t="n">
        <v>0</v>
      </c>
      <c r="P6" t="n">
        <v>0</v>
      </c>
      <c r="Q6" t="n">
        <v>8</v>
      </c>
      <c r="R6" t="n">
        <v>1</v>
      </c>
      <c r="S6" t="n">
        <v>12</v>
      </c>
      <c r="T6" t="n">
        <v>80</v>
      </c>
      <c r="U6" s="2" t="inlineStr">
        <is>
          <t>Garnlav
Dropptaggsvamp
Motaggsvamp
Rynkskinn
Svartvit taggsvamp
Tallticka
Tretåig hackspett
Ullticka
Rostfläck
Vedticka
Tjäder
Törnskata</t>
        </is>
      </c>
      <c r="V6">
        <f>HYPERLINK("https://klasma.github.io/Logging_2081/artfynd/A 73613-2021 artfynd.xlsx", "A 73613-2021")</f>
        <v/>
      </c>
      <c r="W6">
        <f>HYPERLINK("https://klasma.github.io/Logging_2081/kartor/A 73613-2021 karta.png", "A 73613-2021")</f>
        <v/>
      </c>
      <c r="Y6">
        <f>HYPERLINK("https://klasma.github.io/Logging_2081/klagomål/A 73613-2021 FSC-klagomål.docx", "A 73613-2021")</f>
        <v/>
      </c>
      <c r="Z6">
        <f>HYPERLINK("https://klasma.github.io/Logging_2081/klagomålsmail/A 73613-2021 FSC-klagomål mail.docx", "A 73613-2021")</f>
        <v/>
      </c>
      <c r="AA6">
        <f>HYPERLINK("https://klasma.github.io/Logging_2081/tillsyn/A 73613-2021 tillsynsbegäran.docx", "A 73613-2021")</f>
        <v/>
      </c>
      <c r="AB6">
        <f>HYPERLINK("https://klasma.github.io/Logging_2081/tillsynsmail/A 73613-2021 tillsynsbegäran mail.docx", "A 73613-2021")</f>
        <v/>
      </c>
      <c r="AC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46218</v>
      </c>
      <c r="F7" t="inlineStr">
        <is>
          <t>DALARNAS LÄN</t>
        </is>
      </c>
      <c r="G7" t="inlineStr">
        <is>
          <t>BORLÄNGE</t>
        </is>
      </c>
      <c r="I7" t="n">
        <v>6.7</v>
      </c>
      <c r="J7" t="n">
        <v>3</v>
      </c>
      <c r="K7" t="n">
        <v>3</v>
      </c>
      <c r="L7" t="n">
        <v>4</v>
      </c>
      <c r="M7" t="n">
        <v>2</v>
      </c>
      <c r="N7" t="n">
        <v>1</v>
      </c>
      <c r="O7" t="n">
        <v>0</v>
      </c>
      <c r="P7" t="n">
        <v>0</v>
      </c>
      <c r="Q7" t="n">
        <v>7</v>
      </c>
      <c r="R7" t="n">
        <v>3</v>
      </c>
      <c r="S7" t="n">
        <v>12</v>
      </c>
      <c r="T7" t="n">
        <v>27</v>
      </c>
      <c r="U7" s="2" t="inlineStr">
        <is>
          <t>Skogsalm
Citronporing
Knärot
Fjällig taggsvamp s.str.
Gransotdyna
Ullticka
Vedtrappmossa
Bronshjon
Mörk husmossa
Rödgul trumpetsvamp
Blåsippa
Lopplummer (aggregat)</t>
        </is>
      </c>
      <c r="V7">
        <f>HYPERLINK("https://klasma.github.io/Logging_2081/artfynd/A 59728-2021 artfynd.xlsx", "A 59728-2021")</f>
        <v/>
      </c>
      <c r="W7">
        <f>HYPERLINK("https://klasma.github.io/Logging_2081/kartor/A 59728-2021 karta.png", "A 59728-2021")</f>
        <v/>
      </c>
      <c r="X7">
        <f>HYPERLINK("https://klasma.github.io/Logging_2081/knärot/A 59728-2021 karta knärot.png", "A 59728-2021")</f>
        <v/>
      </c>
      <c r="Y7">
        <f>HYPERLINK("https://klasma.github.io/Logging_2081/klagomål/A 59728-2021 FSC-klagomål.docx", "A 59728-2021")</f>
        <v/>
      </c>
      <c r="Z7">
        <f>HYPERLINK("https://klasma.github.io/Logging_2081/klagomålsmail/A 59728-2021 FSC-klagomål mail.docx", "A 59728-2021")</f>
        <v/>
      </c>
      <c r="AA7">
        <f>HYPERLINK("https://klasma.github.io/Logging_2081/tillsyn/A 59728-2021 tillsynsbegäran.docx", "A 59728-2021")</f>
        <v/>
      </c>
      <c r="AB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46218</v>
      </c>
      <c r="F8" t="inlineStr">
        <is>
          <t>DALARNAS LÄN</t>
        </is>
      </c>
      <c r="G8" t="inlineStr">
        <is>
          <t>BORLÄNGE</t>
        </is>
      </c>
      <c r="I8" t="n">
        <v>15.5</v>
      </c>
      <c r="J8" t="n">
        <v>3</v>
      </c>
      <c r="K8" t="n">
        <v>1</v>
      </c>
      <c r="L8" t="n">
        <v>7</v>
      </c>
      <c r="M8" t="n">
        <v>1</v>
      </c>
      <c r="N8" t="n">
        <v>0</v>
      </c>
      <c r="O8" t="n">
        <v>0</v>
      </c>
      <c r="P8" t="n">
        <v>0</v>
      </c>
      <c r="Q8" t="n">
        <v>8</v>
      </c>
      <c r="R8" t="n">
        <v>1</v>
      </c>
      <c r="S8" t="n">
        <v>11</v>
      </c>
      <c r="T8" t="n">
        <v>47</v>
      </c>
      <c r="U8" s="2" t="inlineStr">
        <is>
          <t>Garnlav
Blå taggsvamp
Doftskinn
Dropptaggsvamp
Rosenticka
Svartvit taggsvamp
Tretåig hackspett
Ullticka
Vedticka
Järpe
Tjäder</t>
        </is>
      </c>
      <c r="V8">
        <f>HYPERLINK("https://klasma.github.io/Logging_2081/artfynd/A 64675-2021 artfynd.xlsx", "A 64675-2021")</f>
        <v/>
      </c>
      <c r="W8">
        <f>HYPERLINK("https://klasma.github.io/Logging_2081/kartor/A 64675-2021 karta.png", "A 64675-2021")</f>
        <v/>
      </c>
      <c r="Y8">
        <f>HYPERLINK("https://klasma.github.io/Logging_2081/klagomål/A 64675-2021 FSC-klagomål.docx", "A 64675-2021")</f>
        <v/>
      </c>
      <c r="Z8">
        <f>HYPERLINK("https://klasma.github.io/Logging_2081/klagomålsmail/A 64675-2021 FSC-klagomål mail.docx", "A 64675-2021")</f>
        <v/>
      </c>
      <c r="AA8">
        <f>HYPERLINK("https://klasma.github.io/Logging_2081/tillsyn/A 64675-2021 tillsynsbegäran.docx", "A 64675-2021")</f>
        <v/>
      </c>
      <c r="AB8">
        <f>HYPERLINK("https://klasma.github.io/Logging_2081/tillsynsmail/A 64675-2021 tillsynsbegäran mail.docx", "A 64675-2021")</f>
        <v/>
      </c>
      <c r="AC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46218</v>
      </c>
      <c r="F9" t="inlineStr">
        <is>
          <t>DALARNAS LÄN</t>
        </is>
      </c>
      <c r="G9" t="inlineStr">
        <is>
          <t>BORLÄNGE</t>
        </is>
      </c>
      <c r="I9" t="n">
        <v>16.1</v>
      </c>
      <c r="J9" t="n">
        <v>3</v>
      </c>
      <c r="K9" t="n">
        <v>1</v>
      </c>
      <c r="L9" t="n">
        <v>6</v>
      </c>
      <c r="M9" t="n">
        <v>2</v>
      </c>
      <c r="N9" t="n">
        <v>0</v>
      </c>
      <c r="O9" t="n">
        <v>0</v>
      </c>
      <c r="P9" t="n">
        <v>0</v>
      </c>
      <c r="Q9" t="n">
        <v>8</v>
      </c>
      <c r="R9" t="n">
        <v>2</v>
      </c>
      <c r="S9" t="n">
        <v>11</v>
      </c>
      <c r="T9" t="n">
        <v>21</v>
      </c>
      <c r="U9" s="2" t="inlineStr">
        <is>
          <t>Garnlav
Knärot
Dropptaggsvamp
Gammelgransskål
Halmgul örnlav
Mörk kolflarnlav
Vedskivlav
Vedtrappmossa
Barkkornlav
Tjäder
Fläcknycklar</t>
        </is>
      </c>
      <c r="V9">
        <f>HYPERLINK("https://klasma.github.io/Logging_2081/artfynd/A 59665-2022 artfynd.xlsx", "A 59665-2022")</f>
        <v/>
      </c>
      <c r="W9">
        <f>HYPERLINK("https://klasma.github.io/Logging_2081/kartor/A 59665-2022 karta.png", "A 59665-2022")</f>
        <v/>
      </c>
      <c r="X9">
        <f>HYPERLINK("https://klasma.github.io/Logging_2081/knärot/A 59665-2022 karta knärot.png", "A 59665-2022")</f>
        <v/>
      </c>
      <c r="Y9">
        <f>HYPERLINK("https://klasma.github.io/Logging_2081/klagomål/A 59665-2022 FSC-klagomål.docx", "A 59665-2022")</f>
        <v/>
      </c>
      <c r="Z9">
        <f>HYPERLINK("https://klasma.github.io/Logging_2081/klagomålsmail/A 59665-2022 FSC-klagomål mail.docx", "A 59665-2022")</f>
        <v/>
      </c>
      <c r="AA9">
        <f>HYPERLINK("https://klasma.github.io/Logging_2081/tillsyn/A 59665-2022 tillsynsbegäran.docx", "A 59665-2022")</f>
        <v/>
      </c>
      <c r="AB9">
        <f>HYPERLINK("https://klasma.github.io/Logging_2081/tillsynsmail/A 59665-2022 tillsynsbegäran mail.docx", "A 59665-2022")</f>
        <v/>
      </c>
      <c r="AC9">
        <f>HYPERLINK("https://klasma.github.io/Logging_2081/fåglar/A 59665-2022 prioriterade fågelarter.docx", "A 59665-2022")</f>
        <v/>
      </c>
    </row>
    <row r="10" ht="15" customHeight="1">
      <c r="A10" t="inlineStr">
        <is>
          <t>A 22907-2025</t>
        </is>
      </c>
      <c r="B10" t="inlineStr">
        <is>
          <t>avverkningsanmälan</t>
        </is>
      </c>
      <c r="C10" t="inlineStr">
        <is>
          <t>Föryngringsavverkning</t>
        </is>
      </c>
      <c r="D10" s="1" t="n">
        <v>45790</v>
      </c>
      <c r="E10" s="1" t="n">
        <v>46218</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s="2" t="inlineStr">
        <is>
          <t>Garnlav
Gräddporing
Knärot
Violettgrå tagellav
Mindre märgborre
Spindelblomster
Järpe
Mattlummer
Spillkråka
Tjäder
Fläcknycklar</t>
        </is>
      </c>
      <c r="V10">
        <f>HYPERLINK("https://klasma.github.io/Logging_2081/artfynd/A 22907-2025 artfynd.xlsx", "A 22907-2025")</f>
        <v/>
      </c>
      <c r="W10">
        <f>HYPERLINK("https://klasma.github.io/Logging_2081/kartor/A 22907-2025 karta.png", "A 22907-2025")</f>
        <v/>
      </c>
      <c r="X10">
        <f>HYPERLINK("https://klasma.github.io/Logging_2081/knärot/A 22907-2025 karta knärot.png", "A 22907-2025")</f>
        <v/>
      </c>
      <c r="Y10">
        <f>HYPERLINK("https://klasma.github.io/Logging_2081/klagomål/A 22907-2025 FSC-klagomål.docx", "A 22907-2025")</f>
        <v/>
      </c>
      <c r="Z10">
        <f>HYPERLINK("https://klasma.github.io/Logging_2081/klagomålsmail/A 22907-2025 FSC-klagomål mail.docx", "A 22907-2025")</f>
        <v/>
      </c>
      <c r="AA10">
        <f>HYPERLINK("https://klasma.github.io/Logging_2081/tillsyn/A 22907-2025 tillsynsbegäran.docx", "A 22907-2025")</f>
        <v/>
      </c>
      <c r="AB10">
        <f>HYPERLINK("https://klasma.github.io/Logging_2081/tillsynsmail/A 22907-2025 tillsynsbegäran mail.docx", "A 22907-2025")</f>
        <v/>
      </c>
      <c r="AC10">
        <f>HYPERLINK("https://klasma.github.io/Logging_2081/fåglar/A 22907-2025 prioriterade fågelarter.docx", "A 22907-2025")</f>
        <v/>
      </c>
    </row>
    <row r="11" ht="15" customHeight="1">
      <c r="A11" t="inlineStr">
        <is>
          <t>A 37473-2025</t>
        </is>
      </c>
      <c r="B11" t="inlineStr">
        <is>
          <t>avverkningsanmälan</t>
        </is>
      </c>
      <c r="C11" t="inlineStr">
        <is>
          <t>Föryngringsavverkning</t>
        </is>
      </c>
      <c r="D11" s="1" t="n">
        <v>45877</v>
      </c>
      <c r="E11" s="1" t="n">
        <v>46218</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s="2" t="inlineStr">
        <is>
          <t>Garnlav
Knärot
Dropptaggsvamp
Skarp dropptaggsvamp
Tretåig hackspett
Ullticka
Violettgrå tagellav
Bronshjon
Vedticka
Spillkråka
Fläcknycklar</t>
        </is>
      </c>
      <c r="V11">
        <f>HYPERLINK("https://klasma.github.io/Logging_2081/artfynd/A 37473-2025 artfynd.xlsx", "A 37473-2025")</f>
        <v/>
      </c>
      <c r="W11">
        <f>HYPERLINK("https://klasma.github.io/Logging_2081/kartor/A 37473-2025 karta.png", "A 37473-2025")</f>
        <v/>
      </c>
      <c r="X11">
        <f>HYPERLINK("https://klasma.github.io/Logging_2081/knärot/A 37473-2025 karta knärot.png", "A 37473-2025")</f>
        <v/>
      </c>
      <c r="Y11">
        <f>HYPERLINK("https://klasma.github.io/Logging_2081/klagomål/A 37473-2025 FSC-klagomål.docx", "A 37473-2025")</f>
        <v/>
      </c>
      <c r="Z11">
        <f>HYPERLINK("https://klasma.github.io/Logging_2081/klagomålsmail/A 37473-2025 FSC-klagomål mail.docx", "A 37473-2025")</f>
        <v/>
      </c>
      <c r="AA11">
        <f>HYPERLINK("https://klasma.github.io/Logging_2081/tillsyn/A 37473-2025 tillsynsbegäran.docx", "A 37473-2025")</f>
        <v/>
      </c>
      <c r="AB11">
        <f>HYPERLINK("https://klasma.github.io/Logging_2081/tillsynsmail/A 37473-2025 tillsynsbegäran mail.docx", "A 37473-2025")</f>
        <v/>
      </c>
      <c r="AC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46218</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s="2" t="inlineStr">
        <is>
          <t>Dropptaggsvamp
Talltita
Violettgrå tagellav
Dolkstekelsglasvinge
Grovticka
Mindre märgborre
Vanlig flatbagge
Vågbandad barkbock
Spillkråka
Revlummer</t>
        </is>
      </c>
      <c r="V12">
        <f>HYPERLINK("https://klasma.github.io/Logging_2081/artfynd/A 17081-2026 artfynd.xlsx", "A 17081-2026")</f>
        <v/>
      </c>
      <c r="W12">
        <f>HYPERLINK("https://klasma.github.io/Logging_2081/kartor/A 17081-2026 karta.png", "A 17081-2026")</f>
        <v/>
      </c>
      <c r="Y12">
        <f>HYPERLINK("https://klasma.github.io/Logging_2081/klagomål/A 17081-2026 FSC-klagomål.docx", "A 17081-2026")</f>
        <v/>
      </c>
      <c r="Z12">
        <f>HYPERLINK("https://klasma.github.io/Logging_2081/klagomålsmail/A 17081-2026 FSC-klagomål mail.docx", "A 17081-2026")</f>
        <v/>
      </c>
      <c r="AA12">
        <f>HYPERLINK("https://klasma.github.io/Logging_2081/tillsyn/A 17081-2026 tillsynsbegäran.docx", "A 17081-2026")</f>
        <v/>
      </c>
      <c r="AB12">
        <f>HYPERLINK("https://klasma.github.io/Logging_2081/tillsynsmail/A 17081-2026 tillsynsbegäran mail.docx", "A 17081-2026")</f>
        <v/>
      </c>
      <c r="AC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46218</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s="2" t="inlineStr">
        <is>
          <t>Blåtryffel
Citronporing
Gul taggsvamp
Brunlångöra
Dofttaggsvamp
Skuggblåslav
Ullticka
Vedtrappmossa
Strutbräken
Trådticka</t>
        </is>
      </c>
      <c r="V13">
        <f>HYPERLINK("https://klasma.github.io/Logging_2081/artfynd/S 283-2026 artfynd.xlsx", "S 283-2026")</f>
        <v/>
      </c>
      <c r="W13">
        <f>HYPERLINK("https://klasma.github.io/Logging_2081/kartor/S 283-2026 karta.png", "S 283-2026")</f>
        <v/>
      </c>
      <c r="Y13">
        <f>HYPERLINK("https://klasma.github.io/Logging_2081/klagomål/S 283-2026 FSC-klagomål.docx", "S 283-2026")</f>
        <v/>
      </c>
      <c r="Z13">
        <f>HYPERLINK("https://klasma.github.io/Logging_2081/klagomålsmail/S 283-2026 FSC-klagomål mail.docx", "S 283-2026")</f>
        <v/>
      </c>
      <c r="AA13">
        <f>HYPERLINK("https://klasma.github.io/Logging_2081/tillsyn/S 283-2026 tillsynsbegäran.docx", "S 283-2026")</f>
        <v/>
      </c>
      <c r="AB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46218</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s="2" t="inlineStr">
        <is>
          <t>Garnlav
Knärot
Rynkskinn
Plattlummer
Linnea
Mattlummer
Spillkråka
Ängskovall
Fläcknycklar
Revlummer</t>
        </is>
      </c>
      <c r="V14">
        <f>HYPERLINK("https://klasma.github.io/Logging_2081/artfynd/S 448-2026 artfynd.xlsx", "S 448-2026")</f>
        <v/>
      </c>
      <c r="W14">
        <f>HYPERLINK("https://klasma.github.io/Logging_2081/kartor/S 448-2026 karta.png", "S 448-2026")</f>
        <v/>
      </c>
      <c r="X14">
        <f>HYPERLINK("https://klasma.github.io/Logging_2081/knärot/S 448-2026 karta knärot.png", "S 448-2026")</f>
        <v/>
      </c>
      <c r="Y14">
        <f>HYPERLINK("https://klasma.github.io/Logging_2081/klagomål/S 448-2026 FSC-klagomål.docx", "S 448-2026")</f>
        <v/>
      </c>
      <c r="Z14">
        <f>HYPERLINK("https://klasma.github.io/Logging_2081/klagomålsmail/S 448-2026 FSC-klagomål mail.docx", "S 448-2026")</f>
        <v/>
      </c>
      <c r="AA14">
        <f>HYPERLINK("https://klasma.github.io/Logging_2081/tillsyn/S 448-2026 tillsynsbegäran.docx", "S 448-2026")</f>
        <v/>
      </c>
      <c r="AB14">
        <f>HYPERLINK("https://klasma.github.io/Logging_2081/tillsynsmail/S 448-2026 tillsynsbegäran mail.docx", "S 448-2026")</f>
        <v/>
      </c>
      <c r="AC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46218</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s="2" t="inlineStr">
        <is>
          <t>Knärot
Tornseglare
Talltita
Ullticka
Mindre märgborre
Spillkråka
Tofsmes
Grönsiska
Revlummer</t>
        </is>
      </c>
      <c r="V15">
        <f>HYPERLINK("https://klasma.github.io/Logging_2081/artfynd/A 36739-2024 artfynd.xlsx", "A 36739-2024")</f>
        <v/>
      </c>
      <c r="W15">
        <f>HYPERLINK("https://klasma.github.io/Logging_2081/kartor/A 36739-2024 karta.png", "A 36739-2024")</f>
        <v/>
      </c>
      <c r="X15">
        <f>HYPERLINK("https://klasma.github.io/Logging_2081/knärot/A 36739-2024 karta knärot.png", "A 36739-2024")</f>
        <v/>
      </c>
      <c r="Y15">
        <f>HYPERLINK("https://klasma.github.io/Logging_2081/klagomål/A 36739-2024 FSC-klagomål.docx", "A 36739-2024")</f>
        <v/>
      </c>
      <c r="Z15">
        <f>HYPERLINK("https://klasma.github.io/Logging_2081/klagomålsmail/A 36739-2024 FSC-klagomål mail.docx", "A 36739-2024")</f>
        <v/>
      </c>
      <c r="AA15">
        <f>HYPERLINK("https://klasma.github.io/Logging_2081/tillsyn/A 36739-2024 tillsynsbegäran.docx", "A 36739-2024")</f>
        <v/>
      </c>
      <c r="AB15">
        <f>HYPERLINK("https://klasma.github.io/Logging_2081/tillsynsmail/A 36739-2024 tillsynsbegäran mail.docx", "A 36739-2024")</f>
        <v/>
      </c>
      <c r="AC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46218</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s="2" t="inlineStr">
        <is>
          <t>Knärot
Rynkskinn
Tretåig hackspett
Ullticka
Spindelblomster
Vedticka
Spillkråka
Tjäder
Fläcknycklar</t>
        </is>
      </c>
      <c r="V16">
        <f>HYPERLINK("https://klasma.github.io/Logging_2081/artfynd/A 28027-2025 artfynd.xlsx", "A 28027-2025")</f>
        <v/>
      </c>
      <c r="W16">
        <f>HYPERLINK("https://klasma.github.io/Logging_2081/kartor/A 28027-2025 karta.png", "A 28027-2025")</f>
        <v/>
      </c>
      <c r="X16">
        <f>HYPERLINK("https://klasma.github.io/Logging_2081/knärot/A 28027-2025 karta knärot.png", "A 28027-2025")</f>
        <v/>
      </c>
      <c r="Y16">
        <f>HYPERLINK("https://klasma.github.io/Logging_2081/klagomål/A 28027-2025 FSC-klagomål.docx", "A 28027-2025")</f>
        <v/>
      </c>
      <c r="Z16">
        <f>HYPERLINK("https://klasma.github.io/Logging_2081/klagomålsmail/A 28027-2025 FSC-klagomål mail.docx", "A 28027-2025")</f>
        <v/>
      </c>
      <c r="AA16">
        <f>HYPERLINK("https://klasma.github.io/Logging_2081/tillsyn/A 28027-2025 tillsynsbegäran.docx", "A 28027-2025")</f>
        <v/>
      </c>
      <c r="AB16">
        <f>HYPERLINK("https://klasma.github.io/Logging_2081/tillsynsmail/A 28027-2025 tillsynsbegäran mail.docx", "A 28027-2025")</f>
        <v/>
      </c>
      <c r="AC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46218</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s="2" t="inlineStr">
        <is>
          <t>Knärot
Dofttaggsvamp
Motaggsvamp
Svartvit taggsvamp
Talltita
Tretåig hackspett
Järpe
Orre
Mindre vattensalamander</t>
        </is>
      </c>
      <c r="V17">
        <f>HYPERLINK("https://klasma.github.io/Logging_2081/artfynd/S 2495-2025 artfynd.xlsx", "S 2495-2025")</f>
        <v/>
      </c>
      <c r="W17">
        <f>HYPERLINK("https://klasma.github.io/Logging_2081/kartor/S 2495-2025 karta.png", "S 2495-2025")</f>
        <v/>
      </c>
      <c r="X17">
        <f>HYPERLINK("https://klasma.github.io/Logging_2081/knärot/S 2495-2025 karta knärot.png", "S 2495-2025")</f>
        <v/>
      </c>
      <c r="Y17">
        <f>HYPERLINK("https://klasma.github.io/Logging_2081/klagomål/S 2495-2025 FSC-klagomål.docx", "S 2495-2025")</f>
        <v/>
      </c>
      <c r="Z17">
        <f>HYPERLINK("https://klasma.github.io/Logging_2081/klagomålsmail/S 2495-2025 FSC-klagomål mail.docx", "S 2495-2025")</f>
        <v/>
      </c>
      <c r="AA17">
        <f>HYPERLINK("https://klasma.github.io/Logging_2081/tillsyn/S 2495-2025 tillsynsbegäran.docx", "S 2495-2025")</f>
        <v/>
      </c>
      <c r="AB17">
        <f>HYPERLINK("https://klasma.github.io/Logging_2081/tillsynsmail/S 2495-2025 tillsynsbegäran mail.docx", "S 2495-2025")</f>
        <v/>
      </c>
      <c r="AC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46218</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s="2" t="inlineStr">
        <is>
          <t>Rostskinn
Vedtrappmossa
Björksplintborre
Blodticka
Bronshjon
Thomsons trägnagare
Vågbandad barkbock
Revlummer</t>
        </is>
      </c>
      <c r="V18">
        <f>HYPERLINK("https://klasma.github.io/Logging_2081/artfynd/A 65254-2023 artfynd.xlsx", "A 65254-2023")</f>
        <v/>
      </c>
      <c r="W18">
        <f>HYPERLINK("https://klasma.github.io/Logging_2081/kartor/A 65254-2023 karta.png", "A 65254-2023")</f>
        <v/>
      </c>
      <c r="Y18">
        <f>HYPERLINK("https://klasma.github.io/Logging_2081/klagomål/A 65254-2023 FSC-klagomål.docx", "A 65254-2023")</f>
        <v/>
      </c>
      <c r="Z18">
        <f>HYPERLINK("https://klasma.github.io/Logging_2081/klagomålsmail/A 65254-2023 FSC-klagomål mail.docx", "A 65254-2023")</f>
        <v/>
      </c>
      <c r="AA18">
        <f>HYPERLINK("https://klasma.github.io/Logging_2081/tillsyn/A 65254-2023 tillsynsbegäran.docx", "A 65254-2023")</f>
        <v/>
      </c>
      <c r="AB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46218</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s="2" t="inlineStr">
        <is>
          <t>Knärot
Rosenticka
Rynkskinn
Talltita
Tretåig hackspett
Ullticka
Vedticka
Spillkråka</t>
        </is>
      </c>
      <c r="V19">
        <f>HYPERLINK("https://klasma.github.io/Logging_2081/artfynd/A 28671-2025 artfynd.xlsx", "A 28671-2025")</f>
        <v/>
      </c>
      <c r="W19">
        <f>HYPERLINK("https://klasma.github.io/Logging_2081/kartor/A 28671-2025 karta.png", "A 28671-2025")</f>
        <v/>
      </c>
      <c r="X19">
        <f>HYPERLINK("https://klasma.github.io/Logging_2081/knärot/A 28671-2025 karta knärot.png", "A 28671-2025")</f>
        <v/>
      </c>
      <c r="Y19">
        <f>HYPERLINK("https://klasma.github.io/Logging_2081/klagomål/A 28671-2025 FSC-klagomål.docx", "A 28671-2025")</f>
        <v/>
      </c>
      <c r="Z19">
        <f>HYPERLINK("https://klasma.github.io/Logging_2081/klagomålsmail/A 28671-2025 FSC-klagomål mail.docx", "A 28671-2025")</f>
        <v/>
      </c>
      <c r="AA19">
        <f>HYPERLINK("https://klasma.github.io/Logging_2081/tillsyn/A 28671-2025 tillsynsbegäran.docx", "A 28671-2025")</f>
        <v/>
      </c>
      <c r="AB19">
        <f>HYPERLINK("https://klasma.github.io/Logging_2081/tillsynsmail/A 28671-2025 tillsynsbegäran mail.docx", "A 28671-2025")</f>
        <v/>
      </c>
      <c r="AC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46218</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s="2" t="inlineStr">
        <is>
          <t>Garnlav
Dropptaggsvamp
Talltita
Tretåig hackspett
Ullticka
Tjäder
Lopplummer (aggregat)</t>
        </is>
      </c>
      <c r="V20">
        <f>HYPERLINK("https://klasma.github.io/Logging_2081/artfynd/A 4568-2026 artfynd.xlsx", "A 4568-2026")</f>
        <v/>
      </c>
      <c r="W20">
        <f>HYPERLINK("https://klasma.github.io/Logging_2081/kartor/A 4568-2026 karta.png", "A 4568-2026")</f>
        <v/>
      </c>
      <c r="Y20">
        <f>HYPERLINK("https://klasma.github.io/Logging_2081/klagomål/A 4568-2026 FSC-klagomål.docx", "A 4568-2026")</f>
        <v/>
      </c>
      <c r="Z20">
        <f>HYPERLINK("https://klasma.github.io/Logging_2081/klagomålsmail/A 4568-2026 FSC-klagomål mail.docx", "A 4568-2026")</f>
        <v/>
      </c>
      <c r="AA20">
        <f>HYPERLINK("https://klasma.github.io/Logging_2081/tillsyn/A 4568-2026 tillsynsbegäran.docx", "A 4568-2026")</f>
        <v/>
      </c>
      <c r="AB20">
        <f>HYPERLINK("https://klasma.github.io/Logging_2081/tillsynsmail/A 4568-2026 tillsynsbegäran mail.docx", "A 4568-2026")</f>
        <v/>
      </c>
      <c r="AC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46218</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s="2" t="inlineStr">
        <is>
          <t>Knärot
Orange taggsvamp
Rynkskinn
Ullticka
Bronshjon
Revlummer</t>
        </is>
      </c>
      <c r="V21">
        <f>HYPERLINK("https://klasma.github.io/Logging_2081/artfynd/A 1019-2026 artfynd.xlsx", "A 1019-2026")</f>
        <v/>
      </c>
      <c r="W21">
        <f>HYPERLINK("https://klasma.github.io/Logging_2081/kartor/A 1019-2026 karta.png", "A 1019-2026")</f>
        <v/>
      </c>
      <c r="X21">
        <f>HYPERLINK("https://klasma.github.io/Logging_2081/knärot/A 1019-2026 karta knärot.png", "A 1019-2026")</f>
        <v/>
      </c>
      <c r="Y21">
        <f>HYPERLINK("https://klasma.github.io/Logging_2081/klagomål/A 1019-2026 FSC-klagomål.docx", "A 1019-2026")</f>
        <v/>
      </c>
      <c r="Z21">
        <f>HYPERLINK("https://klasma.github.io/Logging_2081/klagomålsmail/A 1019-2026 FSC-klagomål mail.docx", "A 1019-2026")</f>
        <v/>
      </c>
      <c r="AA21">
        <f>HYPERLINK("https://klasma.github.io/Logging_2081/tillsyn/A 1019-2026 tillsynsbegäran.docx", "A 1019-2026")</f>
        <v/>
      </c>
      <c r="AB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46218</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s="2" t="inlineStr">
        <is>
          <t>Knärot
Dropptaggsvamp
Tretåig hackspett
Ullticka
Vedtrappmossa
Nattskärra</t>
        </is>
      </c>
      <c r="V22">
        <f>HYPERLINK("https://klasma.github.io/Logging_2081/artfynd/S 497-2023 artfynd.xlsx", "S 497-2023")</f>
        <v/>
      </c>
      <c r="W22">
        <f>HYPERLINK("https://klasma.github.io/Logging_2081/kartor/S 497-2023 karta.png", "S 497-2023")</f>
        <v/>
      </c>
      <c r="X22">
        <f>HYPERLINK("https://klasma.github.io/Logging_2081/knärot/S 497-2023 karta knärot.png", "S 497-2023")</f>
        <v/>
      </c>
      <c r="Y22">
        <f>HYPERLINK("https://klasma.github.io/Logging_2081/klagomål/S 497-2023 FSC-klagomål.docx", "S 497-2023")</f>
        <v/>
      </c>
      <c r="Z22">
        <f>HYPERLINK("https://klasma.github.io/Logging_2081/klagomålsmail/S 497-2023 FSC-klagomål mail.docx", "S 497-2023")</f>
        <v/>
      </c>
      <c r="AA22">
        <f>HYPERLINK("https://klasma.github.io/Logging_2081/tillsyn/S 497-2023 tillsynsbegäran.docx", "S 497-2023")</f>
        <v/>
      </c>
      <c r="AB22">
        <f>HYPERLINK("https://klasma.github.io/Logging_2081/tillsynsmail/S 497-2023 tillsynsbegäran mail.docx", "S 497-2023")</f>
        <v/>
      </c>
      <c r="AC22">
        <f>HYPERLINK("https://klasma.github.io/Logging_2081/fåglar/S 497-2023 prioriterade fågelarter.docx", "S 497-2023")</f>
        <v/>
      </c>
    </row>
    <row r="23" ht="15" customHeight="1">
      <c r="A23" t="inlineStr">
        <is>
          <t>A 10755-2024</t>
        </is>
      </c>
      <c r="B23" t="inlineStr">
        <is>
          <t>avverkningsanmälan</t>
        </is>
      </c>
      <c r="C23" t="inlineStr">
        <is>
          <t>Föryngringsavverkning</t>
        </is>
      </c>
      <c r="D23" s="1" t="n">
        <v>45369</v>
      </c>
      <c r="E23" s="1" t="n">
        <v>46218</v>
      </c>
      <c r="F23" t="inlineStr">
        <is>
          <t>DALARNAS LÄN</t>
        </is>
      </c>
      <c r="G23" t="inlineStr">
        <is>
          <t>BORLÄNGE</t>
        </is>
      </c>
      <c r="I23" t="n">
        <v>2.9</v>
      </c>
      <c r="J23" t="n">
        <v>0</v>
      </c>
      <c r="K23" t="n">
        <v>2</v>
      </c>
      <c r="L23" t="n">
        <v>3</v>
      </c>
      <c r="M23" t="n">
        <v>0</v>
      </c>
      <c r="N23" t="n">
        <v>0</v>
      </c>
      <c r="O23" t="n">
        <v>0</v>
      </c>
      <c r="P23" t="n">
        <v>0</v>
      </c>
      <c r="Q23" t="n">
        <v>3</v>
      </c>
      <c r="R23" t="n">
        <v>0</v>
      </c>
      <c r="S23" t="n">
        <v>5</v>
      </c>
      <c r="T23" t="n">
        <v>12</v>
      </c>
      <c r="U23" s="2" t="inlineStr">
        <is>
          <t>Rosenticka
Rynkskinn
Ullticka
Brandticka
Trådticka</t>
        </is>
      </c>
      <c r="V23">
        <f>HYPERLINK("https://klasma.github.io/Logging_2081/artfynd/A 10755-2024 artfynd.xlsx", "A 10755-2024")</f>
        <v/>
      </c>
      <c r="W23">
        <f>HYPERLINK("https://klasma.github.io/Logging_2081/kartor/A 10755-2024 karta.png", "A 10755-2024")</f>
        <v/>
      </c>
      <c r="Y23">
        <f>HYPERLINK("https://klasma.github.io/Logging_2081/klagomål/A 10755-2024 FSC-klagomål.docx", "A 10755-2024")</f>
        <v/>
      </c>
      <c r="Z23">
        <f>HYPERLINK("https://klasma.github.io/Logging_2081/klagomålsmail/A 10755-2024 FSC-klagomål mail.docx", "A 10755-2024")</f>
        <v/>
      </c>
      <c r="AA23">
        <f>HYPERLINK("https://klasma.github.io/Logging_2081/tillsyn/A 10755-2024 tillsynsbegäran.docx", "A 10755-2024")</f>
        <v/>
      </c>
      <c r="AB23">
        <f>HYPERLINK("https://klasma.github.io/Logging_2081/tillsynsmail/A 10755-2024 tillsynsbegäran mail.docx", "A 10755-2024")</f>
        <v/>
      </c>
    </row>
    <row r="24" ht="15" customHeight="1">
      <c r="A24" t="inlineStr">
        <is>
          <t>A 48706-2023</t>
        </is>
      </c>
      <c r="B24" t="inlineStr">
        <is>
          <t>avverkningsanmälan</t>
        </is>
      </c>
      <c r="C24" t="inlineStr">
        <is>
          <t>Föryngringsavverkning</t>
        </is>
      </c>
      <c r="D24" s="1" t="n">
        <v>45208</v>
      </c>
      <c r="E24" s="1" t="n">
        <v>46218</v>
      </c>
      <c r="F24" t="inlineStr">
        <is>
          <t>DALARNAS LÄN</t>
        </is>
      </c>
      <c r="G24" t="inlineStr">
        <is>
          <t>BORLÄNGE</t>
        </is>
      </c>
      <c r="I24" t="n">
        <v>8.1</v>
      </c>
      <c r="J24" t="n">
        <v>2</v>
      </c>
      <c r="K24" t="n">
        <v>1</v>
      </c>
      <c r="L24" t="n">
        <v>2</v>
      </c>
      <c r="M24" t="n">
        <v>1</v>
      </c>
      <c r="N24" t="n">
        <v>0</v>
      </c>
      <c r="O24" t="n">
        <v>0</v>
      </c>
      <c r="P24" t="n">
        <v>0</v>
      </c>
      <c r="Q24" t="n">
        <v>3</v>
      </c>
      <c r="R24" t="n">
        <v>1</v>
      </c>
      <c r="S24" t="n">
        <v>5</v>
      </c>
      <c r="T24" t="n">
        <v>8</v>
      </c>
      <c r="U24" s="2" t="inlineStr">
        <is>
          <t>Knärot
Dofttaggsvamp
Dropptaggsvamp
Bronshjon
Blåsippa</t>
        </is>
      </c>
      <c r="V24">
        <f>HYPERLINK("https://klasma.github.io/Logging_2081/artfynd/A 48706-2023 artfynd.xlsx", "A 48706-2023")</f>
        <v/>
      </c>
      <c r="W24">
        <f>HYPERLINK("https://klasma.github.io/Logging_2081/kartor/A 48706-2023 karta.png", "A 48706-2023")</f>
        <v/>
      </c>
      <c r="X24">
        <f>HYPERLINK("https://klasma.github.io/Logging_2081/knärot/A 48706-2023 karta knärot.png", "A 48706-2023")</f>
        <v/>
      </c>
      <c r="Y24">
        <f>HYPERLINK("https://klasma.github.io/Logging_2081/klagomål/A 48706-2023 FSC-klagomål.docx", "A 48706-2023")</f>
        <v/>
      </c>
      <c r="Z24">
        <f>HYPERLINK("https://klasma.github.io/Logging_2081/klagomålsmail/A 48706-2023 FSC-klagomål mail.docx", "A 48706-2023")</f>
        <v/>
      </c>
      <c r="AA24">
        <f>HYPERLINK("https://klasma.github.io/Logging_2081/tillsyn/A 48706-2023 tillsynsbegäran.docx", "A 48706-2023")</f>
        <v/>
      </c>
      <c r="AB24">
        <f>HYPERLINK("https://klasma.github.io/Logging_2081/tillsynsmail/A 48706-2023 tillsynsbegäran mail.docx", "A 48706-2023")</f>
        <v/>
      </c>
    </row>
    <row r="25" ht="15" customHeight="1">
      <c r="A25" t="inlineStr">
        <is>
          <t>A 30216-2025</t>
        </is>
      </c>
      <c r="B25" t="inlineStr">
        <is>
          <t>avverkningsanmälan</t>
        </is>
      </c>
      <c r="C25" t="inlineStr">
        <is>
          <t>Föryngringsavverkning</t>
        </is>
      </c>
      <c r="D25" s="1" t="n">
        <v>45827</v>
      </c>
      <c r="E25" s="1" t="n">
        <v>46218</v>
      </c>
      <c r="F25" t="inlineStr">
        <is>
          <t>DALARNAS LÄN</t>
        </is>
      </c>
      <c r="G25" t="inlineStr">
        <is>
          <t>BORLÄNGE</t>
        </is>
      </c>
      <c r="I25" t="n">
        <v>0.7</v>
      </c>
      <c r="J25" t="n">
        <v>0</v>
      </c>
      <c r="K25" t="n">
        <v>2</v>
      </c>
      <c r="L25" t="n">
        <v>3</v>
      </c>
      <c r="M25" t="n">
        <v>0</v>
      </c>
      <c r="N25" t="n">
        <v>0</v>
      </c>
      <c r="O25" t="n">
        <v>0</v>
      </c>
      <c r="P25" t="n">
        <v>0</v>
      </c>
      <c r="Q25" t="n">
        <v>3</v>
      </c>
      <c r="R25" t="n">
        <v>0</v>
      </c>
      <c r="S25" t="n">
        <v>5</v>
      </c>
      <c r="T25" t="n">
        <v>12</v>
      </c>
      <c r="U25" s="2" t="inlineStr">
        <is>
          <t>Rosenticka
Rynkskinn
Ullticka
Brandticka
Trådticka</t>
        </is>
      </c>
      <c r="V25">
        <f>HYPERLINK("https://klasma.github.io/Logging_2081/artfynd/A 30216-2025 artfynd.xlsx", "A 30216-2025")</f>
        <v/>
      </c>
      <c r="W25">
        <f>HYPERLINK("https://klasma.github.io/Logging_2081/kartor/A 30216-2025 karta.png", "A 30216-2025")</f>
        <v/>
      </c>
      <c r="Y25">
        <f>HYPERLINK("https://klasma.github.io/Logging_2081/klagomål/A 30216-2025 FSC-klagomål.docx", "A 30216-2025")</f>
        <v/>
      </c>
      <c r="Z25">
        <f>HYPERLINK("https://klasma.github.io/Logging_2081/klagomålsmail/A 30216-2025 FSC-klagomål mail.docx", "A 30216-2025")</f>
        <v/>
      </c>
      <c r="AA25">
        <f>HYPERLINK("https://klasma.github.io/Logging_2081/tillsyn/A 30216-2025 tillsynsbegäran.docx", "A 30216-2025")</f>
        <v/>
      </c>
      <c r="AB25">
        <f>HYPERLINK("https://klasma.github.io/Logging_2081/tillsynsmail/A 30216-2025 tillsynsbegäran mail.docx", "A 30216-2025")</f>
        <v/>
      </c>
    </row>
    <row r="26" ht="15" customHeight="1">
      <c r="A26" t="inlineStr">
        <is>
          <t>A 6823-2024</t>
        </is>
      </c>
      <c r="B26" t="inlineStr">
        <is>
          <t>avverkningsanmälan</t>
        </is>
      </c>
      <c r="C26" t="inlineStr">
        <is>
          <t>Föryngringsavverkning</t>
        </is>
      </c>
      <c r="D26" s="1" t="n">
        <v>45342</v>
      </c>
      <c r="E26" s="1" t="n">
        <v>46218</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s="2" t="inlineStr">
        <is>
          <t>Garnlav
Dropptaggsvamp
Ullticka
Vedticka
Tjäder</t>
        </is>
      </c>
      <c r="V26">
        <f>HYPERLINK("https://klasma.github.io/Logging_2081/artfynd/A 6823-2024 artfynd.xlsx", "A 6823-2024")</f>
        <v/>
      </c>
      <c r="W26">
        <f>HYPERLINK("https://klasma.github.io/Logging_2081/kartor/A 6823-2024 karta.png", "A 6823-2024")</f>
        <v/>
      </c>
      <c r="Y26">
        <f>HYPERLINK("https://klasma.github.io/Logging_2081/klagomål/A 6823-2024 FSC-klagomål.docx", "A 6823-2024")</f>
        <v/>
      </c>
      <c r="Z26">
        <f>HYPERLINK("https://klasma.github.io/Logging_2081/klagomålsmail/A 6823-2024 FSC-klagomål mail.docx", "A 6823-2024")</f>
        <v/>
      </c>
      <c r="AA26">
        <f>HYPERLINK("https://klasma.github.io/Logging_2081/tillsyn/A 6823-2024 tillsynsbegäran.docx", "A 6823-2024")</f>
        <v/>
      </c>
      <c r="AB26">
        <f>HYPERLINK("https://klasma.github.io/Logging_2081/tillsynsmail/A 6823-2024 tillsynsbegäran mail.docx", "A 6823-2024")</f>
        <v/>
      </c>
      <c r="AC26">
        <f>HYPERLINK("https://klasma.github.io/Logging_2081/fåglar/A 6823-2024 prioriterade fågelarter.docx", "A 6823-2024")</f>
        <v/>
      </c>
    </row>
    <row r="27" ht="15" customHeight="1">
      <c r="A27" t="inlineStr">
        <is>
          <t>A 16943-2026</t>
        </is>
      </c>
      <c r="B27" t="inlineStr">
        <is>
          <t>avverkningsanmälan</t>
        </is>
      </c>
      <c r="C27" t="inlineStr">
        <is>
          <t>Föryngringsavverkning</t>
        </is>
      </c>
      <c r="D27" s="1" t="n">
        <v>46113</v>
      </c>
      <c r="E27" s="1" t="n">
        <v>46218</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s="2" t="inlineStr">
        <is>
          <t>Knärot
Dvärghäxört
Trådticka
Vågbandad barkbock
Blåsippa</t>
        </is>
      </c>
      <c r="V27">
        <f>HYPERLINK("https://klasma.github.io/Logging_2081/artfynd/A 16943-2026 artfynd.xlsx", "A 16943-2026")</f>
        <v/>
      </c>
      <c r="W27">
        <f>HYPERLINK("https://klasma.github.io/Logging_2081/kartor/A 16943-2026 karta.png", "A 16943-2026")</f>
        <v/>
      </c>
      <c r="X27">
        <f>HYPERLINK("https://klasma.github.io/Logging_2081/knärot/A 16943-2026 karta knärot.png", "A 16943-2026")</f>
        <v/>
      </c>
      <c r="Y27">
        <f>HYPERLINK("https://klasma.github.io/Logging_2081/klagomål/A 16943-2026 FSC-klagomål.docx", "A 16943-2026")</f>
        <v/>
      </c>
      <c r="Z27">
        <f>HYPERLINK("https://klasma.github.io/Logging_2081/klagomålsmail/A 16943-2026 FSC-klagomål mail.docx", "A 16943-2026")</f>
        <v/>
      </c>
      <c r="AA27">
        <f>HYPERLINK("https://klasma.github.io/Logging_2081/tillsyn/A 16943-2026 tillsynsbegäran.docx", "A 16943-2026")</f>
        <v/>
      </c>
      <c r="AB27">
        <f>HYPERLINK("https://klasma.github.io/Logging_2081/tillsynsmail/A 16943-2026 tillsynsbegäran mail.docx", "A 16943-2026")</f>
        <v/>
      </c>
    </row>
    <row r="28" ht="15" customHeight="1">
      <c r="A28" t="inlineStr">
        <is>
          <t>A 17560-2025</t>
        </is>
      </c>
      <c r="B28" t="inlineStr">
        <is>
          <t>avverkningsanmälan</t>
        </is>
      </c>
      <c r="C28" t="inlineStr">
        <is>
          <t>Föryngringsavverkning</t>
        </is>
      </c>
      <c r="D28" s="1" t="n">
        <v>45757</v>
      </c>
      <c r="E28" s="1" t="n">
        <v>46218</v>
      </c>
      <c r="F28" t="inlineStr">
        <is>
          <t>DALARNAS LÄN</t>
        </is>
      </c>
      <c r="G28" t="inlineStr">
        <is>
          <t>BORLÄNGE</t>
        </is>
      </c>
      <c r="H28" t="inlineStr">
        <is>
          <t>Bergvik skog väst AB</t>
        </is>
      </c>
      <c r="I28" t="n">
        <v>3.7</v>
      </c>
      <c r="J28" t="n">
        <v>2</v>
      </c>
      <c r="K28" t="n">
        <v>0</v>
      </c>
      <c r="L28" t="n">
        <v>1</v>
      </c>
      <c r="M28" t="n">
        <v>3</v>
      </c>
      <c r="N28" t="n">
        <v>0</v>
      </c>
      <c r="O28" t="n">
        <v>0</v>
      </c>
      <c r="P28" t="n">
        <v>0</v>
      </c>
      <c r="Q28" t="n">
        <v>4</v>
      </c>
      <c r="R28" t="n">
        <v>3</v>
      </c>
      <c r="S28" t="n">
        <v>5</v>
      </c>
      <c r="T28" t="n">
        <v>15</v>
      </c>
      <c r="U28" s="2" t="inlineStr">
        <is>
          <t>Brun gräsfjäril
Violettkantad guldvinge
Ängsblåvinge
Sotnätfjäril
Vanlig snok</t>
        </is>
      </c>
      <c r="V28">
        <f>HYPERLINK("https://klasma.github.io/Logging_2081/artfynd/A 17560-2025 artfynd.xlsx", "A 17560-2025")</f>
        <v/>
      </c>
      <c r="W28">
        <f>HYPERLINK("https://klasma.github.io/Logging_2081/kartor/A 17560-2025 karta.png", "A 17560-2025")</f>
        <v/>
      </c>
      <c r="Y28">
        <f>HYPERLINK("https://klasma.github.io/Logging_2081/klagomål/A 17560-2025 FSC-klagomål.docx", "A 17560-2025")</f>
        <v/>
      </c>
      <c r="Z28">
        <f>HYPERLINK("https://klasma.github.io/Logging_2081/klagomålsmail/A 17560-2025 FSC-klagomål mail.docx", "A 17560-2025")</f>
        <v/>
      </c>
      <c r="AA28">
        <f>HYPERLINK("https://klasma.github.io/Logging_2081/tillsyn/A 17560-2025 tillsynsbegäran.docx", "A 17560-2025")</f>
        <v/>
      </c>
      <c r="AB28">
        <f>HYPERLINK("https://klasma.github.io/Logging_2081/tillsynsmail/A 17560-2025 tillsynsbegäran mail.docx", "A 17560-2025")</f>
        <v/>
      </c>
    </row>
    <row r="29" ht="15" customHeight="1">
      <c r="A29" t="inlineStr">
        <is>
          <t>A 19650-2024</t>
        </is>
      </c>
      <c r="B29" t="inlineStr">
        <is>
          <t>avverkningsanmälan</t>
        </is>
      </c>
      <c r="C29" t="inlineStr">
        <is>
          <t>Föryngringsavverkning</t>
        </is>
      </c>
      <c r="D29" s="1" t="n">
        <v>45432</v>
      </c>
      <c r="E29" s="1" t="n">
        <v>46218</v>
      </c>
      <c r="F29" t="inlineStr">
        <is>
          <t>DALARNAS LÄN</t>
        </is>
      </c>
      <c r="G29" t="inlineStr">
        <is>
          <t>BORLÄNGE</t>
        </is>
      </c>
      <c r="H29" t="inlineStr">
        <is>
          <t>Bergvik skog väst AB</t>
        </is>
      </c>
      <c r="I29" t="n">
        <v>2.5</v>
      </c>
      <c r="J29" t="n">
        <v>2</v>
      </c>
      <c r="K29" t="n">
        <v>0</v>
      </c>
      <c r="L29" t="n">
        <v>3</v>
      </c>
      <c r="M29" t="n">
        <v>2</v>
      </c>
      <c r="N29" t="n">
        <v>0</v>
      </c>
      <c r="O29" t="n">
        <v>0</v>
      </c>
      <c r="P29" t="n">
        <v>0</v>
      </c>
      <c r="Q29" t="n">
        <v>5</v>
      </c>
      <c r="R29" t="n">
        <v>2</v>
      </c>
      <c r="S29" t="n">
        <v>5</v>
      </c>
      <c r="T29" t="n">
        <v>21</v>
      </c>
      <c r="U29" s="2" t="inlineStr">
        <is>
          <t>Gul taggsvamp
Knärot
Rynkskinn
Tretåig hackspett
Ullticka</t>
        </is>
      </c>
      <c r="V29">
        <f>HYPERLINK("https://klasma.github.io/Logging_2081/artfynd/A 19650-2024 artfynd.xlsx", "A 19650-2024")</f>
        <v/>
      </c>
      <c r="W29">
        <f>HYPERLINK("https://klasma.github.io/Logging_2081/kartor/A 19650-2024 karta.png", "A 19650-2024")</f>
        <v/>
      </c>
      <c r="X29">
        <f>HYPERLINK("https://klasma.github.io/Logging_2081/knärot/A 19650-2024 karta knärot.png", "A 19650-2024")</f>
        <v/>
      </c>
      <c r="Y29">
        <f>HYPERLINK("https://klasma.github.io/Logging_2081/klagomål/A 19650-2024 FSC-klagomål.docx", "A 19650-2024")</f>
        <v/>
      </c>
      <c r="Z29">
        <f>HYPERLINK("https://klasma.github.io/Logging_2081/klagomålsmail/A 19650-2024 FSC-klagomål mail.docx", "A 19650-2024")</f>
        <v/>
      </c>
      <c r="AA29">
        <f>HYPERLINK("https://klasma.github.io/Logging_2081/tillsyn/A 19650-2024 tillsynsbegäran.docx", "A 19650-2024")</f>
        <v/>
      </c>
      <c r="AB29">
        <f>HYPERLINK("https://klasma.github.io/Logging_2081/tillsynsmail/A 19650-2024 tillsynsbegäran mail.docx", "A 19650-2024")</f>
        <v/>
      </c>
      <c r="AC29">
        <f>HYPERLINK("https://klasma.github.io/Logging_2081/fåglar/A 19650-2024 prioriterade fågelarter.docx", "A 19650-2024")</f>
        <v/>
      </c>
    </row>
    <row r="30" ht="15" customHeight="1">
      <c r="A30" t="inlineStr">
        <is>
          <t>A 48937-2021</t>
        </is>
      </c>
      <c r="B30" t="inlineStr">
        <is>
          <t>avverkningsanmälan</t>
        </is>
      </c>
      <c r="C30" t="inlineStr">
        <is>
          <t>Föryngringsavverkning</t>
        </is>
      </c>
      <c r="D30" s="1" t="n">
        <v>44453</v>
      </c>
      <c r="E30" s="1" t="n">
        <v>46218</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s="2" t="inlineStr">
        <is>
          <t>Knärot
Motaggsvamp
Kungsfågel
Fläcknycklar</t>
        </is>
      </c>
      <c r="V30">
        <f>HYPERLINK("https://klasma.github.io/Logging_2081/artfynd/A 48937-2021 artfynd.xlsx", "A 48937-2021")</f>
        <v/>
      </c>
      <c r="W30">
        <f>HYPERLINK("https://klasma.github.io/Logging_2081/kartor/A 48937-2021 karta.png", "A 48937-2021")</f>
        <v/>
      </c>
      <c r="X30">
        <f>HYPERLINK("https://klasma.github.io/Logging_2081/knärot/A 48937-2021 karta knärot.png", "A 48937-2021")</f>
        <v/>
      </c>
      <c r="Y30">
        <f>HYPERLINK("https://klasma.github.io/Logging_2081/klagomål/A 48937-2021 FSC-klagomål.docx", "A 48937-2021")</f>
        <v/>
      </c>
      <c r="Z30">
        <f>HYPERLINK("https://klasma.github.io/Logging_2081/klagomålsmail/A 48937-2021 FSC-klagomål mail.docx", "A 48937-2021")</f>
        <v/>
      </c>
      <c r="AA30">
        <f>HYPERLINK("https://klasma.github.io/Logging_2081/tillsyn/A 48937-2021 tillsynsbegäran.docx", "A 48937-2021")</f>
        <v/>
      </c>
      <c r="AB30">
        <f>HYPERLINK("https://klasma.github.io/Logging_2081/tillsynsmail/A 48937-2021 tillsynsbegäran mail.docx", "A 48937-2021")</f>
        <v/>
      </c>
    </row>
    <row r="31" ht="15" customHeight="1">
      <c r="A31" t="inlineStr">
        <is>
          <t>A 49835-2025</t>
        </is>
      </c>
      <c r="B31" t="inlineStr">
        <is>
          <t>avverkningsanmälan</t>
        </is>
      </c>
      <c r="C31" t="inlineStr">
        <is>
          <t>Föryngringsavverkning</t>
        </is>
      </c>
      <c r="D31" s="1" t="n">
        <v>45940</v>
      </c>
      <c r="E31" s="1" t="n">
        <v>46218</v>
      </c>
      <c r="F31" t="inlineStr">
        <is>
          <t>DALARNAS LÄN</t>
        </is>
      </c>
      <c r="G31" t="inlineStr">
        <is>
          <t>BORLÄNGE</t>
        </is>
      </c>
      <c r="H31" t="inlineStr">
        <is>
          <t>Bergvik skog väst AB</t>
        </is>
      </c>
      <c r="I31" t="n">
        <v>5.6</v>
      </c>
      <c r="J31" t="n">
        <v>1</v>
      </c>
      <c r="K31" t="n">
        <v>1</v>
      </c>
      <c r="L31" t="n">
        <v>2</v>
      </c>
      <c r="M31" t="n">
        <v>1</v>
      </c>
      <c r="N31" t="n">
        <v>0</v>
      </c>
      <c r="O31" t="n">
        <v>0</v>
      </c>
      <c r="P31" t="n">
        <v>0</v>
      </c>
      <c r="Q31" t="n">
        <v>3</v>
      </c>
      <c r="R31" t="n">
        <v>1</v>
      </c>
      <c r="S31" t="n">
        <v>4</v>
      </c>
      <c r="T31" t="n">
        <v>8</v>
      </c>
      <c r="U31" s="2" t="inlineStr">
        <is>
          <t>Knärot
Dropptaggsvamp
Fjällig taggsvamp s.str.
Mindre märgborre</t>
        </is>
      </c>
      <c r="V31">
        <f>HYPERLINK("https://klasma.github.io/Logging_2081/artfynd/A 49835-2025 artfynd.xlsx", "A 49835-2025")</f>
        <v/>
      </c>
      <c r="W31">
        <f>HYPERLINK("https://klasma.github.io/Logging_2081/kartor/A 49835-2025 karta.png", "A 49835-2025")</f>
        <v/>
      </c>
      <c r="X31">
        <f>HYPERLINK("https://klasma.github.io/Logging_2081/knärot/A 49835-2025 karta knärot.png", "A 49835-2025")</f>
        <v/>
      </c>
      <c r="Y31">
        <f>HYPERLINK("https://klasma.github.io/Logging_2081/klagomål/A 49835-2025 FSC-klagomål.docx", "A 49835-2025")</f>
        <v/>
      </c>
      <c r="Z31">
        <f>HYPERLINK("https://klasma.github.io/Logging_2081/klagomålsmail/A 49835-2025 FSC-klagomål mail.docx", "A 49835-2025")</f>
        <v/>
      </c>
      <c r="AA31">
        <f>HYPERLINK("https://klasma.github.io/Logging_2081/tillsyn/A 49835-2025 tillsynsbegäran.docx", "A 49835-2025")</f>
        <v/>
      </c>
      <c r="AB31">
        <f>HYPERLINK("https://klasma.github.io/Logging_2081/tillsynsmail/A 49835-2025 tillsynsbegäran mail.docx", "A 49835-2025")</f>
        <v/>
      </c>
    </row>
    <row r="32" ht="15" customHeight="1">
      <c r="A32" t="inlineStr">
        <is>
          <t>A 3087-2025</t>
        </is>
      </c>
      <c r="B32" t="inlineStr">
        <is>
          <t>avverkningsanmälan</t>
        </is>
      </c>
      <c r="C32" t="inlineStr">
        <is>
          <t>Föryngringsavverkning</t>
        </is>
      </c>
      <c r="D32" s="1" t="n">
        <v>45678</v>
      </c>
      <c r="E32" s="1" t="n">
        <v>46218</v>
      </c>
      <c r="F32" t="inlineStr">
        <is>
          <t>DALARNAS LÄN</t>
        </is>
      </c>
      <c r="G32" t="inlineStr">
        <is>
          <t>BORLÄNGE</t>
        </is>
      </c>
      <c r="H32" t="inlineStr">
        <is>
          <t>Kommuner</t>
        </is>
      </c>
      <c r="I32" t="n">
        <v>10.8</v>
      </c>
      <c r="J32" t="n">
        <v>1</v>
      </c>
      <c r="K32" t="n">
        <v>0</v>
      </c>
      <c r="L32" t="n">
        <v>3</v>
      </c>
      <c r="M32" t="n">
        <v>0</v>
      </c>
      <c r="N32" t="n">
        <v>0</v>
      </c>
      <c r="O32" t="n">
        <v>0</v>
      </c>
      <c r="P32" t="n">
        <v>0</v>
      </c>
      <c r="Q32" t="n">
        <v>3</v>
      </c>
      <c r="R32" t="n">
        <v>0</v>
      </c>
      <c r="S32" t="n">
        <v>4</v>
      </c>
      <c r="T32" t="n">
        <v>13</v>
      </c>
      <c r="U32" s="2" t="inlineStr">
        <is>
          <t>Rosenticka
Rynkskinn
Ullticka
Blåsippa</t>
        </is>
      </c>
      <c r="V32">
        <f>HYPERLINK("https://klasma.github.io/Logging_2081/artfynd/A 3087-2025 artfynd.xlsx", "A 3087-2025")</f>
        <v/>
      </c>
      <c r="W32">
        <f>HYPERLINK("https://klasma.github.io/Logging_2081/kartor/A 3087-2025 karta.png", "A 3087-2025")</f>
        <v/>
      </c>
      <c r="Y32">
        <f>HYPERLINK("https://klasma.github.io/Logging_2081/klagomål/A 3087-2025 FSC-klagomål.docx", "A 3087-2025")</f>
        <v/>
      </c>
      <c r="Z32">
        <f>HYPERLINK("https://klasma.github.io/Logging_2081/klagomålsmail/A 3087-2025 FSC-klagomål mail.docx", "A 3087-2025")</f>
        <v/>
      </c>
      <c r="AA32">
        <f>HYPERLINK("https://klasma.github.io/Logging_2081/tillsyn/A 3087-2025 tillsynsbegäran.docx", "A 3087-2025")</f>
        <v/>
      </c>
      <c r="AB32">
        <f>HYPERLINK("https://klasma.github.io/Logging_2081/tillsynsmail/A 3087-2025 tillsynsbegäran mail.docx", "A 3087-2025")</f>
        <v/>
      </c>
    </row>
    <row r="33" ht="15" customHeight="1">
      <c r="A33" t="inlineStr">
        <is>
          <t>A 28667-2025</t>
        </is>
      </c>
      <c r="B33" t="inlineStr">
        <is>
          <t>avverkningsanmälan</t>
        </is>
      </c>
      <c r="C33" t="inlineStr">
        <is>
          <t>Föryngringsavverkning</t>
        </is>
      </c>
      <c r="D33" s="1" t="n">
        <v>45819</v>
      </c>
      <c r="E33" s="1" t="n">
        <v>46218</v>
      </c>
      <c r="F33" t="inlineStr">
        <is>
          <t>DALARNAS LÄN</t>
        </is>
      </c>
      <c r="G33" t="inlineStr">
        <is>
          <t>BORLÄNGE</t>
        </is>
      </c>
      <c r="H33" t="inlineStr">
        <is>
          <t>Bergvik skog väst AB</t>
        </is>
      </c>
      <c r="I33" t="n">
        <v>2</v>
      </c>
      <c r="J33" t="n">
        <v>3</v>
      </c>
      <c r="K33" t="n">
        <v>0</v>
      </c>
      <c r="L33" t="n">
        <v>2</v>
      </c>
      <c r="M33" t="n">
        <v>0</v>
      </c>
      <c r="N33" t="n">
        <v>0</v>
      </c>
      <c r="O33" t="n">
        <v>0</v>
      </c>
      <c r="P33" t="n">
        <v>0</v>
      </c>
      <c r="Q33" t="n">
        <v>2</v>
      </c>
      <c r="R33" t="n">
        <v>0</v>
      </c>
      <c r="S33" t="n">
        <v>4</v>
      </c>
      <c r="T33" t="n">
        <v>6</v>
      </c>
      <c r="U33" s="2" t="inlineStr">
        <is>
          <t>Dropptaggsvamp
Tretåig hackspett
Spillkråka
Tjäder</t>
        </is>
      </c>
      <c r="V33">
        <f>HYPERLINK("https://klasma.github.io/Logging_2081/artfynd/A 28667-2025 artfynd.xlsx", "A 28667-2025")</f>
        <v/>
      </c>
      <c r="W33">
        <f>HYPERLINK("https://klasma.github.io/Logging_2081/kartor/A 28667-2025 karta.png", "A 28667-2025")</f>
        <v/>
      </c>
      <c r="Y33">
        <f>HYPERLINK("https://klasma.github.io/Logging_2081/klagomål/A 28667-2025 FSC-klagomål.docx", "A 28667-2025")</f>
        <v/>
      </c>
      <c r="Z33">
        <f>HYPERLINK("https://klasma.github.io/Logging_2081/klagomålsmail/A 28667-2025 FSC-klagomål mail.docx", "A 28667-2025")</f>
        <v/>
      </c>
      <c r="AA33">
        <f>HYPERLINK("https://klasma.github.io/Logging_2081/tillsyn/A 28667-2025 tillsynsbegäran.docx", "A 28667-2025")</f>
        <v/>
      </c>
      <c r="AB33">
        <f>HYPERLINK("https://klasma.github.io/Logging_2081/tillsynsmail/A 28667-2025 tillsynsbegäran mail.docx", "A 28667-2025")</f>
        <v/>
      </c>
      <c r="AC33">
        <f>HYPERLINK("https://klasma.github.io/Logging_2081/fåglar/A 28667-2025 prioriterade fågelarter.docx", "A 28667-2025")</f>
        <v/>
      </c>
    </row>
    <row r="34" ht="15" customHeight="1">
      <c r="A34" t="inlineStr">
        <is>
          <t>A 3060-2025</t>
        </is>
      </c>
      <c r="B34" t="inlineStr">
        <is>
          <t>avverkningsanmälan</t>
        </is>
      </c>
      <c r="C34" t="inlineStr">
        <is>
          <t>Föryngringsavverkning</t>
        </is>
      </c>
      <c r="D34" s="1" t="n">
        <v>45678</v>
      </c>
      <c r="E34" s="1" t="n">
        <v>46218</v>
      </c>
      <c r="F34" t="inlineStr">
        <is>
          <t>DALARNAS LÄN</t>
        </is>
      </c>
      <c r="G34" t="inlineStr">
        <is>
          <t>BORLÄNGE</t>
        </is>
      </c>
      <c r="H34" t="inlineStr">
        <is>
          <t>Kommuner</t>
        </is>
      </c>
      <c r="I34" t="n">
        <v>5</v>
      </c>
      <c r="J34" t="n">
        <v>2</v>
      </c>
      <c r="K34" t="n">
        <v>0</v>
      </c>
      <c r="L34" t="n">
        <v>2</v>
      </c>
      <c r="M34" t="n">
        <v>1</v>
      </c>
      <c r="N34" t="n">
        <v>0</v>
      </c>
      <c r="O34" t="n">
        <v>0</v>
      </c>
      <c r="P34" t="n">
        <v>0</v>
      </c>
      <c r="Q34" t="n">
        <v>3</v>
      </c>
      <c r="R34" t="n">
        <v>1</v>
      </c>
      <c r="S34" t="n">
        <v>4</v>
      </c>
      <c r="T34" t="n">
        <v>7</v>
      </c>
      <c r="U34" s="2" t="inlineStr">
        <is>
          <t>Knärot
Rynkskinn
Ullticka
Tjäder</t>
        </is>
      </c>
      <c r="V34">
        <f>HYPERLINK("https://klasma.github.io/Logging_2081/artfynd/A 3060-2025 artfynd.xlsx", "A 3060-2025")</f>
        <v/>
      </c>
      <c r="W34">
        <f>HYPERLINK("https://klasma.github.io/Logging_2081/kartor/A 3060-2025 karta.png", "A 3060-2025")</f>
        <v/>
      </c>
      <c r="X34">
        <f>HYPERLINK("https://klasma.github.io/Logging_2081/knärot/A 3060-2025 karta knärot.png", "A 3060-2025")</f>
        <v/>
      </c>
      <c r="Y34">
        <f>HYPERLINK("https://klasma.github.io/Logging_2081/klagomål/A 3060-2025 FSC-klagomål.docx", "A 3060-2025")</f>
        <v/>
      </c>
      <c r="Z34">
        <f>HYPERLINK("https://klasma.github.io/Logging_2081/klagomålsmail/A 3060-2025 FSC-klagomål mail.docx", "A 3060-2025")</f>
        <v/>
      </c>
      <c r="AA34">
        <f>HYPERLINK("https://klasma.github.io/Logging_2081/tillsyn/A 3060-2025 tillsynsbegäran.docx", "A 3060-2025")</f>
        <v/>
      </c>
      <c r="AB34">
        <f>HYPERLINK("https://klasma.github.io/Logging_2081/tillsynsmail/A 3060-2025 tillsynsbegäran mail.docx", "A 3060-2025")</f>
        <v/>
      </c>
      <c r="AC34">
        <f>HYPERLINK("https://klasma.github.io/Logging_2081/fåglar/A 3060-2025 prioriterade fågelarter.docx", "A 3060-2025")</f>
        <v/>
      </c>
    </row>
    <row r="35" ht="15" customHeight="1">
      <c r="A35" t="inlineStr">
        <is>
          <t>A 16859-2025</t>
        </is>
      </c>
      <c r="B35" t="inlineStr">
        <is>
          <t>avverkningsanmälan</t>
        </is>
      </c>
      <c r="C35" t="inlineStr">
        <is>
          <t>Föryngringsavverkning</t>
        </is>
      </c>
      <c r="D35" s="1" t="n">
        <v>45751</v>
      </c>
      <c r="E35" s="1" t="n">
        <v>46218</v>
      </c>
      <c r="F35" t="inlineStr">
        <is>
          <t>DALARNAS LÄN</t>
        </is>
      </c>
      <c r="G35" t="inlineStr">
        <is>
          <t>BORLÄNGE</t>
        </is>
      </c>
      <c r="I35" t="n">
        <v>12.8</v>
      </c>
      <c r="J35" t="n">
        <v>1</v>
      </c>
      <c r="K35" t="n">
        <v>2</v>
      </c>
      <c r="L35" t="n">
        <v>0</v>
      </c>
      <c r="M35" t="n">
        <v>2</v>
      </c>
      <c r="N35" t="n">
        <v>0</v>
      </c>
      <c r="O35" t="n">
        <v>0</v>
      </c>
      <c r="P35" t="n">
        <v>0</v>
      </c>
      <c r="Q35" t="n">
        <v>2</v>
      </c>
      <c r="R35" t="n">
        <v>2</v>
      </c>
      <c r="S35" t="n">
        <v>4</v>
      </c>
      <c r="T35" t="n">
        <v>6</v>
      </c>
      <c r="U35" s="2" t="inlineStr">
        <is>
          <t>Garnlav
Knärot
Korallblylav
Stuplav</t>
        </is>
      </c>
      <c r="V35">
        <f>HYPERLINK("https://klasma.github.io/Logging_2081/artfynd/A 16859-2025 artfynd.xlsx", "A 16859-2025")</f>
        <v/>
      </c>
      <c r="W35">
        <f>HYPERLINK("https://klasma.github.io/Logging_2081/kartor/A 16859-2025 karta.png", "A 16859-2025")</f>
        <v/>
      </c>
      <c r="X35">
        <f>HYPERLINK("https://klasma.github.io/Logging_2081/knärot/A 16859-2025 karta knärot.png", "A 16859-2025")</f>
        <v/>
      </c>
      <c r="Y35">
        <f>HYPERLINK("https://klasma.github.io/Logging_2081/klagomål/A 16859-2025 FSC-klagomål.docx", "A 16859-2025")</f>
        <v/>
      </c>
      <c r="Z35">
        <f>HYPERLINK("https://klasma.github.io/Logging_2081/klagomålsmail/A 16859-2025 FSC-klagomål mail.docx", "A 16859-2025")</f>
        <v/>
      </c>
      <c r="AA35">
        <f>HYPERLINK("https://klasma.github.io/Logging_2081/tillsyn/A 16859-2025 tillsynsbegäran.docx", "A 16859-2025")</f>
        <v/>
      </c>
      <c r="AB35">
        <f>HYPERLINK("https://klasma.github.io/Logging_2081/tillsynsmail/A 16859-2025 tillsynsbegäran mail.docx", "A 16859-2025")</f>
        <v/>
      </c>
    </row>
    <row r="36" ht="15" customHeight="1">
      <c r="A36" t="inlineStr">
        <is>
          <t>A 26031-2026</t>
        </is>
      </c>
      <c r="B36" t="inlineStr">
        <is>
          <t>avverkningsanmälan</t>
        </is>
      </c>
      <c r="C36" t="inlineStr">
        <is>
          <t>Föryngringsavverkning</t>
        </is>
      </c>
      <c r="D36" s="1" t="n">
        <v>46181</v>
      </c>
      <c r="E36" s="1" t="n">
        <v>46218</v>
      </c>
      <c r="F36" t="inlineStr">
        <is>
          <t>DALARNAS LÄN</t>
        </is>
      </c>
      <c r="G36" t="inlineStr">
        <is>
          <t>BORLÄNGE</t>
        </is>
      </c>
      <c r="H36" t="inlineStr">
        <is>
          <t>Bergvik skog väst AB</t>
        </is>
      </c>
      <c r="I36" t="n">
        <v>1.8</v>
      </c>
      <c r="J36" t="n">
        <v>0</v>
      </c>
      <c r="K36" t="n">
        <v>3</v>
      </c>
      <c r="L36" t="n">
        <v>0</v>
      </c>
      <c r="M36" t="n">
        <v>0</v>
      </c>
      <c r="N36" t="n">
        <v>1</v>
      </c>
      <c r="O36" t="n">
        <v>0</v>
      </c>
      <c r="P36" t="n">
        <v>0</v>
      </c>
      <c r="Q36" t="n">
        <v>1</v>
      </c>
      <c r="R36" t="n">
        <v>1</v>
      </c>
      <c r="S36" t="n">
        <v>4</v>
      </c>
      <c r="T36" t="n">
        <v>5</v>
      </c>
      <c r="U36" s="2" t="inlineStr">
        <is>
          <t>Flodpärlmussla
Björksplintborre
Mindre märgborre
Vågbandad barkbock</t>
        </is>
      </c>
      <c r="V36">
        <f>HYPERLINK("https://klasma.github.io/Logging_2081/artfynd/A 26031-2026 artfynd.xlsx", "A 26031-2026")</f>
        <v/>
      </c>
      <c r="W36">
        <f>HYPERLINK("https://klasma.github.io/Logging_2081/kartor/A 26031-2026 karta.png", "A 26031-2026")</f>
        <v/>
      </c>
      <c r="Y36">
        <f>HYPERLINK("https://klasma.github.io/Logging_2081/klagomål/A 26031-2026 FSC-klagomål.docx", "A 26031-2026")</f>
        <v/>
      </c>
      <c r="Z36">
        <f>HYPERLINK("https://klasma.github.io/Logging_2081/klagomålsmail/A 26031-2026 FSC-klagomål mail.docx", "A 26031-2026")</f>
        <v/>
      </c>
      <c r="AA36">
        <f>HYPERLINK("https://klasma.github.io/Logging_2081/tillsyn/A 26031-2026 tillsynsbegäran.docx", "A 26031-2026")</f>
        <v/>
      </c>
      <c r="AB36">
        <f>HYPERLINK("https://klasma.github.io/Logging_2081/tillsynsmail/A 26031-2026 tillsynsbegäran mail.docx", "A 26031-2026")</f>
        <v/>
      </c>
    </row>
    <row r="37" ht="15" customHeight="1">
      <c r="A37" t="inlineStr">
        <is>
          <t>A 64124-2025</t>
        </is>
      </c>
      <c r="B37" t="inlineStr">
        <is>
          <t>avverkningsanmälan</t>
        </is>
      </c>
      <c r="C37" t="inlineStr">
        <is>
          <t>Föryngringsavverkning</t>
        </is>
      </c>
      <c r="D37" s="1" t="n">
        <v>46021</v>
      </c>
      <c r="E37" s="1" t="n">
        <v>46218</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s="2" t="inlineStr">
        <is>
          <t>Knärot
Rosenticka
Rynkskinn
Ullticka</t>
        </is>
      </c>
      <c r="V37">
        <f>HYPERLINK("https://klasma.github.io/Logging_2081/artfynd/A 64124-2025 artfynd.xlsx", "A 64124-2025")</f>
        <v/>
      </c>
      <c r="W37">
        <f>HYPERLINK("https://klasma.github.io/Logging_2081/kartor/A 64124-2025 karta.png", "A 64124-2025")</f>
        <v/>
      </c>
      <c r="X37">
        <f>HYPERLINK("https://klasma.github.io/Logging_2081/knärot/A 64124-2025 karta knärot.png", "A 64124-2025")</f>
        <v/>
      </c>
      <c r="Y37">
        <f>HYPERLINK("https://klasma.github.io/Logging_2081/klagomål/A 64124-2025 FSC-klagomål.docx", "A 64124-2025")</f>
        <v/>
      </c>
      <c r="Z37">
        <f>HYPERLINK("https://klasma.github.io/Logging_2081/klagomålsmail/A 64124-2025 FSC-klagomål mail.docx", "A 64124-2025")</f>
        <v/>
      </c>
      <c r="AA37">
        <f>HYPERLINK("https://klasma.github.io/Logging_2081/tillsyn/A 64124-2025 tillsynsbegäran.docx", "A 64124-2025")</f>
        <v/>
      </c>
      <c r="AB37">
        <f>HYPERLINK("https://klasma.github.io/Logging_2081/tillsynsmail/A 64124-2025 tillsynsbegäran mail.docx", "A 64124-2025")</f>
        <v/>
      </c>
    </row>
    <row r="38" ht="15" customHeight="1">
      <c r="A38" t="inlineStr">
        <is>
          <t>A 37475-2025</t>
        </is>
      </c>
      <c r="B38" t="inlineStr">
        <is>
          <t>avverkningsanmälan</t>
        </is>
      </c>
      <c r="C38" t="inlineStr">
        <is>
          <t>Föryngringsavverkning</t>
        </is>
      </c>
      <c r="D38" s="1" t="n">
        <v>45877</v>
      </c>
      <c r="E38" s="1" t="n">
        <v>46218</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s="2" t="inlineStr">
        <is>
          <t>Knärot
Tretåig hackspett
Violettgrå tagellav
Grönpyrola</t>
        </is>
      </c>
      <c r="V38">
        <f>HYPERLINK("https://klasma.github.io/Logging_2081/artfynd/A 37475-2025 artfynd.xlsx", "A 37475-2025")</f>
        <v/>
      </c>
      <c r="W38">
        <f>HYPERLINK("https://klasma.github.io/Logging_2081/kartor/A 37475-2025 karta.png", "A 37475-2025")</f>
        <v/>
      </c>
      <c r="X38">
        <f>HYPERLINK("https://klasma.github.io/Logging_2081/knärot/A 37475-2025 karta knärot.png", "A 37475-2025")</f>
        <v/>
      </c>
      <c r="Y38">
        <f>HYPERLINK("https://klasma.github.io/Logging_2081/klagomål/A 37475-2025 FSC-klagomål.docx", "A 37475-2025")</f>
        <v/>
      </c>
      <c r="Z38">
        <f>HYPERLINK("https://klasma.github.io/Logging_2081/klagomålsmail/A 37475-2025 FSC-klagomål mail.docx", "A 37475-2025")</f>
        <v/>
      </c>
      <c r="AA38">
        <f>HYPERLINK("https://klasma.github.io/Logging_2081/tillsyn/A 37475-2025 tillsynsbegäran.docx", "A 37475-2025")</f>
        <v/>
      </c>
      <c r="AB38">
        <f>HYPERLINK("https://klasma.github.io/Logging_2081/tillsynsmail/A 37475-2025 tillsynsbegäran mail.docx", "A 37475-2025")</f>
        <v/>
      </c>
      <c r="AC38">
        <f>HYPERLINK("https://klasma.github.io/Logging_2081/fåglar/A 37475-2025 prioriterade fågelarter.docx", "A 37475-2025")</f>
        <v/>
      </c>
    </row>
    <row r="39" ht="15" customHeight="1">
      <c r="A39" t="inlineStr">
        <is>
          <t>A 58614-2023</t>
        </is>
      </c>
      <c r="B39" t="inlineStr">
        <is>
          <t>avverkningsanmälan</t>
        </is>
      </c>
      <c r="C39" t="inlineStr">
        <is>
          <t>Föryngringsavverkning</t>
        </is>
      </c>
      <c r="D39" s="1" t="n">
        <v>45251</v>
      </c>
      <c r="E39" s="1" t="n">
        <v>46218</v>
      </c>
      <c r="F39" t="inlineStr">
        <is>
          <t>DALARNAS LÄN</t>
        </is>
      </c>
      <c r="G39" t="inlineStr">
        <is>
          <t>BORLÄNGE</t>
        </is>
      </c>
      <c r="I39" t="n">
        <v>1.8</v>
      </c>
      <c r="J39" t="n">
        <v>1</v>
      </c>
      <c r="K39" t="n">
        <v>0</v>
      </c>
      <c r="L39" t="n">
        <v>3</v>
      </c>
      <c r="M39" t="n">
        <v>1</v>
      </c>
      <c r="N39" t="n">
        <v>0</v>
      </c>
      <c r="O39" t="n">
        <v>0</v>
      </c>
      <c r="P39" t="n">
        <v>0</v>
      </c>
      <c r="Q39" t="n">
        <v>4</v>
      </c>
      <c r="R39" t="n">
        <v>1</v>
      </c>
      <c r="S39" t="n">
        <v>4</v>
      </c>
      <c r="T39" t="n">
        <v>4</v>
      </c>
      <c r="U39" s="2" t="inlineStr">
        <is>
          <t>Knärot
Gropticka
Rosenticka
Ullticka</t>
        </is>
      </c>
      <c r="V39">
        <f>HYPERLINK("https://klasma.github.io/Logging_2081/artfynd/A 58614-2023 artfynd.xlsx", "A 58614-2023")</f>
        <v/>
      </c>
      <c r="W39">
        <f>HYPERLINK("https://klasma.github.io/Logging_2081/kartor/A 58614-2023 karta.png", "A 58614-2023")</f>
        <v/>
      </c>
      <c r="X39">
        <f>HYPERLINK("https://klasma.github.io/Logging_2081/knärot/A 58614-2023 karta knärot.png", "A 58614-2023")</f>
        <v/>
      </c>
      <c r="Y39">
        <f>HYPERLINK("https://klasma.github.io/Logging_2081/klagomål/A 58614-2023 FSC-klagomål.docx", "A 58614-2023")</f>
        <v/>
      </c>
      <c r="Z39">
        <f>HYPERLINK("https://klasma.github.io/Logging_2081/klagomålsmail/A 58614-2023 FSC-klagomål mail.docx", "A 58614-2023")</f>
        <v/>
      </c>
      <c r="AA39">
        <f>HYPERLINK("https://klasma.github.io/Logging_2081/tillsyn/A 58614-2023 tillsynsbegäran.docx", "A 58614-2023")</f>
        <v/>
      </c>
      <c r="AB39">
        <f>HYPERLINK("https://klasma.github.io/Logging_2081/tillsynsmail/A 58614-2023 tillsynsbegäran mail.docx", "A 58614-2023")</f>
        <v/>
      </c>
    </row>
    <row r="40" ht="15" customHeight="1">
      <c r="A40" t="inlineStr">
        <is>
          <t>A 10712-2025</t>
        </is>
      </c>
      <c r="B40" t="inlineStr">
        <is>
          <t>avverkningsanmälan</t>
        </is>
      </c>
      <c r="C40" t="inlineStr">
        <is>
          <t>Föryngringsavverkning</t>
        </is>
      </c>
      <c r="D40" s="1" t="n">
        <v>45722</v>
      </c>
      <c r="E40" s="1" t="n">
        <v>46218</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s="2" t="inlineStr">
        <is>
          <t>Tretåig hackspett
Ullticka
Spillkråka
Tjäder</t>
        </is>
      </c>
      <c r="V40">
        <f>HYPERLINK("https://klasma.github.io/Logging_2081/artfynd/A 10712-2025 artfynd.xlsx", "A 10712-2025")</f>
        <v/>
      </c>
      <c r="W40">
        <f>HYPERLINK("https://klasma.github.io/Logging_2081/kartor/A 10712-2025 karta.png", "A 10712-2025")</f>
        <v/>
      </c>
      <c r="Y40">
        <f>HYPERLINK("https://klasma.github.io/Logging_2081/klagomål/A 10712-2025 FSC-klagomål.docx", "A 10712-2025")</f>
        <v/>
      </c>
      <c r="Z40">
        <f>HYPERLINK("https://klasma.github.io/Logging_2081/klagomålsmail/A 10712-2025 FSC-klagomål mail.docx", "A 10712-2025")</f>
        <v/>
      </c>
      <c r="AA40">
        <f>HYPERLINK("https://klasma.github.io/Logging_2081/tillsyn/A 10712-2025 tillsynsbegäran.docx", "A 10712-2025")</f>
        <v/>
      </c>
      <c r="AB40">
        <f>HYPERLINK("https://klasma.github.io/Logging_2081/tillsynsmail/A 10712-2025 tillsynsbegäran mail.docx", "A 10712-2025")</f>
        <v/>
      </c>
      <c r="AC40">
        <f>HYPERLINK("https://klasma.github.io/Logging_2081/fåglar/A 10712-2025 prioriterade fågelarter.docx", "A 10712-2025")</f>
        <v/>
      </c>
    </row>
    <row r="41" ht="15" customHeight="1">
      <c r="A41" t="inlineStr">
        <is>
          <t>S 1663-2022</t>
        </is>
      </c>
      <c r="B41" t="inlineStr">
        <is>
          <t>samrådsanmälan</t>
        </is>
      </c>
      <c r="C41" t="inlineStr">
        <is>
          <t>Askåterföring</t>
        </is>
      </c>
      <c r="D41" s="1" t="n">
        <v>44649</v>
      </c>
      <c r="E41" s="1" t="n">
        <v>46218</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s="2" t="inlineStr">
        <is>
          <t>Knärot
Motaggsvamp
Kungsfågel
Fläcknycklar</t>
        </is>
      </c>
      <c r="V41">
        <f>HYPERLINK("https://klasma.github.io/Logging_2081/artfynd/S 1663-2022 artfynd.xlsx", "S 1663-2022")</f>
        <v/>
      </c>
      <c r="W41">
        <f>HYPERLINK("https://klasma.github.io/Logging_2081/kartor/S 1663-2022 karta.png", "S 1663-2022")</f>
        <v/>
      </c>
      <c r="X41">
        <f>HYPERLINK("https://klasma.github.io/Logging_2081/knärot/S 1663-2022 karta knärot.png", "S 1663-2022")</f>
        <v/>
      </c>
      <c r="Y41">
        <f>HYPERLINK("https://klasma.github.io/Logging_2081/klagomål/S 1663-2022 FSC-klagomål.docx", "S 1663-2022")</f>
        <v/>
      </c>
      <c r="Z41">
        <f>HYPERLINK("https://klasma.github.io/Logging_2081/klagomålsmail/S 1663-2022 FSC-klagomål mail.docx", "S 1663-2022")</f>
        <v/>
      </c>
      <c r="AA41">
        <f>HYPERLINK("https://klasma.github.io/Logging_2081/tillsyn/S 1663-2022 tillsynsbegäran.docx", "S 1663-2022")</f>
        <v/>
      </c>
      <c r="AB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46218</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s="2" t="inlineStr">
        <is>
          <t>Skrovlig taggsvamp
Dropptaggsvamp
Kolflarnlav</t>
        </is>
      </c>
      <c r="V42">
        <f>HYPERLINK("https://klasma.github.io/Logging_2081/artfynd/A 12314-2023 artfynd.xlsx", "A 12314-2023")</f>
        <v/>
      </c>
      <c r="W42">
        <f>HYPERLINK("https://klasma.github.io/Logging_2081/kartor/A 12314-2023 karta.png", "A 12314-2023")</f>
        <v/>
      </c>
      <c r="X42">
        <f>HYPERLINK("https://klasma.github.io/Logging_2081/knärot/A 12314-2023 karta knärot.png", "A 12314-2023")</f>
        <v/>
      </c>
      <c r="Y42">
        <f>HYPERLINK("https://klasma.github.io/Logging_2081/klagomål/A 12314-2023 FSC-klagomål.docx", "A 12314-2023")</f>
        <v/>
      </c>
      <c r="Z42">
        <f>HYPERLINK("https://klasma.github.io/Logging_2081/klagomålsmail/A 12314-2023 FSC-klagomål mail.docx", "A 12314-2023")</f>
        <v/>
      </c>
      <c r="AA42">
        <f>HYPERLINK("https://klasma.github.io/Logging_2081/tillsyn/A 12314-2023 tillsynsbegäran.docx", "A 12314-2023")</f>
        <v/>
      </c>
      <c r="AB42">
        <f>HYPERLINK("https://klasma.github.io/Logging_2081/tillsynsmail/A 12314-2023 tillsynsbegäran mail.docx", "A 12314-2023")</f>
        <v/>
      </c>
    </row>
    <row r="43" ht="15" customHeight="1">
      <c r="A43" t="inlineStr">
        <is>
          <t>A 3067-2025</t>
        </is>
      </c>
      <c r="B43" t="inlineStr">
        <is>
          <t>avverkningsanmälan</t>
        </is>
      </c>
      <c r="C43" t="inlineStr">
        <is>
          <t>Föryngringsavverkning</t>
        </is>
      </c>
      <c r="D43" s="1" t="n">
        <v>45678</v>
      </c>
      <c r="E43" s="1" t="n">
        <v>46218</v>
      </c>
      <c r="F43" t="inlineStr">
        <is>
          <t>DALARNAS LÄN</t>
        </is>
      </c>
      <c r="G43" t="inlineStr">
        <is>
          <t>BORLÄNGE</t>
        </is>
      </c>
      <c r="H43" t="inlineStr">
        <is>
          <t>Kommuner</t>
        </is>
      </c>
      <c r="I43" t="n">
        <v>8</v>
      </c>
      <c r="J43" t="n">
        <v>2</v>
      </c>
      <c r="K43" t="n">
        <v>1</v>
      </c>
      <c r="L43" t="n">
        <v>0</v>
      </c>
      <c r="M43" t="n">
        <v>1</v>
      </c>
      <c r="N43" t="n">
        <v>0</v>
      </c>
      <c r="O43" t="n">
        <v>0</v>
      </c>
      <c r="P43" t="n">
        <v>0</v>
      </c>
      <c r="Q43" t="n">
        <v>1</v>
      </c>
      <c r="R43" t="n">
        <v>1</v>
      </c>
      <c r="S43" t="n">
        <v>3</v>
      </c>
      <c r="T43" t="n">
        <v>11</v>
      </c>
      <c r="U43" s="2" t="inlineStr">
        <is>
          <t>Knärot
Vedticka
Tjäder</t>
        </is>
      </c>
      <c r="V43">
        <f>HYPERLINK("https://klasma.github.io/Logging_2081/artfynd/A 3067-2025 artfynd.xlsx", "A 3067-2025")</f>
        <v/>
      </c>
      <c r="W43">
        <f>HYPERLINK("https://klasma.github.io/Logging_2081/kartor/A 3067-2025 karta.png", "A 3067-2025")</f>
        <v/>
      </c>
      <c r="X43">
        <f>HYPERLINK("https://klasma.github.io/Logging_2081/knärot/A 3067-2025 karta knärot.png", "A 3067-2025")</f>
        <v/>
      </c>
      <c r="Y43">
        <f>HYPERLINK("https://klasma.github.io/Logging_2081/klagomål/A 3067-2025 FSC-klagomål.docx", "A 3067-2025")</f>
        <v/>
      </c>
      <c r="Z43">
        <f>HYPERLINK("https://klasma.github.io/Logging_2081/klagomålsmail/A 3067-2025 FSC-klagomål mail.docx", "A 3067-2025")</f>
        <v/>
      </c>
      <c r="AA43">
        <f>HYPERLINK("https://klasma.github.io/Logging_2081/tillsyn/A 3067-2025 tillsynsbegäran.docx", "A 3067-2025")</f>
        <v/>
      </c>
      <c r="AB43">
        <f>HYPERLINK("https://klasma.github.io/Logging_2081/tillsynsmail/A 3067-2025 tillsynsbegäran mail.docx", "A 3067-2025")</f>
        <v/>
      </c>
      <c r="AC43">
        <f>HYPERLINK("https://klasma.github.io/Logging_2081/fåglar/A 3067-2025 prioriterade fågelarter.docx", "A 3067-2025")</f>
        <v/>
      </c>
    </row>
    <row r="44" ht="15" customHeight="1">
      <c r="A44" t="inlineStr">
        <is>
          <t>A 54154-2023</t>
        </is>
      </c>
      <c r="B44" t="inlineStr">
        <is>
          <t>avverkningsanmälan</t>
        </is>
      </c>
      <c r="C44" t="inlineStr">
        <is>
          <t>Föryngringsavverkning</t>
        </is>
      </c>
      <c r="D44" s="1" t="n">
        <v>45232</v>
      </c>
      <c r="E44" s="1" t="n">
        <v>46218</v>
      </c>
      <c r="F44" t="inlineStr">
        <is>
          <t>DALARNAS LÄN</t>
        </is>
      </c>
      <c r="G44" t="inlineStr">
        <is>
          <t>BORLÄNGE</t>
        </is>
      </c>
      <c r="H44" t="inlineStr">
        <is>
          <t>Bergvik skog väst AB</t>
        </is>
      </c>
      <c r="I44" t="n">
        <v>1.5</v>
      </c>
      <c r="J44" t="n">
        <v>0</v>
      </c>
      <c r="K44" t="n">
        <v>2</v>
      </c>
      <c r="L44" t="n">
        <v>0</v>
      </c>
      <c r="M44" t="n">
        <v>1</v>
      </c>
      <c r="N44" t="n">
        <v>0</v>
      </c>
      <c r="O44" t="n">
        <v>0</v>
      </c>
      <c r="P44" t="n">
        <v>0</v>
      </c>
      <c r="Q44" t="n">
        <v>1</v>
      </c>
      <c r="R44" t="n">
        <v>1</v>
      </c>
      <c r="S44" t="n">
        <v>3</v>
      </c>
      <c r="T44" t="n">
        <v>4</v>
      </c>
      <c r="U44" s="2" t="inlineStr">
        <is>
          <t>Garnlav
Bronshjon
Vågbandad barkbock</t>
        </is>
      </c>
      <c r="V44">
        <f>HYPERLINK("https://klasma.github.io/Logging_2081/artfynd/A 54154-2023 artfynd.xlsx", "A 54154-2023")</f>
        <v/>
      </c>
      <c r="W44">
        <f>HYPERLINK("https://klasma.github.io/Logging_2081/kartor/A 54154-2023 karta.png", "A 54154-2023")</f>
        <v/>
      </c>
      <c r="Y44">
        <f>HYPERLINK("https://klasma.github.io/Logging_2081/klagomål/A 54154-2023 FSC-klagomål.docx", "A 54154-2023")</f>
        <v/>
      </c>
      <c r="Z44">
        <f>HYPERLINK("https://klasma.github.io/Logging_2081/klagomålsmail/A 54154-2023 FSC-klagomål mail.docx", "A 54154-2023")</f>
        <v/>
      </c>
      <c r="AA44">
        <f>HYPERLINK("https://klasma.github.io/Logging_2081/tillsyn/A 54154-2023 tillsynsbegäran.docx", "A 54154-2023")</f>
        <v/>
      </c>
      <c r="AB44">
        <f>HYPERLINK("https://klasma.github.io/Logging_2081/tillsynsmail/A 54154-2023 tillsynsbegäran mail.docx", "A 54154-2023")</f>
        <v/>
      </c>
    </row>
    <row r="45" ht="15" customHeight="1">
      <c r="A45" t="inlineStr">
        <is>
          <t>A 59674-2021</t>
        </is>
      </c>
      <c r="B45" t="inlineStr">
        <is>
          <t>avverkningsanmälan</t>
        </is>
      </c>
      <c r="C45" t="inlineStr">
        <is>
          <t>Avverkning för annat ändamål</t>
        </is>
      </c>
      <c r="D45" s="1" t="n">
        <v>44494</v>
      </c>
      <c r="E45" s="1" t="n">
        <v>46218</v>
      </c>
      <c r="F45" t="inlineStr">
        <is>
          <t>DALARNAS LÄN</t>
        </is>
      </c>
      <c r="G45" t="inlineStr">
        <is>
          <t>BORLÄNGE</t>
        </is>
      </c>
      <c r="I45" t="n">
        <v>1</v>
      </c>
      <c r="J45" t="n">
        <v>1</v>
      </c>
      <c r="K45" t="n">
        <v>0</v>
      </c>
      <c r="L45" t="n">
        <v>2</v>
      </c>
      <c r="M45" t="n">
        <v>1</v>
      </c>
      <c r="N45" t="n">
        <v>0</v>
      </c>
      <c r="O45" t="n">
        <v>0</v>
      </c>
      <c r="P45" t="n">
        <v>0</v>
      </c>
      <c r="Q45" t="n">
        <v>3</v>
      </c>
      <c r="R45" t="n">
        <v>1</v>
      </c>
      <c r="S45" t="n">
        <v>3</v>
      </c>
      <c r="T45" t="n">
        <v>3</v>
      </c>
      <c r="U45" s="2" t="inlineStr">
        <is>
          <t>Knärot
Fjällig taggsvamp s.str.
Ullticka</t>
        </is>
      </c>
      <c r="V45">
        <f>HYPERLINK("https://klasma.github.io/Logging_2081/artfynd/A 59674-2021 artfynd.xlsx", "A 59674-2021")</f>
        <v/>
      </c>
      <c r="W45">
        <f>HYPERLINK("https://klasma.github.io/Logging_2081/kartor/A 59674-2021 karta.png", "A 59674-2021")</f>
        <v/>
      </c>
      <c r="X45">
        <f>HYPERLINK("https://klasma.github.io/Logging_2081/knärot/A 59674-2021 karta knärot.png", "A 59674-2021")</f>
        <v/>
      </c>
      <c r="Y45">
        <f>HYPERLINK("https://klasma.github.io/Logging_2081/klagomål/A 59674-2021 FSC-klagomål.docx", "A 59674-2021")</f>
        <v/>
      </c>
      <c r="Z45">
        <f>HYPERLINK("https://klasma.github.io/Logging_2081/klagomålsmail/A 59674-2021 FSC-klagomål mail.docx", "A 59674-2021")</f>
        <v/>
      </c>
      <c r="AA45">
        <f>HYPERLINK("https://klasma.github.io/Logging_2081/tillsyn/A 59674-2021 tillsynsbegäran.docx", "A 59674-2021")</f>
        <v/>
      </c>
      <c r="AB45">
        <f>HYPERLINK("https://klasma.github.io/Logging_2081/tillsynsmail/A 59674-2021 tillsynsbegäran mail.docx", "A 59674-2021")</f>
        <v/>
      </c>
    </row>
    <row r="46" ht="15" customHeight="1">
      <c r="A46" t="inlineStr">
        <is>
          <t>A 27720-2024</t>
        </is>
      </c>
      <c r="B46" t="inlineStr">
        <is>
          <t>avverkningsanmälan</t>
        </is>
      </c>
      <c r="C46" t="inlineStr">
        <is>
          <t>Avverkning för annat ändamål</t>
        </is>
      </c>
      <c r="D46" s="1" t="n">
        <v>45475</v>
      </c>
      <c r="E46" s="1" t="n">
        <v>46218</v>
      </c>
      <c r="F46" t="inlineStr">
        <is>
          <t>DALARNAS LÄN</t>
        </is>
      </c>
      <c r="G46" t="inlineStr">
        <is>
          <t>BORLÄNGE</t>
        </is>
      </c>
      <c r="I46" t="n">
        <v>1</v>
      </c>
      <c r="J46" t="n">
        <v>3</v>
      </c>
      <c r="K46" t="n">
        <v>1</v>
      </c>
      <c r="L46" t="n">
        <v>0</v>
      </c>
      <c r="M46" t="n">
        <v>0</v>
      </c>
      <c r="N46" t="n">
        <v>0</v>
      </c>
      <c r="O46" t="n">
        <v>0</v>
      </c>
      <c r="P46" t="n">
        <v>0</v>
      </c>
      <c r="Q46" t="n">
        <v>0</v>
      </c>
      <c r="R46" t="n">
        <v>0</v>
      </c>
      <c r="S46" t="n">
        <v>3</v>
      </c>
      <c r="T46" t="n">
        <v>4</v>
      </c>
      <c r="U46" s="2" t="inlineStr">
        <is>
          <t>Spindelblomster
Fläcknycklar
Revlummer</t>
        </is>
      </c>
      <c r="V46">
        <f>HYPERLINK("https://klasma.github.io/Logging_2081/artfynd/A 27720-2024 artfynd.xlsx", "A 27720-2024")</f>
        <v/>
      </c>
      <c r="W46">
        <f>HYPERLINK("https://klasma.github.io/Logging_2081/kartor/A 27720-2024 karta.png", "A 27720-2024")</f>
        <v/>
      </c>
      <c r="Y46">
        <f>HYPERLINK("https://klasma.github.io/Logging_2081/klagomål/A 27720-2024 FSC-klagomål.docx", "A 27720-2024")</f>
        <v/>
      </c>
      <c r="Z46">
        <f>HYPERLINK("https://klasma.github.io/Logging_2081/klagomålsmail/A 27720-2024 FSC-klagomål mail.docx", "A 27720-2024")</f>
        <v/>
      </c>
      <c r="AA46">
        <f>HYPERLINK("https://klasma.github.io/Logging_2081/tillsyn/A 27720-2024 tillsynsbegäran.docx", "A 27720-2024")</f>
        <v/>
      </c>
      <c r="AB46">
        <f>HYPERLINK("https://klasma.github.io/Logging_2081/tillsynsmail/A 27720-2024 tillsynsbegäran mail.docx", "A 27720-2024")</f>
        <v/>
      </c>
    </row>
    <row r="47" ht="15" customHeight="1">
      <c r="A47" t="inlineStr">
        <is>
          <t>A 6832-2024</t>
        </is>
      </c>
      <c r="B47" t="inlineStr">
        <is>
          <t>avverkningsanmälan</t>
        </is>
      </c>
      <c r="C47" t="inlineStr">
        <is>
          <t>Föryngringsavverkning</t>
        </is>
      </c>
      <c r="D47" s="1" t="n">
        <v>45342</v>
      </c>
      <c r="E47" s="1" t="n">
        <v>46218</v>
      </c>
      <c r="F47" t="inlineStr">
        <is>
          <t>DALARNAS LÄN</t>
        </is>
      </c>
      <c r="G47" t="inlineStr">
        <is>
          <t>BORLÄNGE</t>
        </is>
      </c>
      <c r="I47" t="n">
        <v>14.2</v>
      </c>
      <c r="J47" t="n">
        <v>0</v>
      </c>
      <c r="K47" t="n">
        <v>3</v>
      </c>
      <c r="L47" t="n">
        <v>0</v>
      </c>
      <c r="M47" t="n">
        <v>0</v>
      </c>
      <c r="N47" t="n">
        <v>0</v>
      </c>
      <c r="O47" t="n">
        <v>0</v>
      </c>
      <c r="P47" t="n">
        <v>0</v>
      </c>
      <c r="Q47" t="n">
        <v>0</v>
      </c>
      <c r="R47" t="n">
        <v>0</v>
      </c>
      <c r="S47" t="n">
        <v>3</v>
      </c>
      <c r="T47" t="n">
        <v>5</v>
      </c>
      <c r="U47" s="2" t="inlineStr">
        <is>
          <t>Bronshjon
Thomsons trägnagare
Vågbandad barkbock</t>
        </is>
      </c>
      <c r="V47">
        <f>HYPERLINK("https://klasma.github.io/Logging_2081/artfynd/A 6832-2024 artfynd.xlsx", "A 6832-2024")</f>
        <v/>
      </c>
      <c r="W47">
        <f>HYPERLINK("https://klasma.github.io/Logging_2081/kartor/A 6832-2024 karta.png", "A 6832-2024")</f>
        <v/>
      </c>
      <c r="Y47">
        <f>HYPERLINK("https://klasma.github.io/Logging_2081/klagomål/A 6832-2024 FSC-klagomål.docx", "A 6832-2024")</f>
        <v/>
      </c>
      <c r="Z47">
        <f>HYPERLINK("https://klasma.github.io/Logging_2081/klagomålsmail/A 6832-2024 FSC-klagomål mail.docx", "A 6832-2024")</f>
        <v/>
      </c>
      <c r="AA47">
        <f>HYPERLINK("https://klasma.github.io/Logging_2081/tillsyn/A 6832-2024 tillsynsbegäran.docx", "A 6832-2024")</f>
        <v/>
      </c>
      <c r="AB47">
        <f>HYPERLINK("https://klasma.github.io/Logging_2081/tillsynsmail/A 6832-2024 tillsynsbegäran mail.docx", "A 6832-2024")</f>
        <v/>
      </c>
    </row>
    <row r="48" ht="15" customHeight="1">
      <c r="A48" t="inlineStr">
        <is>
          <t>A 37708-2024</t>
        </is>
      </c>
      <c r="B48" t="inlineStr">
        <is>
          <t>avverkningsanmälan</t>
        </is>
      </c>
      <c r="C48" t="inlineStr">
        <is>
          <t>Föryngringsavverkning</t>
        </is>
      </c>
      <c r="D48" s="1" t="n">
        <v>45541</v>
      </c>
      <c r="E48" s="1" t="n">
        <v>46218</v>
      </c>
      <c r="F48" t="inlineStr">
        <is>
          <t>DALARNAS LÄN</t>
        </is>
      </c>
      <c r="G48" t="inlineStr">
        <is>
          <t>BORLÄNGE</t>
        </is>
      </c>
      <c r="I48" t="n">
        <v>0.6</v>
      </c>
      <c r="J48" t="n">
        <v>0</v>
      </c>
      <c r="K48" t="n">
        <v>0</v>
      </c>
      <c r="L48" t="n">
        <v>3</v>
      </c>
      <c r="M48" t="n">
        <v>0</v>
      </c>
      <c r="N48" t="n">
        <v>0</v>
      </c>
      <c r="O48" t="n">
        <v>0</v>
      </c>
      <c r="P48" t="n">
        <v>0</v>
      </c>
      <c r="Q48" t="n">
        <v>3</v>
      </c>
      <c r="R48" t="n">
        <v>0</v>
      </c>
      <c r="S48" t="n">
        <v>3</v>
      </c>
      <c r="T48" t="n">
        <v>3</v>
      </c>
      <c r="U48" s="2" t="inlineStr">
        <is>
          <t>Gropticka
Rosenticka
Ullticka</t>
        </is>
      </c>
      <c r="V48">
        <f>HYPERLINK("https://klasma.github.io/Logging_2081/artfynd/A 37708-2024 artfynd.xlsx", "A 37708-2024")</f>
        <v/>
      </c>
      <c r="W48">
        <f>HYPERLINK("https://klasma.github.io/Logging_2081/kartor/A 37708-2024 karta.png", "A 37708-2024")</f>
        <v/>
      </c>
      <c r="Y48">
        <f>HYPERLINK("https://klasma.github.io/Logging_2081/klagomål/A 37708-2024 FSC-klagomål.docx", "A 37708-2024")</f>
        <v/>
      </c>
      <c r="Z48">
        <f>HYPERLINK("https://klasma.github.io/Logging_2081/klagomålsmail/A 37708-2024 FSC-klagomål mail.docx", "A 37708-2024")</f>
        <v/>
      </c>
      <c r="AA48">
        <f>HYPERLINK("https://klasma.github.io/Logging_2081/tillsyn/A 37708-2024 tillsynsbegäran.docx", "A 37708-2024")</f>
        <v/>
      </c>
      <c r="AB48">
        <f>HYPERLINK("https://klasma.github.io/Logging_2081/tillsynsmail/A 37708-2024 tillsynsbegäran mail.docx", "A 37708-2024")</f>
        <v/>
      </c>
    </row>
    <row r="49" ht="15" customHeight="1">
      <c r="A49" t="inlineStr">
        <is>
          <t>A 2295-2026</t>
        </is>
      </c>
      <c r="B49" t="inlineStr">
        <is>
          <t>avverkningsanmälan</t>
        </is>
      </c>
      <c r="C49" t="inlineStr">
        <is>
          <t>Föryngringsavverkning</t>
        </is>
      </c>
      <c r="D49" s="1" t="n">
        <v>46036</v>
      </c>
      <c r="E49" s="1" t="n">
        <v>46218</v>
      </c>
      <c r="F49" t="inlineStr">
        <is>
          <t>DALARNAS LÄN</t>
        </is>
      </c>
      <c r="G49" t="inlineStr">
        <is>
          <t>BORLÄNGE</t>
        </is>
      </c>
      <c r="I49" t="n">
        <v>12.7</v>
      </c>
      <c r="J49" t="n">
        <v>1</v>
      </c>
      <c r="K49" t="n">
        <v>1</v>
      </c>
      <c r="L49" t="n">
        <v>1</v>
      </c>
      <c r="M49" t="n">
        <v>0</v>
      </c>
      <c r="N49" t="n">
        <v>0</v>
      </c>
      <c r="O49" t="n">
        <v>0</v>
      </c>
      <c r="P49" t="n">
        <v>0</v>
      </c>
      <c r="Q49" t="n">
        <v>1</v>
      </c>
      <c r="R49" t="n">
        <v>0</v>
      </c>
      <c r="S49" t="n">
        <v>3</v>
      </c>
      <c r="T49" t="n">
        <v>6</v>
      </c>
      <c r="U49" s="2" t="inlineStr">
        <is>
          <t>Vedskivlav
Vedticka
Tjäder</t>
        </is>
      </c>
      <c r="V49">
        <f>HYPERLINK("https://klasma.github.io/Logging_2081/artfynd/A 2295-2026 artfynd.xlsx", "A 2295-2026")</f>
        <v/>
      </c>
      <c r="W49">
        <f>HYPERLINK("https://klasma.github.io/Logging_2081/kartor/A 2295-2026 karta.png", "A 2295-2026")</f>
        <v/>
      </c>
      <c r="Y49">
        <f>HYPERLINK("https://klasma.github.io/Logging_2081/klagomål/A 2295-2026 FSC-klagomål.docx", "A 2295-2026")</f>
        <v/>
      </c>
      <c r="Z49">
        <f>HYPERLINK("https://klasma.github.io/Logging_2081/klagomålsmail/A 2295-2026 FSC-klagomål mail.docx", "A 2295-2026")</f>
        <v/>
      </c>
      <c r="AA49">
        <f>HYPERLINK("https://klasma.github.io/Logging_2081/tillsyn/A 2295-2026 tillsynsbegäran.docx", "A 2295-2026")</f>
        <v/>
      </c>
      <c r="AB49">
        <f>HYPERLINK("https://klasma.github.io/Logging_2081/tillsynsmail/A 2295-2026 tillsynsbegäran mail.docx", "A 2295-2026")</f>
        <v/>
      </c>
      <c r="AC49">
        <f>HYPERLINK("https://klasma.github.io/Logging_2081/fåglar/A 2295-2026 prioriterade fågelarter.docx", "A 2295-2026")</f>
        <v/>
      </c>
    </row>
    <row r="50" ht="15" customHeight="1">
      <c r="A50" t="inlineStr">
        <is>
          <t>A 9315-2026</t>
        </is>
      </c>
      <c r="B50" t="inlineStr">
        <is>
          <t>avverkningsanmälan</t>
        </is>
      </c>
      <c r="C50" t="inlineStr">
        <is>
          <t>Föryngringsavverkning</t>
        </is>
      </c>
      <c r="D50" s="1" t="n">
        <v>46070</v>
      </c>
      <c r="E50" s="1" t="n">
        <v>46218</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s="2" t="inlineStr">
        <is>
          <t>Tretåig hackspett
Gullgröppa
Tjäder</t>
        </is>
      </c>
      <c r="V50">
        <f>HYPERLINK("https://klasma.github.io/Logging_2081/artfynd/A 9315-2026 artfynd.xlsx", "A 9315-2026")</f>
        <v/>
      </c>
      <c r="W50">
        <f>HYPERLINK("https://klasma.github.io/Logging_2081/kartor/A 9315-2026 karta.png", "A 9315-2026")</f>
        <v/>
      </c>
      <c r="Y50">
        <f>HYPERLINK("https://klasma.github.io/Logging_2081/klagomål/A 9315-2026 FSC-klagomål.docx", "A 9315-2026")</f>
        <v/>
      </c>
      <c r="Z50">
        <f>HYPERLINK("https://klasma.github.io/Logging_2081/klagomålsmail/A 9315-2026 FSC-klagomål mail.docx", "A 9315-2026")</f>
        <v/>
      </c>
      <c r="AA50">
        <f>HYPERLINK("https://klasma.github.io/Logging_2081/tillsyn/A 9315-2026 tillsynsbegäran.docx", "A 9315-2026")</f>
        <v/>
      </c>
      <c r="AB50">
        <f>HYPERLINK("https://klasma.github.io/Logging_2081/tillsynsmail/A 9315-2026 tillsynsbegäran mail.docx", "A 9315-2026")</f>
        <v/>
      </c>
      <c r="AC50">
        <f>HYPERLINK("https://klasma.github.io/Logging_2081/fåglar/A 9315-2026 prioriterade fågelarter.docx", "A 9315-2026")</f>
        <v/>
      </c>
    </row>
    <row r="51" ht="15" customHeight="1">
      <c r="A51" t="inlineStr">
        <is>
          <t>A 31096-2026</t>
        </is>
      </c>
      <c r="B51" t="inlineStr">
        <is>
          <t>avverkningsanmälan</t>
        </is>
      </c>
      <c r="C51" t="inlineStr">
        <is>
          <t>Föryngringsavverkning</t>
        </is>
      </c>
      <c r="D51" s="1" t="n">
        <v>46216</v>
      </c>
      <c r="E51" s="1" t="n">
        <v>46218</v>
      </c>
      <c r="F51" t="inlineStr">
        <is>
          <t>DALARNAS LÄN</t>
        </is>
      </c>
      <c r="G51" t="inlineStr">
        <is>
          <t>BORLÄNGE</t>
        </is>
      </c>
      <c r="I51" t="n">
        <v>4.9</v>
      </c>
      <c r="J51" t="n">
        <v>2</v>
      </c>
      <c r="K51" t="n">
        <v>0</v>
      </c>
      <c r="L51" t="n">
        <v>2</v>
      </c>
      <c r="M51" t="n">
        <v>0</v>
      </c>
      <c r="N51" t="n">
        <v>0</v>
      </c>
      <c r="O51" t="n">
        <v>0</v>
      </c>
      <c r="P51" t="n">
        <v>0</v>
      </c>
      <c r="Q51" t="n">
        <v>2</v>
      </c>
      <c r="R51" t="n">
        <v>0</v>
      </c>
      <c r="S51" t="n">
        <v>3</v>
      </c>
      <c r="T51" t="n">
        <v>6</v>
      </c>
      <c r="U51" s="2" t="inlineStr">
        <is>
          <t>Dropptaggsvamp
Tretåig hackspett
Tjäder</t>
        </is>
      </c>
      <c r="V51">
        <f>HYPERLINK("https://klasma.github.io/Logging_2081/artfynd/A 31096-2026 artfynd.xlsx", "A 31096-2026")</f>
        <v/>
      </c>
      <c r="W51">
        <f>HYPERLINK("https://klasma.github.io/Logging_2081/kartor/A 31096-2026 karta.png", "A 31096-2026")</f>
        <v/>
      </c>
      <c r="Y51">
        <f>HYPERLINK("https://klasma.github.io/Logging_2081/klagomål/A 31096-2026 FSC-klagomål.docx", "A 31096-2026")</f>
        <v/>
      </c>
      <c r="Z51">
        <f>HYPERLINK("https://klasma.github.io/Logging_2081/klagomålsmail/A 31096-2026 FSC-klagomål mail.docx", "A 31096-2026")</f>
        <v/>
      </c>
      <c r="AA51">
        <f>HYPERLINK("https://klasma.github.io/Logging_2081/tillsyn/A 31096-2026 tillsynsbegäran.docx", "A 31096-2026")</f>
        <v/>
      </c>
      <c r="AB51">
        <f>HYPERLINK("https://klasma.github.io/Logging_2081/tillsynsmail/A 31096-2026 tillsynsbegäran mail.docx", "A 31096-2026")</f>
        <v/>
      </c>
      <c r="AC51">
        <f>HYPERLINK("https://klasma.github.io/Logging_2081/fåglar/A 31096-2026 prioriterade fågelarter.docx", "A 31096-2026")</f>
        <v/>
      </c>
    </row>
    <row r="52" ht="15" customHeight="1">
      <c r="A52" t="inlineStr">
        <is>
          <t>A 9959-2026</t>
        </is>
      </c>
      <c r="B52" t="inlineStr">
        <is>
          <t>avverkningsanmälan</t>
        </is>
      </c>
      <c r="C52" t="inlineStr">
        <is>
          <t>Föryngringsavverkning</t>
        </is>
      </c>
      <c r="D52" s="1" t="n">
        <v>46073</v>
      </c>
      <c r="E52" s="1" t="n">
        <v>46218</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s="2" t="inlineStr">
        <is>
          <t>Tretåig hackspett
Gullgröppa
Tjäder</t>
        </is>
      </c>
      <c r="V52">
        <f>HYPERLINK("https://klasma.github.io/Logging_2081/artfynd/A 9959-2026 artfynd.xlsx", "A 9959-2026")</f>
        <v/>
      </c>
      <c r="W52">
        <f>HYPERLINK("https://klasma.github.io/Logging_2081/kartor/A 9959-2026 karta.png", "A 9959-2026")</f>
        <v/>
      </c>
      <c r="Y52">
        <f>HYPERLINK("https://klasma.github.io/Logging_2081/klagomål/A 9959-2026 FSC-klagomål.docx", "A 9959-2026")</f>
        <v/>
      </c>
      <c r="Z52">
        <f>HYPERLINK("https://klasma.github.io/Logging_2081/klagomålsmail/A 9959-2026 FSC-klagomål mail.docx", "A 9959-2026")</f>
        <v/>
      </c>
      <c r="AA52">
        <f>HYPERLINK("https://klasma.github.io/Logging_2081/tillsyn/A 9959-2026 tillsynsbegäran.docx", "A 9959-2026")</f>
        <v/>
      </c>
      <c r="AB52">
        <f>HYPERLINK("https://klasma.github.io/Logging_2081/tillsynsmail/A 9959-2026 tillsynsbegäran mail.docx", "A 9959-2026")</f>
        <v/>
      </c>
      <c r="AC52">
        <f>HYPERLINK("https://klasma.github.io/Logging_2081/fåglar/A 9959-2026 prioriterade fågelarter.docx", "A 9959-2026")</f>
        <v/>
      </c>
    </row>
    <row r="53" ht="15" customHeight="1">
      <c r="A53" t="inlineStr">
        <is>
          <t>A 21302-2022</t>
        </is>
      </c>
      <c r="B53" t="inlineStr">
        <is>
          <t>avverkningsanmälan</t>
        </is>
      </c>
      <c r="C53" t="inlineStr">
        <is>
          <t>Föryngringsavverkning</t>
        </is>
      </c>
      <c r="D53" s="1" t="n">
        <v>44705</v>
      </c>
      <c r="E53" s="1" t="n">
        <v>46218</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s="2" t="inlineStr">
        <is>
          <t>Brun gräsfjäril
Älg</t>
        </is>
      </c>
      <c r="V53">
        <f>HYPERLINK("https://klasma.github.io/Logging_2081/artfynd/A 21302-2022 artfynd.xlsx", "A 21302-2022")</f>
        <v/>
      </c>
      <c r="W53">
        <f>HYPERLINK("https://klasma.github.io/Logging_2081/kartor/A 21302-2022 karta.png", "A 21302-2022")</f>
        <v/>
      </c>
      <c r="Y53">
        <f>HYPERLINK("https://klasma.github.io/Logging_2081/klagomål/A 21302-2022 FSC-klagomål.docx", "A 21302-2022")</f>
        <v/>
      </c>
      <c r="Z53">
        <f>HYPERLINK("https://klasma.github.io/Logging_2081/klagomålsmail/A 21302-2022 FSC-klagomål mail.docx", "A 21302-2022")</f>
        <v/>
      </c>
      <c r="AA53">
        <f>HYPERLINK("https://klasma.github.io/Logging_2081/tillsyn/A 21302-2022 tillsynsbegäran.docx", "A 21302-2022")</f>
        <v/>
      </c>
      <c r="AB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46218</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s="2" t="inlineStr">
        <is>
          <t>Trådticka
Utter</t>
        </is>
      </c>
      <c r="V54">
        <f>HYPERLINK("https://klasma.github.io/Logging_2081/artfynd/A 60150-2023 artfynd.xlsx", "A 60150-2023")</f>
        <v/>
      </c>
      <c r="W54">
        <f>HYPERLINK("https://klasma.github.io/Logging_2081/kartor/A 60150-2023 karta.png", "A 60150-2023")</f>
        <v/>
      </c>
      <c r="Y54">
        <f>HYPERLINK("https://klasma.github.io/Logging_2081/klagomål/A 60150-2023 FSC-klagomål.docx", "A 60150-2023")</f>
        <v/>
      </c>
      <c r="Z54">
        <f>HYPERLINK("https://klasma.github.io/Logging_2081/klagomålsmail/A 60150-2023 FSC-klagomål mail.docx", "A 60150-2023")</f>
        <v/>
      </c>
      <c r="AA54">
        <f>HYPERLINK("https://klasma.github.io/Logging_2081/tillsyn/A 60150-2023 tillsynsbegäran.docx", "A 60150-2023")</f>
        <v/>
      </c>
      <c r="AB54">
        <f>HYPERLINK("https://klasma.github.io/Logging_2081/tillsynsmail/A 60150-2023 tillsynsbegäran mail.docx", "A 60150-2023")</f>
        <v/>
      </c>
    </row>
    <row r="55" ht="15" customHeight="1">
      <c r="A55" t="inlineStr">
        <is>
          <t>A 51992-2021</t>
        </is>
      </c>
      <c r="B55" t="inlineStr">
        <is>
          <t>avverkningsanmälan</t>
        </is>
      </c>
      <c r="C55" t="inlineStr">
        <is>
          <t>Föryngringsavverkning</t>
        </is>
      </c>
      <c r="D55" s="1" t="n">
        <v>44463</v>
      </c>
      <c r="E55" s="1" t="n">
        <v>46218</v>
      </c>
      <c r="F55" t="inlineStr">
        <is>
          <t>DALARNAS LÄN</t>
        </is>
      </c>
      <c r="G55" t="inlineStr">
        <is>
          <t>BORLÄNGE</t>
        </is>
      </c>
      <c r="H55" t="inlineStr">
        <is>
          <t>Bergvik skog väst AB</t>
        </is>
      </c>
      <c r="I55" t="n">
        <v>2</v>
      </c>
      <c r="J55" t="n">
        <v>1</v>
      </c>
      <c r="K55" t="n">
        <v>2</v>
      </c>
      <c r="L55" t="n">
        <v>0</v>
      </c>
      <c r="M55" t="n">
        <v>0</v>
      </c>
      <c r="N55" t="n">
        <v>0</v>
      </c>
      <c r="O55" t="n">
        <v>0</v>
      </c>
      <c r="P55" t="n">
        <v>0</v>
      </c>
      <c r="Q55" t="n">
        <v>0</v>
      </c>
      <c r="R55" t="n">
        <v>0</v>
      </c>
      <c r="S55" t="n">
        <v>2</v>
      </c>
      <c r="T55" t="n">
        <v>2</v>
      </c>
      <c r="U55" s="2" t="inlineStr">
        <is>
          <t>Korallrot
Rödgul trumpetsvamp</t>
        </is>
      </c>
      <c r="V55">
        <f>HYPERLINK("https://klasma.github.io/Logging_2081/artfynd/A 51992-2021 artfynd.xlsx", "A 51992-2021")</f>
        <v/>
      </c>
      <c r="W55">
        <f>HYPERLINK("https://klasma.github.io/Logging_2081/kartor/A 51992-2021 karta.png", "A 51992-2021")</f>
        <v/>
      </c>
      <c r="Y55">
        <f>HYPERLINK("https://klasma.github.io/Logging_2081/klagomål/A 51992-2021 FSC-klagomål.docx", "A 51992-2021")</f>
        <v/>
      </c>
      <c r="Z55">
        <f>HYPERLINK("https://klasma.github.io/Logging_2081/klagomålsmail/A 51992-2021 FSC-klagomål mail.docx", "A 51992-2021")</f>
        <v/>
      </c>
      <c r="AA55">
        <f>HYPERLINK("https://klasma.github.io/Logging_2081/tillsyn/A 51992-2021 tillsynsbegäran.docx", "A 51992-2021")</f>
        <v/>
      </c>
      <c r="AB55">
        <f>HYPERLINK("https://klasma.github.io/Logging_2081/tillsynsmail/A 51992-2021 tillsynsbegäran mail.docx", "A 51992-2021")</f>
        <v/>
      </c>
    </row>
    <row r="56" ht="15" customHeight="1">
      <c r="A56" t="inlineStr">
        <is>
          <t>A 12787-2024</t>
        </is>
      </c>
      <c r="B56" t="inlineStr">
        <is>
          <t>avverkningsanmälan</t>
        </is>
      </c>
      <c r="C56" t="inlineStr">
        <is>
          <t>Föryngringsavverkning</t>
        </is>
      </c>
      <c r="D56" s="1" t="n">
        <v>45384</v>
      </c>
      <c r="E56" s="1" t="n">
        <v>46218</v>
      </c>
      <c r="F56" t="inlineStr">
        <is>
          <t>DALARNAS LÄN</t>
        </is>
      </c>
      <c r="G56" t="inlineStr">
        <is>
          <t>BORLÄNGE</t>
        </is>
      </c>
      <c r="I56" t="n">
        <v>1.1</v>
      </c>
      <c r="J56" t="n">
        <v>2</v>
      </c>
      <c r="K56" t="n">
        <v>0</v>
      </c>
      <c r="L56" t="n">
        <v>2</v>
      </c>
      <c r="M56" t="n">
        <v>0</v>
      </c>
      <c r="N56" t="n">
        <v>0</v>
      </c>
      <c r="O56" t="n">
        <v>0</v>
      </c>
      <c r="P56" t="n">
        <v>0</v>
      </c>
      <c r="Q56" t="n">
        <v>2</v>
      </c>
      <c r="R56" t="n">
        <v>0</v>
      </c>
      <c r="S56" t="n">
        <v>2</v>
      </c>
      <c r="T56" t="n">
        <v>2</v>
      </c>
      <c r="U56" s="2" t="inlineStr">
        <is>
          <t>Gulsparv
Rödvingetrast</t>
        </is>
      </c>
      <c r="V56">
        <f>HYPERLINK("https://klasma.github.io/Logging_2081/artfynd/A 12787-2024 artfynd.xlsx", "A 12787-2024")</f>
        <v/>
      </c>
      <c r="W56">
        <f>HYPERLINK("https://klasma.github.io/Logging_2081/kartor/A 12787-2024 karta.png", "A 12787-2024")</f>
        <v/>
      </c>
      <c r="Y56">
        <f>HYPERLINK("https://klasma.github.io/Logging_2081/klagomål/A 12787-2024 FSC-klagomål.docx", "A 12787-2024")</f>
        <v/>
      </c>
      <c r="Z56">
        <f>HYPERLINK("https://klasma.github.io/Logging_2081/klagomålsmail/A 12787-2024 FSC-klagomål mail.docx", "A 12787-2024")</f>
        <v/>
      </c>
      <c r="AA56">
        <f>HYPERLINK("https://klasma.github.io/Logging_2081/tillsyn/A 12787-2024 tillsynsbegäran.docx", "A 12787-2024")</f>
        <v/>
      </c>
      <c r="AB56">
        <f>HYPERLINK("https://klasma.github.io/Logging_2081/tillsynsmail/A 12787-2024 tillsynsbegäran mail.docx", "A 12787-2024")</f>
        <v/>
      </c>
      <c r="AC56">
        <f>HYPERLINK("https://klasma.github.io/Logging_2081/fåglar/A 12787-2024 prioriterade fågelarter.docx", "A 12787-2024")</f>
        <v/>
      </c>
    </row>
    <row r="57" ht="15" customHeight="1">
      <c r="A57" t="inlineStr">
        <is>
          <t>A 60152-2023</t>
        </is>
      </c>
      <c r="B57" t="inlineStr">
        <is>
          <t>avverkningsanmälan</t>
        </is>
      </c>
      <c r="C57" t="inlineStr">
        <is>
          <t>Föryngringsavverkning</t>
        </is>
      </c>
      <c r="D57" s="1" t="n">
        <v>45258</v>
      </c>
      <c r="E57" s="1" t="n">
        <v>46218</v>
      </c>
      <c r="F57" t="inlineStr">
        <is>
          <t>DALARNAS LÄN</t>
        </is>
      </c>
      <c r="G57" t="inlineStr">
        <is>
          <t>BORLÄNGE</t>
        </is>
      </c>
      <c r="I57" t="n">
        <v>1</v>
      </c>
      <c r="J57" t="n">
        <v>2</v>
      </c>
      <c r="K57" t="n">
        <v>1</v>
      </c>
      <c r="L57" t="n">
        <v>0</v>
      </c>
      <c r="M57" t="n">
        <v>0</v>
      </c>
      <c r="N57" t="n">
        <v>0</v>
      </c>
      <c r="O57" t="n">
        <v>0</v>
      </c>
      <c r="P57" t="n">
        <v>0</v>
      </c>
      <c r="Q57" t="n">
        <v>0</v>
      </c>
      <c r="R57" t="n">
        <v>0</v>
      </c>
      <c r="S57" t="n">
        <v>2</v>
      </c>
      <c r="T57" t="n">
        <v>3</v>
      </c>
      <c r="U57" s="2" t="inlineStr">
        <is>
          <t>Tvåblad
Tjäder</t>
        </is>
      </c>
      <c r="V57">
        <f>HYPERLINK("https://klasma.github.io/Logging_2081/artfynd/A 60152-2023 artfynd.xlsx", "A 60152-2023")</f>
        <v/>
      </c>
      <c r="W57">
        <f>HYPERLINK("https://klasma.github.io/Logging_2081/kartor/A 60152-2023 karta.png", "A 60152-2023")</f>
        <v/>
      </c>
      <c r="Y57">
        <f>HYPERLINK("https://klasma.github.io/Logging_2081/klagomål/A 60152-2023 FSC-klagomål.docx", "A 60152-2023")</f>
        <v/>
      </c>
      <c r="Z57">
        <f>HYPERLINK("https://klasma.github.io/Logging_2081/klagomålsmail/A 60152-2023 FSC-klagomål mail.docx", "A 60152-2023")</f>
        <v/>
      </c>
      <c r="AA57">
        <f>HYPERLINK("https://klasma.github.io/Logging_2081/tillsyn/A 60152-2023 tillsynsbegäran.docx", "A 60152-2023")</f>
        <v/>
      </c>
      <c r="AB57">
        <f>HYPERLINK("https://klasma.github.io/Logging_2081/tillsynsmail/A 60152-2023 tillsynsbegäran mail.docx", "A 60152-2023")</f>
        <v/>
      </c>
      <c r="AC57">
        <f>HYPERLINK("https://klasma.github.io/Logging_2081/fåglar/A 60152-2023 prioriterade fågelarter.docx", "A 60152-2023")</f>
        <v/>
      </c>
    </row>
    <row r="58" ht="15" customHeight="1">
      <c r="A58" t="inlineStr">
        <is>
          <t>A 42040-2023</t>
        </is>
      </c>
      <c r="B58" t="inlineStr">
        <is>
          <t>avverkningsanmälan</t>
        </is>
      </c>
      <c r="C58" t="inlineStr">
        <is>
          <t>Föryngringsavverkning</t>
        </is>
      </c>
      <c r="D58" s="1" t="n">
        <v>45177</v>
      </c>
      <c r="E58" s="1" t="n">
        <v>46218</v>
      </c>
      <c r="F58" t="inlineStr">
        <is>
          <t>DALARNAS LÄN</t>
        </is>
      </c>
      <c r="G58" t="inlineStr">
        <is>
          <t>BORLÄNGE</t>
        </is>
      </c>
      <c r="I58" t="n">
        <v>4.7</v>
      </c>
      <c r="J58" t="n">
        <v>1</v>
      </c>
      <c r="K58" t="n">
        <v>1</v>
      </c>
      <c r="L58" t="n">
        <v>0</v>
      </c>
      <c r="M58" t="n">
        <v>1</v>
      </c>
      <c r="N58" t="n">
        <v>0</v>
      </c>
      <c r="O58" t="n">
        <v>0</v>
      </c>
      <c r="P58" t="n">
        <v>0</v>
      </c>
      <c r="Q58" t="n">
        <v>1</v>
      </c>
      <c r="R58" t="n">
        <v>1</v>
      </c>
      <c r="S58" t="n">
        <v>2</v>
      </c>
      <c r="T58" t="n">
        <v>2</v>
      </c>
      <c r="U58" s="2" t="inlineStr">
        <is>
          <t>Knärot
Rödgul trumpetsvamp</t>
        </is>
      </c>
      <c r="V58">
        <f>HYPERLINK("https://klasma.github.io/Logging_2081/artfynd/A 42040-2023 artfynd.xlsx", "A 42040-2023")</f>
        <v/>
      </c>
      <c r="W58">
        <f>HYPERLINK("https://klasma.github.io/Logging_2081/kartor/A 42040-2023 karta.png", "A 42040-2023")</f>
        <v/>
      </c>
      <c r="X58">
        <f>HYPERLINK("https://klasma.github.io/Logging_2081/knärot/A 42040-2023 karta knärot.png", "A 42040-2023")</f>
        <v/>
      </c>
      <c r="Y58">
        <f>HYPERLINK("https://klasma.github.io/Logging_2081/klagomål/A 42040-2023 FSC-klagomål.docx", "A 42040-2023")</f>
        <v/>
      </c>
      <c r="Z58">
        <f>HYPERLINK("https://klasma.github.io/Logging_2081/klagomålsmail/A 42040-2023 FSC-klagomål mail.docx", "A 42040-2023")</f>
        <v/>
      </c>
      <c r="AA58">
        <f>HYPERLINK("https://klasma.github.io/Logging_2081/tillsyn/A 42040-2023 tillsynsbegäran.docx", "A 42040-2023")</f>
        <v/>
      </c>
      <c r="AB58">
        <f>HYPERLINK("https://klasma.github.io/Logging_2081/tillsynsmail/A 42040-2023 tillsynsbegäran mail.docx", "A 42040-2023")</f>
        <v/>
      </c>
    </row>
    <row r="59" ht="15" customHeight="1">
      <c r="A59" t="inlineStr">
        <is>
          <t>A 37723-2024</t>
        </is>
      </c>
      <c r="B59" t="inlineStr">
        <is>
          <t>avverkningsanmälan</t>
        </is>
      </c>
      <c r="C59" t="inlineStr">
        <is>
          <t>Föryngringsavverkning</t>
        </is>
      </c>
      <c r="D59" s="1" t="n">
        <v>45541</v>
      </c>
      <c r="E59" s="1" t="n">
        <v>46218</v>
      </c>
      <c r="F59" t="inlineStr">
        <is>
          <t>DALARNAS LÄN</t>
        </is>
      </c>
      <c r="G59" t="inlineStr">
        <is>
          <t>BORLÄNGE</t>
        </is>
      </c>
      <c r="I59" t="n">
        <v>1.4</v>
      </c>
      <c r="J59" t="n">
        <v>0</v>
      </c>
      <c r="K59" t="n">
        <v>0</v>
      </c>
      <c r="L59" t="n">
        <v>2</v>
      </c>
      <c r="M59" t="n">
        <v>0</v>
      </c>
      <c r="N59" t="n">
        <v>0</v>
      </c>
      <c r="O59" t="n">
        <v>0</v>
      </c>
      <c r="P59" t="n">
        <v>0</v>
      </c>
      <c r="Q59" t="n">
        <v>2</v>
      </c>
      <c r="R59" t="n">
        <v>0</v>
      </c>
      <c r="S59" t="n">
        <v>2</v>
      </c>
      <c r="T59" t="n">
        <v>2</v>
      </c>
      <c r="U59" s="2" t="inlineStr">
        <is>
          <t>Rosenticka
Ullticka</t>
        </is>
      </c>
      <c r="V59">
        <f>HYPERLINK("https://klasma.github.io/Logging_2081/artfynd/A 37723-2024 artfynd.xlsx", "A 37723-2024")</f>
        <v/>
      </c>
      <c r="W59">
        <f>HYPERLINK("https://klasma.github.io/Logging_2081/kartor/A 37723-2024 karta.png", "A 37723-2024")</f>
        <v/>
      </c>
      <c r="Y59">
        <f>HYPERLINK("https://klasma.github.io/Logging_2081/klagomål/A 37723-2024 FSC-klagomål.docx", "A 37723-2024")</f>
        <v/>
      </c>
      <c r="Z59">
        <f>HYPERLINK("https://klasma.github.io/Logging_2081/klagomålsmail/A 37723-2024 FSC-klagomål mail.docx", "A 37723-2024")</f>
        <v/>
      </c>
      <c r="AA59">
        <f>HYPERLINK("https://klasma.github.io/Logging_2081/tillsyn/A 37723-2024 tillsynsbegäran.docx", "A 37723-2024")</f>
        <v/>
      </c>
      <c r="AB59">
        <f>HYPERLINK("https://klasma.github.io/Logging_2081/tillsynsmail/A 37723-2024 tillsynsbegäran mail.docx", "A 37723-2024")</f>
        <v/>
      </c>
    </row>
    <row r="60" ht="15" customHeight="1">
      <c r="A60" t="inlineStr">
        <is>
          <t>A 40578-2021</t>
        </is>
      </c>
      <c r="B60" t="inlineStr">
        <is>
          <t>avverkningsanmälan</t>
        </is>
      </c>
      <c r="C60" t="inlineStr">
        <is>
          <t>Föryngringsavverkning</t>
        </is>
      </c>
      <c r="D60" s="1" t="n">
        <v>44420</v>
      </c>
      <c r="E60" s="1" t="n">
        <v>46218</v>
      </c>
      <c r="F60" t="inlineStr">
        <is>
          <t>DALARNAS LÄN</t>
        </is>
      </c>
      <c r="G60" t="inlineStr">
        <is>
          <t>BORLÄNGE</t>
        </is>
      </c>
      <c r="I60" t="n">
        <v>3.8</v>
      </c>
      <c r="J60" t="n">
        <v>2</v>
      </c>
      <c r="K60" t="n">
        <v>0</v>
      </c>
      <c r="L60" t="n">
        <v>0</v>
      </c>
      <c r="M60" t="n">
        <v>1</v>
      </c>
      <c r="N60" t="n">
        <v>0</v>
      </c>
      <c r="O60" t="n">
        <v>0</v>
      </c>
      <c r="P60" t="n">
        <v>0</v>
      </c>
      <c r="Q60" t="n">
        <v>1</v>
      </c>
      <c r="R60" t="n">
        <v>1</v>
      </c>
      <c r="S60" t="n">
        <v>2</v>
      </c>
      <c r="T60" t="n">
        <v>3</v>
      </c>
      <c r="U60" s="2" t="inlineStr">
        <is>
          <t>Knärot
Revlummer</t>
        </is>
      </c>
      <c r="V60">
        <f>HYPERLINK("https://klasma.github.io/Logging_2081/artfynd/A 40578-2021 artfynd.xlsx", "A 40578-2021")</f>
        <v/>
      </c>
      <c r="W60">
        <f>HYPERLINK("https://klasma.github.io/Logging_2081/kartor/A 40578-2021 karta.png", "A 40578-2021")</f>
        <v/>
      </c>
      <c r="X60">
        <f>HYPERLINK("https://klasma.github.io/Logging_2081/knärot/A 40578-2021 karta knärot.png", "A 40578-2021")</f>
        <v/>
      </c>
      <c r="Y60">
        <f>HYPERLINK("https://klasma.github.io/Logging_2081/klagomål/A 40578-2021 FSC-klagomål.docx", "A 40578-2021")</f>
        <v/>
      </c>
      <c r="Z60">
        <f>HYPERLINK("https://klasma.github.io/Logging_2081/klagomålsmail/A 40578-2021 FSC-klagomål mail.docx", "A 40578-2021")</f>
        <v/>
      </c>
      <c r="AA60">
        <f>HYPERLINK("https://klasma.github.io/Logging_2081/tillsyn/A 40578-2021 tillsynsbegäran.docx", "A 40578-2021")</f>
        <v/>
      </c>
      <c r="AB60">
        <f>HYPERLINK("https://klasma.github.io/Logging_2081/tillsynsmail/A 40578-2021 tillsynsbegäran mail.docx", "A 40578-2021")</f>
        <v/>
      </c>
    </row>
    <row r="61" ht="15" customHeight="1">
      <c r="A61" t="inlineStr">
        <is>
          <t>A 51953-2025</t>
        </is>
      </c>
      <c r="B61" t="inlineStr">
        <is>
          <t>avverkningsanmälan</t>
        </is>
      </c>
      <c r="C61" t="inlineStr">
        <is>
          <t>Föryngringsavverkning</t>
        </is>
      </c>
      <c r="D61" s="1" t="n">
        <v>45952</v>
      </c>
      <c r="E61" s="1" t="n">
        <v>46218</v>
      </c>
      <c r="F61" t="inlineStr">
        <is>
          <t>DALARNAS LÄN</t>
        </is>
      </c>
      <c r="G61" t="inlineStr">
        <is>
          <t>BORLÄNGE</t>
        </is>
      </c>
      <c r="I61" t="n">
        <v>2.2</v>
      </c>
      <c r="J61" t="n">
        <v>0</v>
      </c>
      <c r="K61" t="n">
        <v>0</v>
      </c>
      <c r="L61" t="n">
        <v>1</v>
      </c>
      <c r="M61" t="n">
        <v>1</v>
      </c>
      <c r="N61" t="n">
        <v>0</v>
      </c>
      <c r="O61" t="n">
        <v>0</v>
      </c>
      <c r="P61" t="n">
        <v>0</v>
      </c>
      <c r="Q61" t="n">
        <v>2</v>
      </c>
      <c r="R61" t="n">
        <v>1</v>
      </c>
      <c r="S61" t="n">
        <v>2</v>
      </c>
      <c r="T61" t="n">
        <v>2</v>
      </c>
      <c r="U61" s="2" t="inlineStr">
        <is>
          <t>Skrovlig taggsvamp
Dropptaggsvamp</t>
        </is>
      </c>
      <c r="V61">
        <f>HYPERLINK("https://klasma.github.io/Logging_2081/artfynd/A 51953-2025 artfynd.xlsx", "A 51953-2025")</f>
        <v/>
      </c>
      <c r="W61">
        <f>HYPERLINK("https://klasma.github.io/Logging_2081/kartor/A 51953-2025 karta.png", "A 51953-2025")</f>
        <v/>
      </c>
      <c r="Y61">
        <f>HYPERLINK("https://klasma.github.io/Logging_2081/klagomål/A 51953-2025 FSC-klagomål.docx", "A 51953-2025")</f>
        <v/>
      </c>
      <c r="Z61">
        <f>HYPERLINK("https://klasma.github.io/Logging_2081/klagomålsmail/A 51953-2025 FSC-klagomål mail.docx", "A 51953-2025")</f>
        <v/>
      </c>
      <c r="AA61">
        <f>HYPERLINK("https://klasma.github.io/Logging_2081/tillsyn/A 51953-2025 tillsynsbegäran.docx", "A 51953-2025")</f>
        <v/>
      </c>
      <c r="AB61">
        <f>HYPERLINK("https://klasma.github.io/Logging_2081/tillsynsmail/A 51953-2025 tillsynsbegäran mail.docx", "A 51953-2025")</f>
        <v/>
      </c>
    </row>
    <row r="62" ht="15" customHeight="1">
      <c r="A62" t="inlineStr">
        <is>
          <t>A 23652-2023</t>
        </is>
      </c>
      <c r="B62" t="inlineStr">
        <is>
          <t>avverkningsanmälan</t>
        </is>
      </c>
      <c r="C62" t="inlineStr">
        <is>
          <t>Avverkning för annat ändamål</t>
        </is>
      </c>
      <c r="D62" s="1" t="n">
        <v>45074</v>
      </c>
      <c r="E62" s="1" t="n">
        <v>46218</v>
      </c>
      <c r="F62" t="inlineStr">
        <is>
          <t>DALARNAS LÄN</t>
        </is>
      </c>
      <c r="G62" t="inlineStr">
        <is>
          <t>BORLÄNGE</t>
        </is>
      </c>
      <c r="I62" t="n">
        <v>1.4</v>
      </c>
      <c r="J62" t="n">
        <v>1</v>
      </c>
      <c r="K62" t="n">
        <v>1</v>
      </c>
      <c r="L62" t="n">
        <v>0</v>
      </c>
      <c r="M62" t="n">
        <v>0</v>
      </c>
      <c r="N62" t="n">
        <v>0</v>
      </c>
      <c r="O62" t="n">
        <v>0</v>
      </c>
      <c r="P62" t="n">
        <v>0</v>
      </c>
      <c r="Q62" t="n">
        <v>0</v>
      </c>
      <c r="R62" t="n">
        <v>0</v>
      </c>
      <c r="S62" t="n">
        <v>2</v>
      </c>
      <c r="T62" t="n">
        <v>2</v>
      </c>
      <c r="U62" s="2" t="inlineStr">
        <is>
          <t>Tibast
Spillkråka</t>
        </is>
      </c>
      <c r="V62">
        <f>HYPERLINK("https://klasma.github.io/Logging_2081/artfynd/A 23652-2023 artfynd.xlsx", "A 23652-2023")</f>
        <v/>
      </c>
      <c r="W62">
        <f>HYPERLINK("https://klasma.github.io/Logging_2081/kartor/A 23652-2023 karta.png", "A 23652-2023")</f>
        <v/>
      </c>
      <c r="Y62">
        <f>HYPERLINK("https://klasma.github.io/Logging_2081/klagomål/A 23652-2023 FSC-klagomål.docx", "A 23652-2023")</f>
        <v/>
      </c>
      <c r="Z62">
        <f>HYPERLINK("https://klasma.github.io/Logging_2081/klagomålsmail/A 23652-2023 FSC-klagomål mail.docx", "A 23652-2023")</f>
        <v/>
      </c>
      <c r="AA62">
        <f>HYPERLINK("https://klasma.github.io/Logging_2081/tillsyn/A 23652-2023 tillsynsbegäran.docx", "A 23652-2023")</f>
        <v/>
      </c>
      <c r="AB62">
        <f>HYPERLINK("https://klasma.github.io/Logging_2081/tillsynsmail/A 23652-2023 tillsynsbegäran mail.docx", "A 23652-2023")</f>
        <v/>
      </c>
      <c r="AC62">
        <f>HYPERLINK("https://klasma.github.io/Logging_2081/fåglar/A 23652-2023 prioriterade fågelarter.docx", "A 23652-2023")</f>
        <v/>
      </c>
    </row>
    <row r="63" ht="15" customHeight="1">
      <c r="A63" t="inlineStr">
        <is>
          <t>A 8504-2025</t>
        </is>
      </c>
      <c r="B63" t="inlineStr">
        <is>
          <t>avverkningsanmälan</t>
        </is>
      </c>
      <c r="C63" t="inlineStr">
        <is>
          <t>Avverkning för annat ändamål</t>
        </is>
      </c>
      <c r="D63" s="1" t="n">
        <v>45709</v>
      </c>
      <c r="E63" s="1" t="n">
        <v>46218</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s="2" t="inlineStr">
        <is>
          <t>Vanlig groda
Nattviol</t>
        </is>
      </c>
      <c r="V63">
        <f>HYPERLINK("https://klasma.github.io/Logging_2081/artfynd/A 8504-2025 artfynd.xlsx", "A 8504-2025")</f>
        <v/>
      </c>
      <c r="W63">
        <f>HYPERLINK("https://klasma.github.io/Logging_2081/kartor/A 8504-2025 karta.png", "A 8504-2025")</f>
        <v/>
      </c>
      <c r="Y63">
        <f>HYPERLINK("https://klasma.github.io/Logging_2081/klagomål/A 8504-2025 FSC-klagomål.docx", "A 8504-2025")</f>
        <v/>
      </c>
      <c r="Z63">
        <f>HYPERLINK("https://klasma.github.io/Logging_2081/klagomålsmail/A 8504-2025 FSC-klagomål mail.docx", "A 8504-2025")</f>
        <v/>
      </c>
      <c r="AA63">
        <f>HYPERLINK("https://klasma.github.io/Logging_2081/tillsyn/A 8504-2025 tillsynsbegäran.docx", "A 8504-2025")</f>
        <v/>
      </c>
      <c r="AB63">
        <f>HYPERLINK("https://klasma.github.io/Logging_2081/tillsynsmail/A 8504-2025 tillsynsbegäran mail.docx", "A 8504-2025")</f>
        <v/>
      </c>
    </row>
    <row r="64" ht="15" customHeight="1">
      <c r="A64" t="inlineStr">
        <is>
          <t>A 24594-2025</t>
        </is>
      </c>
      <c r="B64" t="inlineStr">
        <is>
          <t>avverkningsanmälan</t>
        </is>
      </c>
      <c r="C64" t="inlineStr">
        <is>
          <t>Föryngringsavverkning</t>
        </is>
      </c>
      <c r="D64" s="1" t="n">
        <v>45798</v>
      </c>
      <c r="E64" s="1" t="n">
        <v>46218</v>
      </c>
      <c r="F64" t="inlineStr">
        <is>
          <t>DALARNAS LÄN</t>
        </is>
      </c>
      <c r="G64" t="inlineStr">
        <is>
          <t>BORLÄNGE</t>
        </is>
      </c>
      <c r="I64" t="n">
        <v>1.6</v>
      </c>
      <c r="J64" t="n">
        <v>0</v>
      </c>
      <c r="K64" t="n">
        <v>1</v>
      </c>
      <c r="L64" t="n">
        <v>1</v>
      </c>
      <c r="M64" t="n">
        <v>0</v>
      </c>
      <c r="N64" t="n">
        <v>0</v>
      </c>
      <c r="O64" t="n">
        <v>0</v>
      </c>
      <c r="P64" t="n">
        <v>0</v>
      </c>
      <c r="Q64" t="n">
        <v>1</v>
      </c>
      <c r="R64" t="n">
        <v>0</v>
      </c>
      <c r="S64" t="n">
        <v>2</v>
      </c>
      <c r="T64" t="n">
        <v>3</v>
      </c>
      <c r="U64" s="2" t="inlineStr">
        <is>
          <t>Ullticka
Rödgul trumpetsvamp</t>
        </is>
      </c>
      <c r="V64">
        <f>HYPERLINK("https://klasma.github.io/Logging_2081/artfynd/A 24594-2025 artfynd.xlsx", "A 24594-2025")</f>
        <v/>
      </c>
      <c r="W64">
        <f>HYPERLINK("https://klasma.github.io/Logging_2081/kartor/A 24594-2025 karta.png", "A 24594-2025")</f>
        <v/>
      </c>
      <c r="Y64">
        <f>HYPERLINK("https://klasma.github.io/Logging_2081/klagomål/A 24594-2025 FSC-klagomål.docx", "A 24594-2025")</f>
        <v/>
      </c>
      <c r="Z64">
        <f>HYPERLINK("https://klasma.github.io/Logging_2081/klagomålsmail/A 24594-2025 FSC-klagomål mail.docx", "A 24594-2025")</f>
        <v/>
      </c>
      <c r="AA64">
        <f>HYPERLINK("https://klasma.github.io/Logging_2081/tillsyn/A 24594-2025 tillsynsbegäran.docx", "A 24594-2025")</f>
        <v/>
      </c>
      <c r="AB64">
        <f>HYPERLINK("https://klasma.github.io/Logging_2081/tillsynsmail/A 24594-2025 tillsynsbegäran mail.docx", "A 24594-2025")</f>
        <v/>
      </c>
    </row>
    <row r="65" ht="15" customHeight="1">
      <c r="A65" t="inlineStr">
        <is>
          <t>A 4682-2025</t>
        </is>
      </c>
      <c r="B65" t="inlineStr">
        <is>
          <t>avverkningsanmälan</t>
        </is>
      </c>
      <c r="C65" t="inlineStr">
        <is>
          <t>Föryngringsavverkning</t>
        </is>
      </c>
      <c r="D65" s="1" t="n">
        <v>45687</v>
      </c>
      <c r="E65" s="1" t="n">
        <v>46218</v>
      </c>
      <c r="F65" t="inlineStr">
        <is>
          <t>DALARNAS LÄN</t>
        </is>
      </c>
      <c r="G65" t="inlineStr">
        <is>
          <t>BORLÄNGE</t>
        </is>
      </c>
      <c r="I65" t="n">
        <v>0.6</v>
      </c>
      <c r="J65" t="n">
        <v>1</v>
      </c>
      <c r="K65" t="n">
        <v>1</v>
      </c>
      <c r="L65" t="n">
        <v>0</v>
      </c>
      <c r="M65" t="n">
        <v>0</v>
      </c>
      <c r="N65" t="n">
        <v>0</v>
      </c>
      <c r="O65" t="n">
        <v>0</v>
      </c>
      <c r="P65" t="n">
        <v>0</v>
      </c>
      <c r="Q65" t="n">
        <v>0</v>
      </c>
      <c r="R65" t="n">
        <v>0</v>
      </c>
      <c r="S65" t="n">
        <v>2</v>
      </c>
      <c r="T65" t="n">
        <v>2</v>
      </c>
      <c r="U65" s="2" t="inlineStr">
        <is>
          <t>Vedticka
Tjäder</t>
        </is>
      </c>
      <c r="V65">
        <f>HYPERLINK("https://klasma.github.io/Logging_2081/artfynd/A 4682-2025 artfynd.xlsx", "A 4682-2025")</f>
        <v/>
      </c>
      <c r="W65">
        <f>HYPERLINK("https://klasma.github.io/Logging_2081/kartor/A 4682-2025 karta.png", "A 4682-2025")</f>
        <v/>
      </c>
      <c r="Y65">
        <f>HYPERLINK("https://klasma.github.io/Logging_2081/klagomål/A 4682-2025 FSC-klagomål.docx", "A 4682-2025")</f>
        <v/>
      </c>
      <c r="Z65">
        <f>HYPERLINK("https://klasma.github.io/Logging_2081/klagomålsmail/A 4682-2025 FSC-klagomål mail.docx", "A 4682-2025")</f>
        <v/>
      </c>
      <c r="AA65">
        <f>HYPERLINK("https://klasma.github.io/Logging_2081/tillsyn/A 4682-2025 tillsynsbegäran.docx", "A 4682-2025")</f>
        <v/>
      </c>
      <c r="AB65">
        <f>HYPERLINK("https://klasma.github.io/Logging_2081/tillsynsmail/A 4682-2025 tillsynsbegäran mail.docx", "A 4682-2025")</f>
        <v/>
      </c>
      <c r="AC65">
        <f>HYPERLINK("https://klasma.github.io/Logging_2081/fåglar/A 4682-2025 prioriterade fågelarter.docx", "A 4682-2025")</f>
        <v/>
      </c>
    </row>
    <row r="66" ht="15" customHeight="1">
      <c r="A66" t="inlineStr">
        <is>
          <t>A 39377-2024</t>
        </is>
      </c>
      <c r="B66" t="inlineStr">
        <is>
          <t>avverkningsanmälan</t>
        </is>
      </c>
      <c r="C66" t="inlineStr">
        <is>
          <t>Föryngringsavverkning</t>
        </is>
      </c>
      <c r="D66" s="1" t="n">
        <v>45551</v>
      </c>
      <c r="E66" s="1" t="n">
        <v>46218</v>
      </c>
      <c r="F66" t="inlineStr">
        <is>
          <t>DALARNAS LÄN</t>
        </is>
      </c>
      <c r="G66" t="inlineStr">
        <is>
          <t>BORLÄNGE</t>
        </is>
      </c>
      <c r="I66" t="n">
        <v>1</v>
      </c>
      <c r="J66" t="n">
        <v>0</v>
      </c>
      <c r="K66" t="n">
        <v>0</v>
      </c>
      <c r="L66" t="n">
        <v>2</v>
      </c>
      <c r="M66" t="n">
        <v>0</v>
      </c>
      <c r="N66" t="n">
        <v>0</v>
      </c>
      <c r="O66" t="n">
        <v>0</v>
      </c>
      <c r="P66" t="n">
        <v>0</v>
      </c>
      <c r="Q66" t="n">
        <v>2</v>
      </c>
      <c r="R66" t="n">
        <v>0</v>
      </c>
      <c r="S66" t="n">
        <v>2</v>
      </c>
      <c r="T66" t="n">
        <v>2</v>
      </c>
      <c r="U66" s="2" t="inlineStr">
        <is>
          <t>Rosenticka
Ullticka</t>
        </is>
      </c>
      <c r="V66">
        <f>HYPERLINK("https://klasma.github.io/Logging_2081/artfynd/A 39377-2024 artfynd.xlsx", "A 39377-2024")</f>
        <v/>
      </c>
      <c r="W66">
        <f>HYPERLINK("https://klasma.github.io/Logging_2081/kartor/A 39377-2024 karta.png", "A 39377-2024")</f>
        <v/>
      </c>
      <c r="Y66">
        <f>HYPERLINK("https://klasma.github.io/Logging_2081/klagomål/A 39377-2024 FSC-klagomål.docx", "A 39377-2024")</f>
        <v/>
      </c>
      <c r="Z66">
        <f>HYPERLINK("https://klasma.github.io/Logging_2081/klagomålsmail/A 39377-2024 FSC-klagomål mail.docx", "A 39377-2024")</f>
        <v/>
      </c>
      <c r="AA66">
        <f>HYPERLINK("https://klasma.github.io/Logging_2081/tillsyn/A 39377-2024 tillsynsbegäran.docx", "A 39377-2024")</f>
        <v/>
      </c>
      <c r="AB66">
        <f>HYPERLINK("https://klasma.github.io/Logging_2081/tillsynsmail/A 39377-2024 tillsynsbegäran mail.docx", "A 39377-2024")</f>
        <v/>
      </c>
    </row>
    <row r="67" ht="15" customHeight="1">
      <c r="A67" t="inlineStr">
        <is>
          <t>A 3515-2023</t>
        </is>
      </c>
      <c r="B67" t="inlineStr">
        <is>
          <t>avverkningsanmälan</t>
        </is>
      </c>
      <c r="C67" t="inlineStr">
        <is>
          <t>Föryngringsavverkning</t>
        </is>
      </c>
      <c r="D67" s="1" t="n">
        <v>44950</v>
      </c>
      <c r="E67" s="1" t="n">
        <v>46218</v>
      </c>
      <c r="F67" t="inlineStr">
        <is>
          <t>DALARNAS LÄN</t>
        </is>
      </c>
      <c r="G67" t="inlineStr">
        <is>
          <t>BORLÄNGE</t>
        </is>
      </c>
      <c r="I67" t="n">
        <v>2.8</v>
      </c>
      <c r="J67" t="n">
        <v>2</v>
      </c>
      <c r="K67" t="n">
        <v>0</v>
      </c>
      <c r="L67" t="n">
        <v>2</v>
      </c>
      <c r="M67" t="n">
        <v>0</v>
      </c>
      <c r="N67" t="n">
        <v>0</v>
      </c>
      <c r="O67" t="n">
        <v>0</v>
      </c>
      <c r="P67" t="n">
        <v>0</v>
      </c>
      <c r="Q67" t="n">
        <v>2</v>
      </c>
      <c r="R67" t="n">
        <v>0</v>
      </c>
      <c r="S67" t="n">
        <v>2</v>
      </c>
      <c r="T67" t="n">
        <v>2</v>
      </c>
      <c r="U67" s="2" t="inlineStr">
        <is>
          <t>Gulsparv
Rödvingetrast</t>
        </is>
      </c>
      <c r="V67">
        <f>HYPERLINK("https://klasma.github.io/Logging_2081/artfynd/A 3515-2023 artfynd.xlsx", "A 3515-2023")</f>
        <v/>
      </c>
      <c r="W67">
        <f>HYPERLINK("https://klasma.github.io/Logging_2081/kartor/A 3515-2023 karta.png", "A 3515-2023")</f>
        <v/>
      </c>
      <c r="Y67">
        <f>HYPERLINK("https://klasma.github.io/Logging_2081/klagomål/A 3515-2023 FSC-klagomål.docx", "A 3515-2023")</f>
        <v/>
      </c>
      <c r="Z67">
        <f>HYPERLINK("https://klasma.github.io/Logging_2081/klagomålsmail/A 3515-2023 FSC-klagomål mail.docx", "A 3515-2023")</f>
        <v/>
      </c>
      <c r="AA67">
        <f>HYPERLINK("https://klasma.github.io/Logging_2081/tillsyn/A 3515-2023 tillsynsbegäran.docx", "A 3515-2023")</f>
        <v/>
      </c>
      <c r="AB67">
        <f>HYPERLINK("https://klasma.github.io/Logging_2081/tillsynsmail/A 3515-2023 tillsynsbegäran mail.docx", "A 3515-2023")</f>
        <v/>
      </c>
      <c r="AC67">
        <f>HYPERLINK("https://klasma.github.io/Logging_2081/fåglar/A 3515-2023 prioriterade fågelarter.docx", "A 3515-2023")</f>
        <v/>
      </c>
    </row>
    <row r="68" ht="15" customHeight="1">
      <c r="A68" t="inlineStr">
        <is>
          <t>A 10740-2024</t>
        </is>
      </c>
      <c r="B68" t="inlineStr">
        <is>
          <t>avverkningsanmälan</t>
        </is>
      </c>
      <c r="C68" t="inlineStr">
        <is>
          <t>Föryngringsavverkning</t>
        </is>
      </c>
      <c r="D68" s="1" t="n">
        <v>45369</v>
      </c>
      <c r="E68" s="1" t="n">
        <v>46218</v>
      </c>
      <c r="F68" t="inlineStr">
        <is>
          <t>DALARNAS LÄN</t>
        </is>
      </c>
      <c r="G68" t="inlineStr">
        <is>
          <t>BORLÄNGE</t>
        </is>
      </c>
      <c r="I68" t="n">
        <v>1</v>
      </c>
      <c r="J68" t="n">
        <v>0</v>
      </c>
      <c r="K68" t="n">
        <v>0</v>
      </c>
      <c r="L68" t="n">
        <v>1</v>
      </c>
      <c r="M68" t="n">
        <v>1</v>
      </c>
      <c r="N68" t="n">
        <v>0</v>
      </c>
      <c r="O68" t="n">
        <v>0</v>
      </c>
      <c r="P68" t="n">
        <v>0</v>
      </c>
      <c r="Q68" t="n">
        <v>2</v>
      </c>
      <c r="R68" t="n">
        <v>1</v>
      </c>
      <c r="S68" t="n">
        <v>2</v>
      </c>
      <c r="T68" t="n">
        <v>2</v>
      </c>
      <c r="U68" s="2" t="inlineStr">
        <is>
          <t>Skrovlig taggsvamp
Ullticka</t>
        </is>
      </c>
      <c r="V68">
        <f>HYPERLINK("https://klasma.github.io/Logging_2081/artfynd/A 10740-2024 artfynd.xlsx", "A 10740-2024")</f>
        <v/>
      </c>
      <c r="W68">
        <f>HYPERLINK("https://klasma.github.io/Logging_2081/kartor/A 10740-2024 karta.png", "A 10740-2024")</f>
        <v/>
      </c>
      <c r="Y68">
        <f>HYPERLINK("https://klasma.github.io/Logging_2081/klagomål/A 10740-2024 FSC-klagomål.docx", "A 10740-2024")</f>
        <v/>
      </c>
      <c r="Z68">
        <f>HYPERLINK("https://klasma.github.io/Logging_2081/klagomålsmail/A 10740-2024 FSC-klagomål mail.docx", "A 10740-2024")</f>
        <v/>
      </c>
      <c r="AA68">
        <f>HYPERLINK("https://klasma.github.io/Logging_2081/tillsyn/A 10740-2024 tillsynsbegäran.docx", "A 10740-2024")</f>
        <v/>
      </c>
      <c r="AB68">
        <f>HYPERLINK("https://klasma.github.io/Logging_2081/tillsynsmail/A 10740-2024 tillsynsbegäran mail.docx", "A 10740-2024")</f>
        <v/>
      </c>
    </row>
    <row r="69" ht="15" customHeight="1">
      <c r="A69" t="inlineStr">
        <is>
          <t>A 52510-2022</t>
        </is>
      </c>
      <c r="B69" t="inlineStr">
        <is>
          <t>avverkningsanmälan</t>
        </is>
      </c>
      <c r="C69" t="inlineStr">
        <is>
          <t>Föryngringsavverkning</t>
        </is>
      </c>
      <c r="D69" s="1" t="n">
        <v>44874</v>
      </c>
      <c r="E69" s="1" t="n">
        <v>46218</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s="2" t="inlineStr">
        <is>
          <t>Gränsticka
Vedticka</t>
        </is>
      </c>
      <c r="V69">
        <f>HYPERLINK("https://klasma.github.io/Logging_2081/artfynd/A 52510-2022 artfynd.xlsx", "A 52510-2022")</f>
        <v/>
      </c>
      <c r="W69">
        <f>HYPERLINK("https://klasma.github.io/Logging_2081/kartor/A 52510-2022 karta.png", "A 52510-2022")</f>
        <v/>
      </c>
      <c r="Y69">
        <f>HYPERLINK("https://klasma.github.io/Logging_2081/klagomål/A 52510-2022 FSC-klagomål.docx", "A 52510-2022")</f>
        <v/>
      </c>
      <c r="Z69">
        <f>HYPERLINK("https://klasma.github.io/Logging_2081/klagomålsmail/A 52510-2022 FSC-klagomål mail.docx", "A 52510-2022")</f>
        <v/>
      </c>
      <c r="AA69">
        <f>HYPERLINK("https://klasma.github.io/Logging_2081/tillsyn/A 52510-2022 tillsynsbegäran.docx", "A 52510-2022")</f>
        <v/>
      </c>
      <c r="AB69">
        <f>HYPERLINK("https://klasma.github.io/Logging_2081/tillsynsmail/A 52510-2022 tillsynsbegäran mail.docx", "A 52510-2022")</f>
        <v/>
      </c>
    </row>
    <row r="70" ht="15" customHeight="1">
      <c r="A70" t="inlineStr">
        <is>
          <t>A 35594-2022</t>
        </is>
      </c>
      <c r="B70" t="inlineStr">
        <is>
          <t>avverkningsanmälan</t>
        </is>
      </c>
      <c r="C70" t="inlineStr">
        <is>
          <t>Föryngringsavverkning</t>
        </is>
      </c>
      <c r="D70" s="1" t="n">
        <v>44799</v>
      </c>
      <c r="E70" s="1" t="n">
        <v>46218</v>
      </c>
      <c r="F70" t="inlineStr">
        <is>
          <t>DALARNAS LÄN</t>
        </is>
      </c>
      <c r="G70" t="inlineStr">
        <is>
          <t>BORLÄNGE</t>
        </is>
      </c>
      <c r="H70" t="inlineStr">
        <is>
          <t>Bergvik skog väst AB</t>
        </is>
      </c>
      <c r="I70" t="n">
        <v>1.7</v>
      </c>
      <c r="J70" t="n">
        <v>0</v>
      </c>
      <c r="K70" t="n">
        <v>0</v>
      </c>
      <c r="L70" t="n">
        <v>2</v>
      </c>
      <c r="M70" t="n">
        <v>0</v>
      </c>
      <c r="N70" t="n">
        <v>0</v>
      </c>
      <c r="O70" t="n">
        <v>0</v>
      </c>
      <c r="P70" t="n">
        <v>0</v>
      </c>
      <c r="Q70" t="n">
        <v>2</v>
      </c>
      <c r="R70" t="n">
        <v>0</v>
      </c>
      <c r="S70" t="n">
        <v>2</v>
      </c>
      <c r="T70" t="n">
        <v>2</v>
      </c>
      <c r="U70" s="2" t="inlineStr">
        <is>
          <t>Rynkskinn
Ullticka</t>
        </is>
      </c>
      <c r="V70">
        <f>HYPERLINK("https://klasma.github.io/Logging_2081/artfynd/A 35594-2022 artfynd.xlsx", "A 35594-2022")</f>
        <v/>
      </c>
      <c r="W70">
        <f>HYPERLINK("https://klasma.github.io/Logging_2081/kartor/A 35594-2022 karta.png", "A 35594-2022")</f>
        <v/>
      </c>
      <c r="Y70">
        <f>HYPERLINK("https://klasma.github.io/Logging_2081/klagomål/A 35594-2022 FSC-klagomål.docx", "A 35594-2022")</f>
        <v/>
      </c>
      <c r="Z70">
        <f>HYPERLINK("https://klasma.github.io/Logging_2081/klagomålsmail/A 35594-2022 FSC-klagomål mail.docx", "A 35594-2022")</f>
        <v/>
      </c>
      <c r="AA70">
        <f>HYPERLINK("https://klasma.github.io/Logging_2081/tillsyn/A 35594-2022 tillsynsbegäran.docx", "A 35594-2022")</f>
        <v/>
      </c>
      <c r="AB70">
        <f>HYPERLINK("https://klasma.github.io/Logging_2081/tillsynsmail/A 35594-2022 tillsynsbegäran mail.docx", "A 35594-2022")</f>
        <v/>
      </c>
    </row>
    <row r="71" ht="15" customHeight="1">
      <c r="A71" t="inlineStr">
        <is>
          <t>A 90-2026</t>
        </is>
      </c>
      <c r="B71" t="inlineStr">
        <is>
          <t>avverkningsanmälan</t>
        </is>
      </c>
      <c r="C71" t="inlineStr">
        <is>
          <t>Föryngringsavverkning</t>
        </is>
      </c>
      <c r="D71" s="1" t="n">
        <v>46024</v>
      </c>
      <c r="E71" s="1" t="n">
        <v>46218</v>
      </c>
      <c r="F71" t="inlineStr">
        <is>
          <t>DALARNAS LÄN</t>
        </is>
      </c>
      <c r="G71" t="inlineStr">
        <is>
          <t>BORLÄNGE</t>
        </is>
      </c>
      <c r="I71" t="n">
        <v>8</v>
      </c>
      <c r="J71" t="n">
        <v>2</v>
      </c>
      <c r="K71" t="n">
        <v>0</v>
      </c>
      <c r="L71" t="n">
        <v>0</v>
      </c>
      <c r="M71" t="n">
        <v>0</v>
      </c>
      <c r="N71" t="n">
        <v>0</v>
      </c>
      <c r="O71" t="n">
        <v>0</v>
      </c>
      <c r="P71" t="n">
        <v>0</v>
      </c>
      <c r="Q71" t="n">
        <v>0</v>
      </c>
      <c r="R71" t="n">
        <v>0</v>
      </c>
      <c r="S71" t="n">
        <v>2</v>
      </c>
      <c r="T71" t="n">
        <v>5</v>
      </c>
      <c r="U71" s="2" t="inlineStr">
        <is>
          <t>Fläcknycklar
Revlummer</t>
        </is>
      </c>
      <c r="V71">
        <f>HYPERLINK("https://klasma.github.io/Logging_2081/artfynd/A 90-2026 artfynd.xlsx", "A 90-2026")</f>
        <v/>
      </c>
      <c r="W71">
        <f>HYPERLINK("https://klasma.github.io/Logging_2081/kartor/A 90-2026 karta.png", "A 90-2026")</f>
        <v/>
      </c>
      <c r="Y71">
        <f>HYPERLINK("https://klasma.github.io/Logging_2081/klagomål/A 90-2026 FSC-klagomål.docx", "A 90-2026")</f>
        <v/>
      </c>
      <c r="Z71">
        <f>HYPERLINK("https://klasma.github.io/Logging_2081/klagomålsmail/A 90-2026 FSC-klagomål mail.docx", "A 90-2026")</f>
        <v/>
      </c>
      <c r="AA71">
        <f>HYPERLINK("https://klasma.github.io/Logging_2081/tillsyn/A 90-2026 tillsynsbegäran.docx", "A 90-2026")</f>
        <v/>
      </c>
      <c r="AB71">
        <f>HYPERLINK("https://klasma.github.io/Logging_2081/tillsynsmail/A 90-2026 tillsynsbegäran mail.docx", "A 90-2026")</f>
        <v/>
      </c>
    </row>
    <row r="72" ht="15" customHeight="1">
      <c r="A72" t="inlineStr">
        <is>
          <t>A 28299-2026</t>
        </is>
      </c>
      <c r="B72" t="inlineStr">
        <is>
          <t>avverkningsanmälan</t>
        </is>
      </c>
      <c r="C72" t="inlineStr">
        <is>
          <t>Föryngringsavverkning</t>
        </is>
      </c>
      <c r="D72" s="1" t="n">
        <v>46196</v>
      </c>
      <c r="E72" s="1" t="n">
        <v>46218</v>
      </c>
      <c r="F72" t="inlineStr">
        <is>
          <t>DALARNAS LÄN</t>
        </is>
      </c>
      <c r="G72" t="inlineStr">
        <is>
          <t>BORLÄNGE</t>
        </is>
      </c>
      <c r="H72" t="inlineStr">
        <is>
          <t>Kommuner</t>
        </is>
      </c>
      <c r="I72" t="n">
        <v>9.199999999999999</v>
      </c>
      <c r="J72" t="n">
        <v>0</v>
      </c>
      <c r="K72" t="n">
        <v>1</v>
      </c>
      <c r="L72" t="n">
        <v>1</v>
      </c>
      <c r="M72" t="n">
        <v>0</v>
      </c>
      <c r="N72" t="n">
        <v>0</v>
      </c>
      <c r="O72" t="n">
        <v>0</v>
      </c>
      <c r="P72" t="n">
        <v>0</v>
      </c>
      <c r="Q72" t="n">
        <v>1</v>
      </c>
      <c r="R72" t="n">
        <v>0</v>
      </c>
      <c r="S72" t="n">
        <v>2</v>
      </c>
      <c r="T72" t="n">
        <v>2</v>
      </c>
      <c r="U72" s="2" t="inlineStr">
        <is>
          <t>Fjällig taggsvamp s.str.
Rödgul trumpetsvamp</t>
        </is>
      </c>
      <c r="V72">
        <f>HYPERLINK("https://klasma.github.io/Logging_2081/artfynd/A 28299-2026 artfynd.xlsx", "A 28299-2026")</f>
        <v/>
      </c>
      <c r="W72">
        <f>HYPERLINK("https://klasma.github.io/Logging_2081/kartor/A 28299-2026 karta.png", "A 28299-2026")</f>
        <v/>
      </c>
      <c r="Y72">
        <f>HYPERLINK("https://klasma.github.io/Logging_2081/klagomål/A 28299-2026 FSC-klagomål.docx", "A 28299-2026")</f>
        <v/>
      </c>
      <c r="Z72">
        <f>HYPERLINK("https://klasma.github.io/Logging_2081/klagomålsmail/A 28299-2026 FSC-klagomål mail.docx", "A 28299-2026")</f>
        <v/>
      </c>
      <c r="AA72">
        <f>HYPERLINK("https://klasma.github.io/Logging_2081/tillsyn/A 28299-2026 tillsynsbegäran.docx", "A 28299-2026")</f>
        <v/>
      </c>
      <c r="AB72">
        <f>HYPERLINK("https://klasma.github.io/Logging_2081/tillsynsmail/A 28299-2026 tillsynsbegäran mail.docx", "A 28299-2026")</f>
        <v/>
      </c>
    </row>
    <row r="73" ht="15" customHeight="1">
      <c r="A73" t="inlineStr">
        <is>
          <t>A 30369-2026</t>
        </is>
      </c>
      <c r="B73" t="inlineStr">
        <is>
          <t>avverkningsanmälan</t>
        </is>
      </c>
      <c r="C73" t="inlineStr">
        <is>
          <t>Föryngringsavverkning</t>
        </is>
      </c>
      <c r="D73" s="1" t="n">
        <v>46209</v>
      </c>
      <c r="E73" s="1" t="n">
        <v>46218</v>
      </c>
      <c r="F73" t="inlineStr">
        <is>
          <t>DALARNAS LÄN</t>
        </is>
      </c>
      <c r="G73" t="inlineStr">
        <is>
          <t>BORLÄNGE</t>
        </is>
      </c>
      <c r="I73" t="n">
        <v>0.8</v>
      </c>
      <c r="J73" t="n">
        <v>0</v>
      </c>
      <c r="K73" t="n">
        <v>1</v>
      </c>
      <c r="L73" t="n">
        <v>1</v>
      </c>
      <c r="M73" t="n">
        <v>0</v>
      </c>
      <c r="N73" t="n">
        <v>0</v>
      </c>
      <c r="O73" t="n">
        <v>0</v>
      </c>
      <c r="P73" t="n">
        <v>0</v>
      </c>
      <c r="Q73" t="n">
        <v>1</v>
      </c>
      <c r="R73" t="n">
        <v>0</v>
      </c>
      <c r="S73" t="n">
        <v>2</v>
      </c>
      <c r="T73" t="n">
        <v>2</v>
      </c>
      <c r="U73" s="2" t="inlineStr">
        <is>
          <t>Brunklöver
Hagfingersvamp</t>
        </is>
      </c>
      <c r="V73">
        <f>HYPERLINK("https://klasma.github.io/Logging_2081/artfynd/A 30369-2026 artfynd.xlsx", "A 30369-2026")</f>
        <v/>
      </c>
      <c r="W73">
        <f>HYPERLINK("https://klasma.github.io/Logging_2081/kartor/A 30369-2026 karta.png", "A 30369-2026")</f>
        <v/>
      </c>
      <c r="Y73">
        <f>HYPERLINK("https://klasma.github.io/Logging_2081/klagomål/A 30369-2026 FSC-klagomål.docx", "A 30369-2026")</f>
        <v/>
      </c>
      <c r="Z73">
        <f>HYPERLINK("https://klasma.github.io/Logging_2081/klagomålsmail/A 30369-2026 FSC-klagomål mail.docx", "A 30369-2026")</f>
        <v/>
      </c>
      <c r="AA73">
        <f>HYPERLINK("https://klasma.github.io/Logging_2081/tillsyn/A 30369-2026 tillsynsbegäran.docx", "A 30369-2026")</f>
        <v/>
      </c>
      <c r="AB73">
        <f>HYPERLINK("https://klasma.github.io/Logging_2081/tillsynsmail/A 30369-2026 tillsynsbegäran mail.docx", "A 30369-2026")</f>
        <v/>
      </c>
    </row>
    <row r="74" ht="15" customHeight="1">
      <c r="A74" t="inlineStr">
        <is>
          <t>A 23947-2026</t>
        </is>
      </c>
      <c r="B74" t="inlineStr">
        <is>
          <t>avverkningsanmälan</t>
        </is>
      </c>
      <c r="C74" t="inlineStr">
        <is>
          <t>Föryngringsavverkning</t>
        </is>
      </c>
      <c r="D74" s="1" t="n">
        <v>46167</v>
      </c>
      <c r="E74" s="1" t="n">
        <v>46218</v>
      </c>
      <c r="F74" t="inlineStr">
        <is>
          <t>DALARNAS LÄN</t>
        </is>
      </c>
      <c r="G74" t="inlineStr">
        <is>
          <t>BORLÄNGE</t>
        </is>
      </c>
      <c r="H74" t="inlineStr">
        <is>
          <t>Kommuner</t>
        </is>
      </c>
      <c r="I74" t="n">
        <v>3</v>
      </c>
      <c r="J74" t="n">
        <v>1</v>
      </c>
      <c r="K74" t="n">
        <v>0</v>
      </c>
      <c r="L74" t="n">
        <v>1</v>
      </c>
      <c r="M74" t="n">
        <v>0</v>
      </c>
      <c r="N74" t="n">
        <v>0</v>
      </c>
      <c r="O74" t="n">
        <v>0</v>
      </c>
      <c r="P74" t="n">
        <v>0</v>
      </c>
      <c r="Q74" t="n">
        <v>1</v>
      </c>
      <c r="R74" t="n">
        <v>0</v>
      </c>
      <c r="S74" t="n">
        <v>2</v>
      </c>
      <c r="T74" t="n">
        <v>3</v>
      </c>
      <c r="U74" s="2" t="inlineStr">
        <is>
          <t>Älg
Spillkråka</t>
        </is>
      </c>
      <c r="V74">
        <f>HYPERLINK("https://klasma.github.io/Logging_2081/artfynd/A 23947-2026 artfynd.xlsx", "A 23947-2026")</f>
        <v/>
      </c>
      <c r="W74">
        <f>HYPERLINK("https://klasma.github.io/Logging_2081/kartor/A 23947-2026 karta.png", "A 23947-2026")</f>
        <v/>
      </c>
      <c r="Y74">
        <f>HYPERLINK("https://klasma.github.io/Logging_2081/klagomål/A 23947-2026 FSC-klagomål.docx", "A 23947-2026")</f>
        <v/>
      </c>
      <c r="Z74">
        <f>HYPERLINK("https://klasma.github.io/Logging_2081/klagomålsmail/A 23947-2026 FSC-klagomål mail.docx", "A 23947-2026")</f>
        <v/>
      </c>
      <c r="AA74">
        <f>HYPERLINK("https://klasma.github.io/Logging_2081/tillsyn/A 23947-2026 tillsynsbegäran.docx", "A 23947-2026")</f>
        <v/>
      </c>
      <c r="AB74">
        <f>HYPERLINK("https://klasma.github.io/Logging_2081/tillsynsmail/A 23947-2026 tillsynsbegäran mail.docx", "A 23947-2026")</f>
        <v/>
      </c>
      <c r="AC74">
        <f>HYPERLINK("https://klasma.github.io/Logging_2081/fåglar/A 23947-2026 prioriterade fågelarter.docx", "A 23947-2026")</f>
        <v/>
      </c>
    </row>
    <row r="75" ht="15" customHeight="1">
      <c r="A75" t="inlineStr">
        <is>
          <t>A 21926-2023</t>
        </is>
      </c>
      <c r="B75" t="inlineStr">
        <is>
          <t>avverkningsanmälan</t>
        </is>
      </c>
      <c r="C75" t="inlineStr">
        <is>
          <t>Föryngringsavverkning</t>
        </is>
      </c>
      <c r="D75" s="1" t="n">
        <v>45068</v>
      </c>
      <c r="E75" s="1" t="n">
        <v>46218</v>
      </c>
      <c r="F75" t="inlineStr">
        <is>
          <t>DALARNAS LÄN</t>
        </is>
      </c>
      <c r="G75" t="inlineStr">
        <is>
          <t>BORLÄNGE</t>
        </is>
      </c>
      <c r="I75" t="n">
        <v>1.4</v>
      </c>
      <c r="J75" t="n">
        <v>1</v>
      </c>
      <c r="K75" t="n">
        <v>1</v>
      </c>
      <c r="L75" t="n">
        <v>0</v>
      </c>
      <c r="M75" t="n">
        <v>1</v>
      </c>
      <c r="N75" t="n">
        <v>0</v>
      </c>
      <c r="O75" t="n">
        <v>0</v>
      </c>
      <c r="P75" t="n">
        <v>0</v>
      </c>
      <c r="Q75" t="n">
        <v>1</v>
      </c>
      <c r="R75" t="n">
        <v>1</v>
      </c>
      <c r="S75" t="n">
        <v>2</v>
      </c>
      <c r="T75" t="n">
        <v>12</v>
      </c>
      <c r="U75" s="2" t="inlineStr">
        <is>
          <t>Knärot
Vedticka</t>
        </is>
      </c>
      <c r="V75">
        <f>HYPERLINK("https://klasma.github.io/Logging_2081/artfynd/A 21926-2023 artfynd.xlsx", "A 21926-2023")</f>
        <v/>
      </c>
      <c r="W75">
        <f>HYPERLINK("https://klasma.github.io/Logging_2081/kartor/A 21926-2023 karta.png", "A 21926-2023")</f>
        <v/>
      </c>
      <c r="X75">
        <f>HYPERLINK("https://klasma.github.io/Logging_2081/knärot/A 21926-2023 karta knärot.png", "A 21926-2023")</f>
        <v/>
      </c>
      <c r="Y75">
        <f>HYPERLINK("https://klasma.github.io/Logging_2081/klagomål/A 21926-2023 FSC-klagomål.docx", "A 21926-2023")</f>
        <v/>
      </c>
      <c r="Z75">
        <f>HYPERLINK("https://klasma.github.io/Logging_2081/klagomålsmail/A 21926-2023 FSC-klagomål mail.docx", "A 21926-2023")</f>
        <v/>
      </c>
      <c r="AA75">
        <f>HYPERLINK("https://klasma.github.io/Logging_2081/tillsyn/A 21926-2023 tillsynsbegäran.docx", "A 21926-2023")</f>
        <v/>
      </c>
      <c r="AB75">
        <f>HYPERLINK("https://klasma.github.io/Logging_2081/tillsynsmail/A 21926-2023 tillsynsbegäran mail.docx", "A 21926-2023")</f>
        <v/>
      </c>
    </row>
    <row r="76" ht="15" customHeight="1">
      <c r="A76" t="inlineStr">
        <is>
          <t>A 12490-2026</t>
        </is>
      </c>
      <c r="B76" t="inlineStr">
        <is>
          <t>avverkningsanmälan</t>
        </is>
      </c>
      <c r="C76" t="inlineStr">
        <is>
          <t>Föryngringsavverkning</t>
        </is>
      </c>
      <c r="D76" s="1" t="n">
        <v>46090</v>
      </c>
      <c r="E76" s="1" t="n">
        <v>46218</v>
      </c>
      <c r="F76" t="inlineStr">
        <is>
          <t>DALARNAS LÄN</t>
        </is>
      </c>
      <c r="G76" t="inlineStr">
        <is>
          <t>BORLÄNGE</t>
        </is>
      </c>
      <c r="I76" t="n">
        <v>7.7</v>
      </c>
      <c r="J76" t="n">
        <v>2</v>
      </c>
      <c r="K76" t="n">
        <v>0</v>
      </c>
      <c r="L76" t="n">
        <v>1</v>
      </c>
      <c r="M76" t="n">
        <v>0</v>
      </c>
      <c r="N76" t="n">
        <v>0</v>
      </c>
      <c r="O76" t="n">
        <v>0</v>
      </c>
      <c r="P76" t="n">
        <v>0</v>
      </c>
      <c r="Q76" t="n">
        <v>1</v>
      </c>
      <c r="R76" t="n">
        <v>0</v>
      </c>
      <c r="S76" t="n">
        <v>2</v>
      </c>
      <c r="T76" t="n">
        <v>6</v>
      </c>
      <c r="U76" s="2" t="inlineStr">
        <is>
          <t>Tretåig hackspett
Tjäder</t>
        </is>
      </c>
      <c r="V76">
        <f>HYPERLINK("https://klasma.github.io/Logging_2081/artfynd/A 12490-2026 artfynd.xlsx", "A 12490-2026")</f>
        <v/>
      </c>
      <c r="W76">
        <f>HYPERLINK("https://klasma.github.io/Logging_2081/kartor/A 12490-2026 karta.png", "A 12490-2026")</f>
        <v/>
      </c>
      <c r="Y76">
        <f>HYPERLINK("https://klasma.github.io/Logging_2081/klagomål/A 12490-2026 FSC-klagomål.docx", "A 12490-2026")</f>
        <v/>
      </c>
      <c r="Z76">
        <f>HYPERLINK("https://klasma.github.io/Logging_2081/klagomålsmail/A 12490-2026 FSC-klagomål mail.docx", "A 12490-2026")</f>
        <v/>
      </c>
      <c r="AA76">
        <f>HYPERLINK("https://klasma.github.io/Logging_2081/tillsyn/A 12490-2026 tillsynsbegäran.docx", "A 12490-2026")</f>
        <v/>
      </c>
      <c r="AB76">
        <f>HYPERLINK("https://klasma.github.io/Logging_2081/tillsynsmail/A 12490-2026 tillsynsbegäran mail.docx", "A 12490-2026")</f>
        <v/>
      </c>
      <c r="AC76">
        <f>HYPERLINK("https://klasma.github.io/Logging_2081/fåglar/A 12490-2026 prioriterade fågelarter.docx", "A 12490-2026")</f>
        <v/>
      </c>
    </row>
    <row r="77" ht="15" customHeight="1">
      <c r="A77" t="inlineStr">
        <is>
          <t>A 2303-2026</t>
        </is>
      </c>
      <c r="B77" t="inlineStr">
        <is>
          <t>avverkningsanmälan</t>
        </is>
      </c>
      <c r="C77" t="inlineStr">
        <is>
          <t>Föryngringsavverkning</t>
        </is>
      </c>
      <c r="D77" s="1" t="n">
        <v>46036</v>
      </c>
      <c r="E77" s="1" t="n">
        <v>46218</v>
      </c>
      <c r="F77" t="inlineStr">
        <is>
          <t>DALARNAS LÄN</t>
        </is>
      </c>
      <c r="G77" t="inlineStr">
        <is>
          <t>BORLÄNGE</t>
        </is>
      </c>
      <c r="I77" t="n">
        <v>6.8</v>
      </c>
      <c r="J77" t="n">
        <v>1</v>
      </c>
      <c r="K77" t="n">
        <v>0</v>
      </c>
      <c r="L77" t="n">
        <v>1</v>
      </c>
      <c r="M77" t="n">
        <v>0</v>
      </c>
      <c r="N77" t="n">
        <v>0</v>
      </c>
      <c r="O77" t="n">
        <v>0</v>
      </c>
      <c r="P77" t="n">
        <v>0</v>
      </c>
      <c r="Q77" t="n">
        <v>1</v>
      </c>
      <c r="R77" t="n">
        <v>0</v>
      </c>
      <c r="S77" t="n">
        <v>2</v>
      </c>
      <c r="T77" t="n">
        <v>2</v>
      </c>
      <c r="U77" s="2" t="inlineStr">
        <is>
          <t>Skarp dropptaggsvamp
Järpe</t>
        </is>
      </c>
      <c r="V77">
        <f>HYPERLINK("https://klasma.github.io/Logging_2081/artfynd/A 2303-2026 artfynd.xlsx", "A 2303-2026")</f>
        <v/>
      </c>
      <c r="W77">
        <f>HYPERLINK("https://klasma.github.io/Logging_2081/kartor/A 2303-2026 karta.png", "A 2303-2026")</f>
        <v/>
      </c>
      <c r="Y77">
        <f>HYPERLINK("https://klasma.github.io/Logging_2081/klagomål/A 2303-2026 FSC-klagomål.docx", "A 2303-2026")</f>
        <v/>
      </c>
      <c r="Z77">
        <f>HYPERLINK("https://klasma.github.io/Logging_2081/klagomålsmail/A 2303-2026 FSC-klagomål mail.docx", "A 2303-2026")</f>
        <v/>
      </c>
      <c r="AA77">
        <f>HYPERLINK("https://klasma.github.io/Logging_2081/tillsyn/A 2303-2026 tillsynsbegäran.docx", "A 2303-2026")</f>
        <v/>
      </c>
      <c r="AB77">
        <f>HYPERLINK("https://klasma.github.io/Logging_2081/tillsynsmail/A 2303-2026 tillsynsbegäran mail.docx", "A 2303-2026")</f>
        <v/>
      </c>
      <c r="AC77">
        <f>HYPERLINK("https://klasma.github.io/Logging_2081/fåglar/A 2303-2026 prioriterade fågelarter.docx", "A 2303-2026")</f>
        <v/>
      </c>
    </row>
    <row r="78" ht="15" customHeight="1">
      <c r="A78" t="inlineStr">
        <is>
          <t>S 3885-2023</t>
        </is>
      </c>
      <c r="B78" t="inlineStr">
        <is>
          <t>samrådsanmälan</t>
        </is>
      </c>
      <c r="C78" t="inlineStr">
        <is>
          <t>Annan skogsbruksåtgärd</t>
        </is>
      </c>
      <c r="D78" s="1" t="n">
        <v>45230</v>
      </c>
      <c r="E78" s="1" t="n">
        <v>46218</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s="2" t="inlineStr">
        <is>
          <t>Knärot
Dropptaggsvamp</t>
        </is>
      </c>
      <c r="V78">
        <f>HYPERLINK("https://klasma.github.io/Logging_2081/artfynd/S 3885-2023 artfynd.xlsx", "S 3885-2023")</f>
        <v/>
      </c>
      <c r="W78">
        <f>HYPERLINK("https://klasma.github.io/Logging_2081/kartor/S 3885-2023 karta.png", "S 3885-2023")</f>
        <v/>
      </c>
      <c r="X78">
        <f>HYPERLINK("https://klasma.github.io/Logging_2081/knärot/S 3885-2023 karta knärot.png", "S 3885-2023")</f>
        <v/>
      </c>
      <c r="Y78">
        <f>HYPERLINK("https://klasma.github.io/Logging_2081/klagomål/S 3885-2023 FSC-klagomål.docx", "S 3885-2023")</f>
        <v/>
      </c>
      <c r="Z78">
        <f>HYPERLINK("https://klasma.github.io/Logging_2081/klagomålsmail/S 3885-2023 FSC-klagomål mail.docx", "S 3885-2023")</f>
        <v/>
      </c>
      <c r="AA78">
        <f>HYPERLINK("https://klasma.github.io/Logging_2081/tillsyn/S 3885-2023 tillsynsbegäran.docx", "S 3885-2023")</f>
        <v/>
      </c>
      <c r="AB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46218</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s="2" t="inlineStr">
        <is>
          <t>Knärot</t>
        </is>
      </c>
      <c r="V79">
        <f>HYPERLINK("https://klasma.github.io/Logging_2081/artfynd/A 4478-2022 artfynd.xlsx", "A 4478-2022")</f>
        <v/>
      </c>
      <c r="W79">
        <f>HYPERLINK("https://klasma.github.io/Logging_2081/kartor/A 4478-2022 karta.png", "A 4478-2022")</f>
        <v/>
      </c>
      <c r="X79">
        <f>HYPERLINK("https://klasma.github.io/Logging_2081/knärot/A 4478-2022 karta knärot.png", "A 4478-2022")</f>
        <v/>
      </c>
      <c r="Y79">
        <f>HYPERLINK("https://klasma.github.io/Logging_2081/klagomål/A 4478-2022 FSC-klagomål.docx", "A 4478-2022")</f>
        <v/>
      </c>
      <c r="Z79">
        <f>HYPERLINK("https://klasma.github.io/Logging_2081/klagomålsmail/A 4478-2022 FSC-klagomål mail.docx", "A 4478-2022")</f>
        <v/>
      </c>
      <c r="AA79">
        <f>HYPERLINK("https://klasma.github.io/Logging_2081/tillsyn/A 4478-2022 tillsynsbegäran.docx", "A 4478-2022")</f>
        <v/>
      </c>
      <c r="AB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46218</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s="2" t="inlineStr">
        <is>
          <t>Slaguggla</t>
        </is>
      </c>
      <c r="V80">
        <f>HYPERLINK("https://klasma.github.io/Logging_2081/artfynd/A 45755-2021 artfynd.xlsx", "A 45755-2021")</f>
        <v/>
      </c>
      <c r="W80">
        <f>HYPERLINK("https://klasma.github.io/Logging_2081/kartor/A 45755-2021 karta.png", "A 45755-2021")</f>
        <v/>
      </c>
      <c r="Y80">
        <f>HYPERLINK("https://klasma.github.io/Logging_2081/klagomål/A 45755-2021 FSC-klagomål.docx", "A 45755-2021")</f>
        <v/>
      </c>
      <c r="Z80">
        <f>HYPERLINK("https://klasma.github.io/Logging_2081/klagomålsmail/A 45755-2021 FSC-klagomål mail.docx", "A 45755-2021")</f>
        <v/>
      </c>
      <c r="AA80">
        <f>HYPERLINK("https://klasma.github.io/Logging_2081/tillsyn/A 45755-2021 tillsynsbegäran.docx", "A 45755-2021")</f>
        <v/>
      </c>
      <c r="AB80">
        <f>HYPERLINK("https://klasma.github.io/Logging_2081/tillsynsmail/A 45755-2021 tillsynsbegäran mail.docx", "A 45755-2021")</f>
        <v/>
      </c>
      <c r="AC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46218</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s="2" t="inlineStr">
        <is>
          <t>Garnlav</t>
        </is>
      </c>
      <c r="V81">
        <f>HYPERLINK("https://klasma.github.io/Logging_2081/artfynd/A 49776-2021 artfynd.xlsx", "A 49776-2021")</f>
        <v/>
      </c>
      <c r="W81">
        <f>HYPERLINK("https://klasma.github.io/Logging_2081/kartor/A 49776-2021 karta.png", "A 49776-2021")</f>
        <v/>
      </c>
      <c r="Y81">
        <f>HYPERLINK("https://klasma.github.io/Logging_2081/klagomål/A 49776-2021 FSC-klagomål.docx", "A 49776-2021")</f>
        <v/>
      </c>
      <c r="Z81">
        <f>HYPERLINK("https://klasma.github.io/Logging_2081/klagomålsmail/A 49776-2021 FSC-klagomål mail.docx", "A 49776-2021")</f>
        <v/>
      </c>
      <c r="AA81">
        <f>HYPERLINK("https://klasma.github.io/Logging_2081/tillsyn/A 49776-2021 tillsynsbegäran.docx", "A 49776-2021")</f>
        <v/>
      </c>
      <c r="AB81">
        <f>HYPERLINK("https://klasma.github.io/Logging_2081/tillsynsmail/A 49776-2021 tillsynsbegäran mail.docx", "A 49776-2021")</f>
        <v/>
      </c>
    </row>
    <row r="82" ht="15" customHeight="1">
      <c r="A82" t="inlineStr">
        <is>
          <t>A 53580-2021</t>
        </is>
      </c>
      <c r="B82" t="inlineStr">
        <is>
          <t>avverkningsanmälan</t>
        </is>
      </c>
      <c r="C82" t="inlineStr">
        <is>
          <t>Föryngringsavverkning</t>
        </is>
      </c>
      <c r="D82" s="1" t="n">
        <v>44469</v>
      </c>
      <c r="E82" s="1" t="n">
        <v>46218</v>
      </c>
      <c r="F82" t="inlineStr">
        <is>
          <t>DALARNAS LÄN</t>
        </is>
      </c>
      <c r="G82" t="inlineStr">
        <is>
          <t>BORLÄNGE</t>
        </is>
      </c>
      <c r="H82" t="inlineStr">
        <is>
          <t>Bergvik skog väst AB</t>
        </is>
      </c>
      <c r="I82" t="n">
        <v>3.3</v>
      </c>
      <c r="J82" t="n">
        <v>0</v>
      </c>
      <c r="K82" t="n">
        <v>1</v>
      </c>
      <c r="L82" t="n">
        <v>0</v>
      </c>
      <c r="M82" t="n">
        <v>0</v>
      </c>
      <c r="N82" t="n">
        <v>0</v>
      </c>
      <c r="O82" t="n">
        <v>0</v>
      </c>
      <c r="P82" t="n">
        <v>0</v>
      </c>
      <c r="Q82" t="n">
        <v>0</v>
      </c>
      <c r="R82" t="n">
        <v>0</v>
      </c>
      <c r="S82" t="n">
        <v>1</v>
      </c>
      <c r="T82" t="n">
        <v>1</v>
      </c>
      <c r="U82" s="2" t="inlineStr">
        <is>
          <t>Mindre märgborre</t>
        </is>
      </c>
      <c r="V82">
        <f>HYPERLINK("https://klasma.github.io/Logging_2081/artfynd/A 53580-2021 artfynd.xlsx", "A 53580-2021")</f>
        <v/>
      </c>
      <c r="W82">
        <f>HYPERLINK("https://klasma.github.io/Logging_2081/kartor/A 53580-2021 karta.png", "A 53580-2021")</f>
        <v/>
      </c>
      <c r="Y82">
        <f>HYPERLINK("https://klasma.github.io/Logging_2081/klagomål/A 53580-2021 FSC-klagomål.docx", "A 53580-2021")</f>
        <v/>
      </c>
      <c r="Z82">
        <f>HYPERLINK("https://klasma.github.io/Logging_2081/klagomålsmail/A 53580-2021 FSC-klagomål mail.docx", "A 53580-2021")</f>
        <v/>
      </c>
      <c r="AA82">
        <f>HYPERLINK("https://klasma.github.io/Logging_2081/tillsyn/A 53580-2021 tillsynsbegäran.docx", "A 53580-2021")</f>
        <v/>
      </c>
      <c r="AB82">
        <f>HYPERLINK("https://klasma.github.io/Logging_2081/tillsynsmail/A 53580-2021 tillsynsbegäran mail.docx", "A 53580-2021")</f>
        <v/>
      </c>
    </row>
    <row r="83" ht="15" customHeight="1">
      <c r="A83" t="inlineStr">
        <is>
          <t>A 22363-2022</t>
        </is>
      </c>
      <c r="B83" t="inlineStr">
        <is>
          <t>avverkningsanmälan</t>
        </is>
      </c>
      <c r="C83" t="inlineStr">
        <is>
          <t>Föryngringsavverkning</t>
        </is>
      </c>
      <c r="D83" s="1" t="n">
        <v>44713</v>
      </c>
      <c r="E83" s="1" t="n">
        <v>46218</v>
      </c>
      <c r="F83" t="inlineStr">
        <is>
          <t>DALARNAS LÄN</t>
        </is>
      </c>
      <c r="G83" t="inlineStr">
        <is>
          <t>BORLÄNGE</t>
        </is>
      </c>
      <c r="H83" t="inlineStr">
        <is>
          <t>Naturvårdsverket</t>
        </is>
      </c>
      <c r="I83" t="n">
        <v>0.8</v>
      </c>
      <c r="J83" t="n">
        <v>1</v>
      </c>
      <c r="K83" t="n">
        <v>0</v>
      </c>
      <c r="L83" t="n">
        <v>0</v>
      </c>
      <c r="M83" t="n">
        <v>0</v>
      </c>
      <c r="N83" t="n">
        <v>0</v>
      </c>
      <c r="O83" t="n">
        <v>0</v>
      </c>
      <c r="P83" t="n">
        <v>0</v>
      </c>
      <c r="Q83" t="n">
        <v>0</v>
      </c>
      <c r="R83" t="n">
        <v>0</v>
      </c>
      <c r="S83" t="n">
        <v>1</v>
      </c>
      <c r="T83" t="n">
        <v>1</v>
      </c>
      <c r="U83" s="2" t="inlineStr">
        <is>
          <t>Fläcknycklar</t>
        </is>
      </c>
      <c r="V83">
        <f>HYPERLINK("https://klasma.github.io/Logging_2081/artfynd/A 22363-2022 artfynd.xlsx", "A 22363-2022")</f>
        <v/>
      </c>
      <c r="W83">
        <f>HYPERLINK("https://klasma.github.io/Logging_2081/kartor/A 22363-2022 karta.png", "A 22363-2022")</f>
        <v/>
      </c>
      <c r="Y83">
        <f>HYPERLINK("https://klasma.github.io/Logging_2081/klagomål/A 22363-2022 FSC-klagomål.docx", "A 22363-2022")</f>
        <v/>
      </c>
      <c r="Z83">
        <f>HYPERLINK("https://klasma.github.io/Logging_2081/klagomålsmail/A 22363-2022 FSC-klagomål mail.docx", "A 22363-2022")</f>
        <v/>
      </c>
      <c r="AA83">
        <f>HYPERLINK("https://klasma.github.io/Logging_2081/tillsyn/A 22363-2022 tillsynsbegäran.docx", "A 22363-2022")</f>
        <v/>
      </c>
      <c r="AB83">
        <f>HYPERLINK("https://klasma.github.io/Logging_2081/tillsynsmail/A 22363-2022 tillsynsbegäran mail.docx", "A 22363-2022")</f>
        <v/>
      </c>
    </row>
    <row r="84" ht="15" customHeight="1">
      <c r="A84" t="inlineStr">
        <is>
          <t>A 3978-2022</t>
        </is>
      </c>
      <c r="B84" t="inlineStr">
        <is>
          <t>avverkningsanmälan</t>
        </is>
      </c>
      <c r="C84" t="inlineStr">
        <is>
          <t>Föryngringsavverkning</t>
        </is>
      </c>
      <c r="D84" s="1" t="n">
        <v>44587</v>
      </c>
      <c r="E84" s="1" t="n">
        <v>46218</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s="2" t="inlineStr">
        <is>
          <t>Sparvuggla</t>
        </is>
      </c>
      <c r="V84">
        <f>HYPERLINK("https://klasma.github.io/Logging_2081/artfynd/A 3978-2022 artfynd.xlsx", "A 3978-2022")</f>
        <v/>
      </c>
      <c r="W84">
        <f>HYPERLINK("https://klasma.github.io/Logging_2081/kartor/A 3978-2022 karta.png", "A 3978-2022")</f>
        <v/>
      </c>
      <c r="Y84">
        <f>HYPERLINK("https://klasma.github.io/Logging_2081/klagomål/A 3978-2022 FSC-klagomål.docx", "A 3978-2022")</f>
        <v/>
      </c>
      <c r="Z84">
        <f>HYPERLINK("https://klasma.github.io/Logging_2081/klagomålsmail/A 3978-2022 FSC-klagomål mail.docx", "A 3978-2022")</f>
        <v/>
      </c>
      <c r="AA84">
        <f>HYPERLINK("https://klasma.github.io/Logging_2081/tillsyn/A 3978-2022 tillsynsbegäran.docx", "A 3978-2022")</f>
        <v/>
      </c>
      <c r="AB84">
        <f>HYPERLINK("https://klasma.github.io/Logging_2081/tillsynsmail/A 3978-2022 tillsynsbegäran mail.docx", "A 3978-2022")</f>
        <v/>
      </c>
      <c r="AC84">
        <f>HYPERLINK("https://klasma.github.io/Logging_2081/fåglar/A 3978-2022 prioriterade fågelarter.docx", "A 3978-2022")</f>
        <v/>
      </c>
    </row>
    <row r="85" ht="15" customHeight="1">
      <c r="A85" t="inlineStr">
        <is>
          <t>A 10381-2023</t>
        </is>
      </c>
      <c r="B85" t="inlineStr">
        <is>
          <t>avverkningsanmälan</t>
        </is>
      </c>
      <c r="C85" t="inlineStr">
        <is>
          <t>Föryngringsavverkning</t>
        </is>
      </c>
      <c r="D85" s="1" t="n">
        <v>44987</v>
      </c>
      <c r="E85" s="1" t="n">
        <v>46218</v>
      </c>
      <c r="F85" t="inlineStr">
        <is>
          <t>DALARNAS LÄN</t>
        </is>
      </c>
      <c r="G85" t="inlineStr">
        <is>
          <t>BORLÄNGE</t>
        </is>
      </c>
      <c r="I85" t="n">
        <v>2.4</v>
      </c>
      <c r="J85" t="n">
        <v>1</v>
      </c>
      <c r="K85" t="n">
        <v>0</v>
      </c>
      <c r="L85" t="n">
        <v>0</v>
      </c>
      <c r="M85" t="n">
        <v>0</v>
      </c>
      <c r="N85" t="n">
        <v>0</v>
      </c>
      <c r="O85" t="n">
        <v>0</v>
      </c>
      <c r="P85" t="n">
        <v>0</v>
      </c>
      <c r="Q85" t="n">
        <v>0</v>
      </c>
      <c r="R85" t="n">
        <v>0</v>
      </c>
      <c r="S85" t="n">
        <v>1</v>
      </c>
      <c r="T85" t="n">
        <v>1</v>
      </c>
      <c r="U85" s="2" t="inlineStr">
        <is>
          <t>Mattlummer</t>
        </is>
      </c>
      <c r="V85">
        <f>HYPERLINK("https://klasma.github.io/Logging_2081/artfynd/A 10381-2023 artfynd.xlsx", "A 10381-2023")</f>
        <v/>
      </c>
      <c r="W85">
        <f>HYPERLINK("https://klasma.github.io/Logging_2081/kartor/A 10381-2023 karta.png", "A 10381-2023")</f>
        <v/>
      </c>
      <c r="Y85">
        <f>HYPERLINK("https://klasma.github.io/Logging_2081/klagomål/A 10381-2023 FSC-klagomål.docx", "A 10381-2023")</f>
        <v/>
      </c>
      <c r="Z85">
        <f>HYPERLINK("https://klasma.github.io/Logging_2081/klagomålsmail/A 10381-2023 FSC-klagomål mail.docx", "A 10381-2023")</f>
        <v/>
      </c>
      <c r="AA85">
        <f>HYPERLINK("https://klasma.github.io/Logging_2081/tillsyn/A 10381-2023 tillsynsbegäran.docx", "A 10381-2023")</f>
        <v/>
      </c>
      <c r="AB85">
        <f>HYPERLINK("https://klasma.github.io/Logging_2081/tillsynsmail/A 10381-2023 tillsynsbegäran mail.docx", "A 10381-2023")</f>
        <v/>
      </c>
    </row>
    <row r="86" ht="15" customHeight="1">
      <c r="A86" t="inlineStr">
        <is>
          <t>A 35357-2022</t>
        </is>
      </c>
      <c r="B86" t="inlineStr">
        <is>
          <t>avverkningsanmälan</t>
        </is>
      </c>
      <c r="C86" t="inlineStr">
        <is>
          <t>Föryngringsavverkning</t>
        </is>
      </c>
      <c r="D86" s="1" t="n">
        <v>44798</v>
      </c>
      <c r="E86" s="1" t="n">
        <v>46218</v>
      </c>
      <c r="F86" t="inlineStr">
        <is>
          <t>DALARNAS LÄN</t>
        </is>
      </c>
      <c r="G86" t="inlineStr">
        <is>
          <t>BORLÄNGE</t>
        </is>
      </c>
      <c r="I86" t="n">
        <v>3.1</v>
      </c>
      <c r="J86" t="n">
        <v>1</v>
      </c>
      <c r="K86" t="n">
        <v>0</v>
      </c>
      <c r="L86" t="n">
        <v>0</v>
      </c>
      <c r="M86" t="n">
        <v>0</v>
      </c>
      <c r="N86" t="n">
        <v>0</v>
      </c>
      <c r="O86" t="n">
        <v>0</v>
      </c>
      <c r="P86" t="n">
        <v>0</v>
      </c>
      <c r="Q86" t="n">
        <v>0</v>
      </c>
      <c r="R86" t="n">
        <v>0</v>
      </c>
      <c r="S86" t="n">
        <v>1</v>
      </c>
      <c r="T86" t="n">
        <v>1</v>
      </c>
      <c r="U86" s="2" t="inlineStr">
        <is>
          <t>Revlummer</t>
        </is>
      </c>
      <c r="V86">
        <f>HYPERLINK("https://klasma.github.io/Logging_2081/artfynd/A 35357-2022 artfynd.xlsx", "A 35357-2022")</f>
        <v/>
      </c>
      <c r="W86">
        <f>HYPERLINK("https://klasma.github.io/Logging_2081/kartor/A 35357-2022 karta.png", "A 35357-2022")</f>
        <v/>
      </c>
      <c r="Y86">
        <f>HYPERLINK("https://klasma.github.io/Logging_2081/klagomål/A 35357-2022 FSC-klagomål.docx", "A 35357-2022")</f>
        <v/>
      </c>
      <c r="Z86">
        <f>HYPERLINK("https://klasma.github.io/Logging_2081/klagomålsmail/A 35357-2022 FSC-klagomål mail.docx", "A 35357-2022")</f>
        <v/>
      </c>
      <c r="AA86">
        <f>HYPERLINK("https://klasma.github.io/Logging_2081/tillsyn/A 35357-2022 tillsynsbegäran.docx", "A 35357-2022")</f>
        <v/>
      </c>
      <c r="AB86">
        <f>HYPERLINK("https://klasma.github.io/Logging_2081/tillsynsmail/A 35357-2022 tillsynsbegäran mail.docx", "A 35357-2022")</f>
        <v/>
      </c>
    </row>
    <row r="87" ht="15" customHeight="1">
      <c r="A87" t="inlineStr">
        <is>
          <t>A 33694-2022</t>
        </is>
      </c>
      <c r="B87" t="inlineStr">
        <is>
          <t>avverkningsanmälan</t>
        </is>
      </c>
      <c r="C87" t="inlineStr">
        <is>
          <t>Föryngringsavverkning</t>
        </is>
      </c>
      <c r="D87" s="1" t="n">
        <v>44789</v>
      </c>
      <c r="E87" s="1" t="n">
        <v>46218</v>
      </c>
      <c r="F87" t="inlineStr">
        <is>
          <t>DALARNAS LÄN</t>
        </is>
      </c>
      <c r="G87" t="inlineStr">
        <is>
          <t>BORLÄNGE</t>
        </is>
      </c>
      <c r="I87" t="n">
        <v>1.2</v>
      </c>
      <c r="J87" t="n">
        <v>1</v>
      </c>
      <c r="K87" t="n">
        <v>0</v>
      </c>
      <c r="L87" t="n">
        <v>0</v>
      </c>
      <c r="M87" t="n">
        <v>1</v>
      </c>
      <c r="N87" t="n">
        <v>0</v>
      </c>
      <c r="O87" t="n">
        <v>0</v>
      </c>
      <c r="P87" t="n">
        <v>0</v>
      </c>
      <c r="Q87" t="n">
        <v>1</v>
      </c>
      <c r="R87" t="n">
        <v>1</v>
      </c>
      <c r="S87" t="n">
        <v>1</v>
      </c>
      <c r="T87" t="n">
        <v>3</v>
      </c>
      <c r="U87" s="2" t="inlineStr">
        <is>
          <t>Knärot</t>
        </is>
      </c>
      <c r="V87">
        <f>HYPERLINK("https://klasma.github.io/Logging_2081/artfynd/A 33694-2022 artfynd.xlsx", "A 33694-2022")</f>
        <v/>
      </c>
      <c r="W87">
        <f>HYPERLINK("https://klasma.github.io/Logging_2081/kartor/A 33694-2022 karta.png", "A 33694-2022")</f>
        <v/>
      </c>
      <c r="X87">
        <f>HYPERLINK("https://klasma.github.io/Logging_2081/knärot/A 33694-2022 karta knärot.png", "A 33694-2022")</f>
        <v/>
      </c>
      <c r="Y87">
        <f>HYPERLINK("https://klasma.github.io/Logging_2081/klagomål/A 33694-2022 FSC-klagomål.docx", "A 33694-2022")</f>
        <v/>
      </c>
      <c r="Z87">
        <f>HYPERLINK("https://klasma.github.io/Logging_2081/klagomålsmail/A 33694-2022 FSC-klagomål mail.docx", "A 33694-2022")</f>
        <v/>
      </c>
      <c r="AA87">
        <f>HYPERLINK("https://klasma.github.io/Logging_2081/tillsyn/A 33694-2022 tillsynsbegäran.docx", "A 33694-2022")</f>
        <v/>
      </c>
      <c r="AB87">
        <f>HYPERLINK("https://klasma.github.io/Logging_2081/tillsynsmail/A 33694-2022 tillsynsbegäran mail.docx", "A 33694-2022")</f>
        <v/>
      </c>
    </row>
    <row r="88" ht="15" customHeight="1">
      <c r="A88" t="inlineStr">
        <is>
          <t>A 7332-2022</t>
        </is>
      </c>
      <c r="B88" t="inlineStr">
        <is>
          <t>avverkningsanmälan</t>
        </is>
      </c>
      <c r="C88" t="inlineStr">
        <is>
          <t>Föryngringsavverkning</t>
        </is>
      </c>
      <c r="D88" s="1" t="n">
        <v>44606</v>
      </c>
      <c r="E88" s="1" t="n">
        <v>46218</v>
      </c>
      <c r="F88" t="inlineStr">
        <is>
          <t>DALARNAS LÄN</t>
        </is>
      </c>
      <c r="G88" t="inlineStr">
        <is>
          <t>BORLÄNGE</t>
        </is>
      </c>
      <c r="H88" t="inlineStr">
        <is>
          <t>Bergvik skog väst AB</t>
        </is>
      </c>
      <c r="I88" t="n">
        <v>1.4</v>
      </c>
      <c r="J88" t="n">
        <v>1</v>
      </c>
      <c r="K88" t="n">
        <v>0</v>
      </c>
      <c r="L88" t="n">
        <v>0</v>
      </c>
      <c r="M88" t="n">
        <v>0</v>
      </c>
      <c r="N88" t="n">
        <v>0</v>
      </c>
      <c r="O88" t="n">
        <v>0</v>
      </c>
      <c r="P88" t="n">
        <v>0</v>
      </c>
      <c r="Q88" t="n">
        <v>0</v>
      </c>
      <c r="R88" t="n">
        <v>0</v>
      </c>
      <c r="S88" t="n">
        <v>1</v>
      </c>
      <c r="T88" t="n">
        <v>1</v>
      </c>
      <c r="U88" s="2" t="inlineStr">
        <is>
          <t>Nattviol</t>
        </is>
      </c>
      <c r="V88">
        <f>HYPERLINK("https://klasma.github.io/Logging_2081/artfynd/A 7332-2022 artfynd.xlsx", "A 7332-2022")</f>
        <v/>
      </c>
      <c r="W88">
        <f>HYPERLINK("https://klasma.github.io/Logging_2081/kartor/A 7332-2022 karta.png", "A 7332-2022")</f>
        <v/>
      </c>
      <c r="Y88">
        <f>HYPERLINK("https://klasma.github.io/Logging_2081/klagomål/A 7332-2022 FSC-klagomål.docx", "A 7332-2022")</f>
        <v/>
      </c>
      <c r="Z88">
        <f>HYPERLINK("https://klasma.github.io/Logging_2081/klagomålsmail/A 7332-2022 FSC-klagomål mail.docx", "A 7332-2022")</f>
        <v/>
      </c>
      <c r="AA88">
        <f>HYPERLINK("https://klasma.github.io/Logging_2081/tillsyn/A 7332-2022 tillsynsbegäran.docx", "A 7332-2022")</f>
        <v/>
      </c>
      <c r="AB88">
        <f>HYPERLINK("https://klasma.github.io/Logging_2081/tillsynsmail/A 7332-2022 tillsynsbegäran mail.docx", "A 7332-2022")</f>
        <v/>
      </c>
    </row>
    <row r="89" ht="15" customHeight="1">
      <c r="A89" t="inlineStr">
        <is>
          <t>A 26886-2024</t>
        </is>
      </c>
      <c r="B89" t="inlineStr">
        <is>
          <t>avverkningsanmälan</t>
        </is>
      </c>
      <c r="C89" t="inlineStr">
        <is>
          <t>Föryngringsavverkning</t>
        </is>
      </c>
      <c r="D89" s="1" t="n">
        <v>45470</v>
      </c>
      <c r="E89" s="1" t="n">
        <v>46218</v>
      </c>
      <c r="F89" t="inlineStr">
        <is>
          <t>DALARNAS LÄN</t>
        </is>
      </c>
      <c r="G89" t="inlineStr">
        <is>
          <t>BORLÄNGE</t>
        </is>
      </c>
      <c r="I89" t="n">
        <v>4</v>
      </c>
      <c r="J89" t="n">
        <v>1</v>
      </c>
      <c r="K89" t="n">
        <v>0</v>
      </c>
      <c r="L89" t="n">
        <v>0</v>
      </c>
      <c r="M89" t="n">
        <v>1</v>
      </c>
      <c r="N89" t="n">
        <v>0</v>
      </c>
      <c r="O89" t="n">
        <v>0</v>
      </c>
      <c r="P89" t="n">
        <v>0</v>
      </c>
      <c r="Q89" t="n">
        <v>1</v>
      </c>
      <c r="R89" t="n">
        <v>1</v>
      </c>
      <c r="S89" t="n">
        <v>1</v>
      </c>
      <c r="T89" t="n">
        <v>1</v>
      </c>
      <c r="U89" s="2" t="inlineStr">
        <is>
          <t>Knärot</t>
        </is>
      </c>
      <c r="V89">
        <f>HYPERLINK("https://klasma.github.io/Logging_2081/artfynd/A 26886-2024 artfynd.xlsx", "A 26886-2024")</f>
        <v/>
      </c>
      <c r="W89">
        <f>HYPERLINK("https://klasma.github.io/Logging_2081/kartor/A 26886-2024 karta.png", "A 26886-2024")</f>
        <v/>
      </c>
      <c r="X89">
        <f>HYPERLINK("https://klasma.github.io/Logging_2081/knärot/A 26886-2024 karta knärot.png", "A 26886-2024")</f>
        <v/>
      </c>
      <c r="Y89">
        <f>HYPERLINK("https://klasma.github.io/Logging_2081/klagomål/A 26886-2024 FSC-klagomål.docx", "A 26886-2024")</f>
        <v/>
      </c>
      <c r="Z89">
        <f>HYPERLINK("https://klasma.github.io/Logging_2081/klagomålsmail/A 26886-2024 FSC-klagomål mail.docx", "A 26886-2024")</f>
        <v/>
      </c>
      <c r="AA89">
        <f>HYPERLINK("https://klasma.github.io/Logging_2081/tillsyn/A 26886-2024 tillsynsbegäran.docx", "A 26886-2024")</f>
        <v/>
      </c>
      <c r="AB89">
        <f>HYPERLINK("https://klasma.github.io/Logging_2081/tillsynsmail/A 26886-2024 tillsynsbegäran mail.docx", "A 26886-2024")</f>
        <v/>
      </c>
    </row>
    <row r="90" ht="15" customHeight="1">
      <c r="A90" t="inlineStr">
        <is>
          <t>A 21131-2023</t>
        </is>
      </c>
      <c r="B90" t="inlineStr">
        <is>
          <t>avverkningsanmälan</t>
        </is>
      </c>
      <c r="C90" t="inlineStr">
        <is>
          <t>Föryngringsavverkning</t>
        </is>
      </c>
      <c r="D90" s="1" t="n">
        <v>45062</v>
      </c>
      <c r="E90" s="1" t="n">
        <v>46218</v>
      </c>
      <c r="F90" t="inlineStr">
        <is>
          <t>DALARNAS LÄN</t>
        </is>
      </c>
      <c r="G90" t="inlineStr">
        <is>
          <t>BORLÄNGE</t>
        </is>
      </c>
      <c r="I90" t="n">
        <v>4.4</v>
      </c>
      <c r="J90" t="n">
        <v>0</v>
      </c>
      <c r="K90" t="n">
        <v>0</v>
      </c>
      <c r="L90" t="n">
        <v>0</v>
      </c>
      <c r="M90" t="n">
        <v>1</v>
      </c>
      <c r="N90" t="n">
        <v>0</v>
      </c>
      <c r="O90" t="n">
        <v>0</v>
      </c>
      <c r="P90" t="n">
        <v>0</v>
      </c>
      <c r="Q90" t="n">
        <v>1</v>
      </c>
      <c r="R90" t="n">
        <v>1</v>
      </c>
      <c r="S90" t="n">
        <v>1</v>
      </c>
      <c r="T90" t="n">
        <v>1</v>
      </c>
      <c r="U90" s="2" t="inlineStr">
        <is>
          <t>Garnlav</t>
        </is>
      </c>
      <c r="V90">
        <f>HYPERLINK("https://klasma.github.io/Logging_2081/artfynd/A 21131-2023 artfynd.xlsx", "A 21131-2023")</f>
        <v/>
      </c>
      <c r="W90">
        <f>HYPERLINK("https://klasma.github.io/Logging_2081/kartor/A 21131-2023 karta.png", "A 21131-2023")</f>
        <v/>
      </c>
      <c r="Y90">
        <f>HYPERLINK("https://klasma.github.io/Logging_2081/klagomål/A 21131-2023 FSC-klagomål.docx", "A 21131-2023")</f>
        <v/>
      </c>
      <c r="Z90">
        <f>HYPERLINK("https://klasma.github.io/Logging_2081/klagomålsmail/A 21131-2023 FSC-klagomål mail.docx", "A 21131-2023")</f>
        <v/>
      </c>
      <c r="AA90">
        <f>HYPERLINK("https://klasma.github.io/Logging_2081/tillsyn/A 21131-2023 tillsynsbegäran.docx", "A 21131-2023")</f>
        <v/>
      </c>
      <c r="AB90">
        <f>HYPERLINK("https://klasma.github.io/Logging_2081/tillsynsmail/A 21131-2023 tillsynsbegäran mail.docx", "A 21131-2023")</f>
        <v/>
      </c>
    </row>
    <row r="91" ht="15" customHeight="1">
      <c r="A91" t="inlineStr">
        <is>
          <t>A 8556-2023</t>
        </is>
      </c>
      <c r="B91" t="inlineStr">
        <is>
          <t>avverkningsanmälan</t>
        </is>
      </c>
      <c r="C91" t="inlineStr">
        <is>
          <t>Föryngringsavverkning</t>
        </is>
      </c>
      <c r="D91" s="1" t="n">
        <v>44977</v>
      </c>
      <c r="E91" s="1" t="n">
        <v>46218</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s="2" t="inlineStr">
        <is>
          <t>Blåsippa</t>
        </is>
      </c>
      <c r="V91">
        <f>HYPERLINK("https://klasma.github.io/Logging_2081/artfynd/A 8556-2023 artfynd.xlsx", "A 8556-2023")</f>
        <v/>
      </c>
      <c r="W91">
        <f>HYPERLINK("https://klasma.github.io/Logging_2081/kartor/A 8556-2023 karta.png", "A 8556-2023")</f>
        <v/>
      </c>
      <c r="Y91">
        <f>HYPERLINK("https://klasma.github.io/Logging_2081/klagomål/A 8556-2023 FSC-klagomål.docx", "A 8556-2023")</f>
        <v/>
      </c>
      <c r="Z91">
        <f>HYPERLINK("https://klasma.github.io/Logging_2081/klagomålsmail/A 8556-2023 FSC-klagomål mail.docx", "A 8556-2023")</f>
        <v/>
      </c>
      <c r="AA91">
        <f>HYPERLINK("https://klasma.github.io/Logging_2081/tillsyn/A 8556-2023 tillsynsbegäran.docx", "A 8556-2023")</f>
        <v/>
      </c>
      <c r="AB91">
        <f>HYPERLINK("https://klasma.github.io/Logging_2081/tillsynsmail/A 8556-2023 tillsynsbegäran mail.docx", "A 8556-2023")</f>
        <v/>
      </c>
    </row>
    <row r="92" ht="15" customHeight="1">
      <c r="A92" t="inlineStr">
        <is>
          <t>A 4785-2025</t>
        </is>
      </c>
      <c r="B92" t="inlineStr">
        <is>
          <t>avverkningsanmälan</t>
        </is>
      </c>
      <c r="C92" t="inlineStr">
        <is>
          <t>Avverkning för annat ändamål</t>
        </is>
      </c>
      <c r="D92" s="1" t="n">
        <v>45688</v>
      </c>
      <c r="E92" s="1" t="n">
        <v>46218</v>
      </c>
      <c r="F92" t="inlineStr">
        <is>
          <t>DALARNAS LÄN</t>
        </is>
      </c>
      <c r="G92" t="inlineStr">
        <is>
          <t>BORLÄNGE</t>
        </is>
      </c>
      <c r="I92" t="n">
        <v>0.4</v>
      </c>
      <c r="J92" t="n">
        <v>0</v>
      </c>
      <c r="K92" t="n">
        <v>0</v>
      </c>
      <c r="L92" t="n">
        <v>1</v>
      </c>
      <c r="M92" t="n">
        <v>0</v>
      </c>
      <c r="N92" t="n">
        <v>0</v>
      </c>
      <c r="O92" t="n">
        <v>0</v>
      </c>
      <c r="P92" t="n">
        <v>0</v>
      </c>
      <c r="Q92" t="n">
        <v>1</v>
      </c>
      <c r="R92" t="n">
        <v>0</v>
      </c>
      <c r="S92" t="n">
        <v>1</v>
      </c>
      <c r="T92" t="n">
        <v>1</v>
      </c>
      <c r="U92" s="2" t="inlineStr">
        <is>
          <t>Tallticka</t>
        </is>
      </c>
      <c r="V92">
        <f>HYPERLINK("https://klasma.github.io/Logging_2081/artfynd/A 4785-2025 artfynd.xlsx", "A 4785-2025")</f>
        <v/>
      </c>
      <c r="W92">
        <f>HYPERLINK("https://klasma.github.io/Logging_2081/kartor/A 4785-2025 karta.png", "A 4785-2025")</f>
        <v/>
      </c>
      <c r="Y92">
        <f>HYPERLINK("https://klasma.github.io/Logging_2081/klagomål/A 4785-2025 FSC-klagomål.docx", "A 4785-2025")</f>
        <v/>
      </c>
      <c r="Z92">
        <f>HYPERLINK("https://klasma.github.io/Logging_2081/klagomålsmail/A 4785-2025 FSC-klagomål mail.docx", "A 4785-2025")</f>
        <v/>
      </c>
      <c r="AA92">
        <f>HYPERLINK("https://klasma.github.io/Logging_2081/tillsyn/A 4785-2025 tillsynsbegäran.docx", "A 4785-2025")</f>
        <v/>
      </c>
      <c r="AB92">
        <f>HYPERLINK("https://klasma.github.io/Logging_2081/tillsynsmail/A 4785-2025 tillsynsbegäran mail.docx", "A 4785-2025")</f>
        <v/>
      </c>
    </row>
    <row r="93" ht="15" customHeight="1">
      <c r="A93" t="inlineStr">
        <is>
          <t>A 58609-2023</t>
        </is>
      </c>
      <c r="B93" t="inlineStr">
        <is>
          <t>avverkningsanmälan</t>
        </is>
      </c>
      <c r="C93" t="inlineStr">
        <is>
          <t>Föryngringsavverkning</t>
        </is>
      </c>
      <c r="D93" s="1" t="n">
        <v>45251</v>
      </c>
      <c r="E93" s="1" t="n">
        <v>46218</v>
      </c>
      <c r="F93" t="inlineStr">
        <is>
          <t>DALARNAS LÄN</t>
        </is>
      </c>
      <c r="G93" t="inlineStr">
        <is>
          <t>BORLÄNGE</t>
        </is>
      </c>
      <c r="I93" t="n">
        <v>1.9</v>
      </c>
      <c r="J93" t="n">
        <v>0</v>
      </c>
      <c r="K93" t="n">
        <v>0</v>
      </c>
      <c r="L93" t="n">
        <v>1</v>
      </c>
      <c r="M93" t="n">
        <v>0</v>
      </c>
      <c r="N93" t="n">
        <v>0</v>
      </c>
      <c r="O93" t="n">
        <v>0</v>
      </c>
      <c r="P93" t="n">
        <v>0</v>
      </c>
      <c r="Q93" t="n">
        <v>1</v>
      </c>
      <c r="R93" t="n">
        <v>0</v>
      </c>
      <c r="S93" t="n">
        <v>1</v>
      </c>
      <c r="T93" t="n">
        <v>1</v>
      </c>
      <c r="U93" s="2" t="inlineStr">
        <is>
          <t>Ullticka</t>
        </is>
      </c>
      <c r="V93">
        <f>HYPERLINK("https://klasma.github.io/Logging_2081/artfynd/A 58609-2023 artfynd.xlsx", "A 58609-2023")</f>
        <v/>
      </c>
      <c r="W93">
        <f>HYPERLINK("https://klasma.github.io/Logging_2081/kartor/A 58609-2023 karta.png", "A 58609-2023")</f>
        <v/>
      </c>
      <c r="Y93">
        <f>HYPERLINK("https://klasma.github.io/Logging_2081/klagomål/A 58609-2023 FSC-klagomål.docx", "A 58609-2023")</f>
        <v/>
      </c>
      <c r="Z93">
        <f>HYPERLINK("https://klasma.github.io/Logging_2081/klagomålsmail/A 58609-2023 FSC-klagomål mail.docx", "A 58609-2023")</f>
        <v/>
      </c>
      <c r="AA93">
        <f>HYPERLINK("https://klasma.github.io/Logging_2081/tillsyn/A 58609-2023 tillsynsbegäran.docx", "A 58609-2023")</f>
        <v/>
      </c>
      <c r="AB93">
        <f>HYPERLINK("https://klasma.github.io/Logging_2081/tillsynsmail/A 58609-2023 tillsynsbegäran mail.docx", "A 58609-2023")</f>
        <v/>
      </c>
    </row>
    <row r="94" ht="15" customHeight="1">
      <c r="A94" t="inlineStr">
        <is>
          <t>A 52613-2025</t>
        </is>
      </c>
      <c r="B94" t="inlineStr">
        <is>
          <t>avverkningsanmälan</t>
        </is>
      </c>
      <c r="C94" t="inlineStr">
        <is>
          <t>Föryngringsavverkning</t>
        </is>
      </c>
      <c r="D94" s="1" t="n">
        <v>45954</v>
      </c>
      <c r="E94" s="1" t="n">
        <v>46218</v>
      </c>
      <c r="F94" t="inlineStr">
        <is>
          <t>DALARNAS LÄN</t>
        </is>
      </c>
      <c r="G94" t="inlineStr">
        <is>
          <t>BORLÄNGE</t>
        </is>
      </c>
      <c r="H94" t="inlineStr">
        <is>
          <t>Bergvik skog väst AB</t>
        </is>
      </c>
      <c r="I94" t="n">
        <v>2.2</v>
      </c>
      <c r="J94" t="n">
        <v>1</v>
      </c>
      <c r="K94" t="n">
        <v>0</v>
      </c>
      <c r="L94" t="n">
        <v>0</v>
      </c>
      <c r="M94" t="n">
        <v>1</v>
      </c>
      <c r="N94" t="n">
        <v>0</v>
      </c>
      <c r="O94" t="n">
        <v>0</v>
      </c>
      <c r="P94" t="n">
        <v>0</v>
      </c>
      <c r="Q94" t="n">
        <v>1</v>
      </c>
      <c r="R94" t="n">
        <v>1</v>
      </c>
      <c r="S94" t="n">
        <v>1</v>
      </c>
      <c r="T94" t="n">
        <v>3</v>
      </c>
      <c r="U94" s="2" t="inlineStr">
        <is>
          <t>Knärot</t>
        </is>
      </c>
      <c r="V94">
        <f>HYPERLINK("https://klasma.github.io/Logging_2081/artfynd/A 52613-2025 artfynd.xlsx", "A 52613-2025")</f>
        <v/>
      </c>
      <c r="W94">
        <f>HYPERLINK("https://klasma.github.io/Logging_2081/kartor/A 52613-2025 karta.png", "A 52613-2025")</f>
        <v/>
      </c>
      <c r="X94">
        <f>HYPERLINK("https://klasma.github.io/Logging_2081/knärot/A 52613-2025 karta knärot.png", "A 52613-2025")</f>
        <v/>
      </c>
      <c r="Y94">
        <f>HYPERLINK("https://klasma.github.io/Logging_2081/klagomål/A 52613-2025 FSC-klagomål.docx", "A 52613-2025")</f>
        <v/>
      </c>
      <c r="Z94">
        <f>HYPERLINK("https://klasma.github.io/Logging_2081/klagomålsmail/A 52613-2025 FSC-klagomål mail.docx", "A 52613-2025")</f>
        <v/>
      </c>
      <c r="AA94">
        <f>HYPERLINK("https://klasma.github.io/Logging_2081/tillsyn/A 52613-2025 tillsynsbegäran.docx", "A 52613-2025")</f>
        <v/>
      </c>
      <c r="AB94">
        <f>HYPERLINK("https://klasma.github.io/Logging_2081/tillsynsmail/A 52613-2025 tillsynsbegäran mail.docx", "A 52613-2025")</f>
        <v/>
      </c>
    </row>
    <row r="95" ht="15" customHeight="1">
      <c r="A95" t="inlineStr">
        <is>
          <t>A 34783-2024</t>
        </is>
      </c>
      <c r="B95" t="inlineStr">
        <is>
          <t>avverkningsanmälan</t>
        </is>
      </c>
      <c r="C95" t="inlineStr">
        <is>
          <t>Avverkning för annat ändamål</t>
        </is>
      </c>
      <c r="D95" s="1" t="n">
        <v>45526</v>
      </c>
      <c r="E95" s="1" t="n">
        <v>46218</v>
      </c>
      <c r="F95" t="inlineStr">
        <is>
          <t>DALARNAS LÄN</t>
        </is>
      </c>
      <c r="G95" t="inlineStr">
        <is>
          <t>BORLÄNGE</t>
        </is>
      </c>
      <c r="I95" t="n">
        <v>1.1</v>
      </c>
      <c r="J95" t="n">
        <v>1</v>
      </c>
      <c r="K95" t="n">
        <v>0</v>
      </c>
      <c r="L95" t="n">
        <v>0</v>
      </c>
      <c r="M95" t="n">
        <v>0</v>
      </c>
      <c r="N95" t="n">
        <v>0</v>
      </c>
      <c r="O95" t="n">
        <v>0</v>
      </c>
      <c r="P95" t="n">
        <v>0</v>
      </c>
      <c r="Q95" t="n">
        <v>0</v>
      </c>
      <c r="R95" t="n">
        <v>0</v>
      </c>
      <c r="S95" t="n">
        <v>1</v>
      </c>
      <c r="T95" t="n">
        <v>3</v>
      </c>
      <c r="U95" s="2" t="inlineStr">
        <is>
          <t>Revlummer</t>
        </is>
      </c>
      <c r="V95">
        <f>HYPERLINK("https://klasma.github.io/Logging_2081/artfynd/A 34783-2024 artfynd.xlsx", "A 34783-2024")</f>
        <v/>
      </c>
      <c r="W95">
        <f>HYPERLINK("https://klasma.github.io/Logging_2081/kartor/A 34783-2024 karta.png", "A 34783-2024")</f>
        <v/>
      </c>
      <c r="Y95">
        <f>HYPERLINK("https://klasma.github.io/Logging_2081/klagomål/A 34783-2024 FSC-klagomål.docx", "A 34783-2024")</f>
        <v/>
      </c>
      <c r="Z95">
        <f>HYPERLINK("https://klasma.github.io/Logging_2081/klagomålsmail/A 34783-2024 FSC-klagomål mail.docx", "A 34783-2024")</f>
        <v/>
      </c>
      <c r="AA95">
        <f>HYPERLINK("https://klasma.github.io/Logging_2081/tillsyn/A 34783-2024 tillsynsbegäran.docx", "A 34783-2024")</f>
        <v/>
      </c>
      <c r="AB95">
        <f>HYPERLINK("https://klasma.github.io/Logging_2081/tillsynsmail/A 34783-2024 tillsynsbegäran mail.docx", "A 34783-2024")</f>
        <v/>
      </c>
    </row>
    <row r="96" ht="15" customHeight="1">
      <c r="A96" t="inlineStr">
        <is>
          <t>A 30870-2024</t>
        </is>
      </c>
      <c r="B96" t="inlineStr">
        <is>
          <t>avverkningsanmälan</t>
        </is>
      </c>
      <c r="C96" t="inlineStr">
        <is>
          <t>Föryngringsavverkning</t>
        </is>
      </c>
      <c r="D96" s="1" t="n">
        <v>45497</v>
      </c>
      <c r="E96" s="1" t="n">
        <v>46218</v>
      </c>
      <c r="F96" t="inlineStr">
        <is>
          <t>DALARNAS LÄN</t>
        </is>
      </c>
      <c r="G96" t="inlineStr">
        <is>
          <t>BORLÄNGE</t>
        </is>
      </c>
      <c r="I96" t="n">
        <v>1.8</v>
      </c>
      <c r="J96" t="n">
        <v>1</v>
      </c>
      <c r="K96" t="n">
        <v>0</v>
      </c>
      <c r="L96" t="n">
        <v>0</v>
      </c>
      <c r="M96" t="n">
        <v>1</v>
      </c>
      <c r="N96" t="n">
        <v>0</v>
      </c>
      <c r="O96" t="n">
        <v>0</v>
      </c>
      <c r="P96" t="n">
        <v>0</v>
      </c>
      <c r="Q96" t="n">
        <v>1</v>
      </c>
      <c r="R96" t="n">
        <v>1</v>
      </c>
      <c r="S96" t="n">
        <v>1</v>
      </c>
      <c r="T96" t="n">
        <v>3</v>
      </c>
      <c r="U96" s="2" t="inlineStr">
        <is>
          <t>Knärot</t>
        </is>
      </c>
      <c r="V96">
        <f>HYPERLINK("https://klasma.github.io/Logging_2081/artfynd/A 30870-2024 artfynd.xlsx", "A 30870-2024")</f>
        <v/>
      </c>
      <c r="W96">
        <f>HYPERLINK("https://klasma.github.io/Logging_2081/kartor/A 30870-2024 karta.png", "A 30870-2024")</f>
        <v/>
      </c>
      <c r="X96">
        <f>HYPERLINK("https://klasma.github.io/Logging_2081/knärot/A 30870-2024 karta knärot.png", "A 30870-2024")</f>
        <v/>
      </c>
      <c r="Y96">
        <f>HYPERLINK("https://klasma.github.io/Logging_2081/klagomål/A 30870-2024 FSC-klagomål.docx", "A 30870-2024")</f>
        <v/>
      </c>
      <c r="Z96">
        <f>HYPERLINK("https://klasma.github.io/Logging_2081/klagomålsmail/A 30870-2024 FSC-klagomål mail.docx", "A 30870-2024")</f>
        <v/>
      </c>
      <c r="AA96">
        <f>HYPERLINK("https://klasma.github.io/Logging_2081/tillsyn/A 30870-2024 tillsynsbegäran.docx", "A 30870-2024")</f>
        <v/>
      </c>
      <c r="AB96">
        <f>HYPERLINK("https://klasma.github.io/Logging_2081/tillsynsmail/A 30870-2024 tillsynsbegäran mail.docx", "A 30870-2024")</f>
        <v/>
      </c>
    </row>
    <row r="97" ht="15" customHeight="1">
      <c r="A97" t="inlineStr">
        <is>
          <t>A 55056-2025</t>
        </is>
      </c>
      <c r="B97" t="inlineStr">
        <is>
          <t>avverkningsanmälan</t>
        </is>
      </c>
      <c r="C97" t="inlineStr">
        <is>
          <t>Föryngringsavverkning</t>
        </is>
      </c>
      <c r="D97" s="1" t="n">
        <v>45967</v>
      </c>
      <c r="E97" s="1" t="n">
        <v>46218</v>
      </c>
      <c r="F97" t="inlineStr">
        <is>
          <t>DALARNAS LÄN</t>
        </is>
      </c>
      <c r="G97" t="inlineStr">
        <is>
          <t>BORLÄNGE</t>
        </is>
      </c>
      <c r="I97" t="n">
        <v>0.9</v>
      </c>
      <c r="J97" t="n">
        <v>1</v>
      </c>
      <c r="K97" t="n">
        <v>0</v>
      </c>
      <c r="L97" t="n">
        <v>0</v>
      </c>
      <c r="M97" t="n">
        <v>0</v>
      </c>
      <c r="N97" t="n">
        <v>0</v>
      </c>
      <c r="O97" t="n">
        <v>0</v>
      </c>
      <c r="P97" t="n">
        <v>0</v>
      </c>
      <c r="Q97" t="n">
        <v>0</v>
      </c>
      <c r="R97" t="n">
        <v>0</v>
      </c>
      <c r="S97" t="n">
        <v>1</v>
      </c>
      <c r="T97" t="n">
        <v>1</v>
      </c>
      <c r="U97" s="2" t="inlineStr">
        <is>
          <t>Spillkråka</t>
        </is>
      </c>
      <c r="V97">
        <f>HYPERLINK("https://klasma.github.io/Logging_2081/artfynd/A 55056-2025 artfynd.xlsx", "A 55056-2025")</f>
        <v/>
      </c>
      <c r="W97">
        <f>HYPERLINK("https://klasma.github.io/Logging_2081/kartor/A 55056-2025 karta.png", "A 55056-2025")</f>
        <v/>
      </c>
      <c r="Y97">
        <f>HYPERLINK("https://klasma.github.io/Logging_2081/klagomål/A 55056-2025 FSC-klagomål.docx", "A 55056-2025")</f>
        <v/>
      </c>
      <c r="Z97">
        <f>HYPERLINK("https://klasma.github.io/Logging_2081/klagomålsmail/A 55056-2025 FSC-klagomål mail.docx", "A 55056-2025")</f>
        <v/>
      </c>
      <c r="AA97">
        <f>HYPERLINK("https://klasma.github.io/Logging_2081/tillsyn/A 55056-2025 tillsynsbegäran.docx", "A 55056-2025")</f>
        <v/>
      </c>
      <c r="AB97">
        <f>HYPERLINK("https://klasma.github.io/Logging_2081/tillsynsmail/A 55056-2025 tillsynsbegäran mail.docx", "A 55056-2025")</f>
        <v/>
      </c>
      <c r="AC97">
        <f>HYPERLINK("https://klasma.github.io/Logging_2081/fåglar/A 55056-2025 prioriterade fågelarter.docx", "A 55056-2025")</f>
        <v/>
      </c>
    </row>
    <row r="98" ht="15" customHeight="1">
      <c r="A98" t="inlineStr">
        <is>
          <t>A 24761-2025</t>
        </is>
      </c>
      <c r="B98" t="inlineStr">
        <is>
          <t>avverkningsanmälan</t>
        </is>
      </c>
      <c r="C98" t="inlineStr">
        <is>
          <t>Föryngringsavverkning</t>
        </is>
      </c>
      <c r="D98" s="1" t="n">
        <v>45799</v>
      </c>
      <c r="E98" s="1" t="n">
        <v>46218</v>
      </c>
      <c r="F98" t="inlineStr">
        <is>
          <t>DALARNAS LÄN</t>
        </is>
      </c>
      <c r="G98" t="inlineStr">
        <is>
          <t>BORLÄNGE</t>
        </is>
      </c>
      <c r="I98" t="n">
        <v>3</v>
      </c>
      <c r="J98" t="n">
        <v>0</v>
      </c>
      <c r="K98" t="n">
        <v>1</v>
      </c>
      <c r="L98" t="n">
        <v>0</v>
      </c>
      <c r="M98" t="n">
        <v>0</v>
      </c>
      <c r="N98" t="n">
        <v>0</v>
      </c>
      <c r="O98" t="n">
        <v>0</v>
      </c>
      <c r="P98" t="n">
        <v>0</v>
      </c>
      <c r="Q98" t="n">
        <v>0</v>
      </c>
      <c r="R98" t="n">
        <v>0</v>
      </c>
      <c r="S98" t="n">
        <v>1</v>
      </c>
      <c r="T98" t="n">
        <v>1</v>
      </c>
      <c r="U98" s="2" t="inlineStr">
        <is>
          <t>Bronshjon</t>
        </is>
      </c>
      <c r="V98">
        <f>HYPERLINK("https://klasma.github.io/Logging_2081/artfynd/A 24761-2025 artfynd.xlsx", "A 24761-2025")</f>
        <v/>
      </c>
      <c r="W98">
        <f>HYPERLINK("https://klasma.github.io/Logging_2081/kartor/A 24761-2025 karta.png", "A 24761-2025")</f>
        <v/>
      </c>
      <c r="Y98">
        <f>HYPERLINK("https://klasma.github.io/Logging_2081/klagomål/A 24761-2025 FSC-klagomål.docx", "A 24761-2025")</f>
        <v/>
      </c>
      <c r="Z98">
        <f>HYPERLINK("https://klasma.github.io/Logging_2081/klagomålsmail/A 24761-2025 FSC-klagomål mail.docx", "A 24761-2025")</f>
        <v/>
      </c>
      <c r="AA98">
        <f>HYPERLINK("https://klasma.github.io/Logging_2081/tillsyn/A 24761-2025 tillsynsbegäran.docx", "A 24761-2025")</f>
        <v/>
      </c>
      <c r="AB98">
        <f>HYPERLINK("https://klasma.github.io/Logging_2081/tillsynsmail/A 24761-2025 tillsynsbegäran mail.docx", "A 24761-2025")</f>
        <v/>
      </c>
    </row>
    <row r="99" ht="15" customHeight="1">
      <c r="A99" t="inlineStr">
        <is>
          <t>A 25763-2023</t>
        </is>
      </c>
      <c r="B99" t="inlineStr">
        <is>
          <t>avverkningsanmälan</t>
        </is>
      </c>
      <c r="C99" t="inlineStr">
        <is>
          <t>Föryngringsavverkning</t>
        </is>
      </c>
      <c r="D99" s="1" t="n">
        <v>45090</v>
      </c>
      <c r="E99" s="1" t="n">
        <v>46218</v>
      </c>
      <c r="F99" t="inlineStr">
        <is>
          <t>DALARNAS LÄN</t>
        </is>
      </c>
      <c r="G99" t="inlineStr">
        <is>
          <t>BORLÄNGE</t>
        </is>
      </c>
      <c r="I99" t="n">
        <v>2.9</v>
      </c>
      <c r="J99" t="n">
        <v>1</v>
      </c>
      <c r="K99" t="n">
        <v>0</v>
      </c>
      <c r="L99" t="n">
        <v>0</v>
      </c>
      <c r="M99" t="n">
        <v>0</v>
      </c>
      <c r="N99" t="n">
        <v>0</v>
      </c>
      <c r="O99" t="n">
        <v>0</v>
      </c>
      <c r="P99" t="n">
        <v>0</v>
      </c>
      <c r="Q99" t="n">
        <v>0</v>
      </c>
      <c r="R99" t="n">
        <v>0</v>
      </c>
      <c r="S99" t="n">
        <v>1</v>
      </c>
      <c r="T99" t="n">
        <v>2</v>
      </c>
      <c r="U99" s="2" t="inlineStr">
        <is>
          <t>Fläcknycklar</t>
        </is>
      </c>
      <c r="V99">
        <f>HYPERLINK("https://klasma.github.io/Logging_2081/artfynd/A 25763-2023 artfynd.xlsx", "A 25763-2023")</f>
        <v/>
      </c>
      <c r="W99">
        <f>HYPERLINK("https://klasma.github.io/Logging_2081/kartor/A 25763-2023 karta.png", "A 25763-2023")</f>
        <v/>
      </c>
      <c r="Y99">
        <f>HYPERLINK("https://klasma.github.io/Logging_2081/klagomål/A 25763-2023 FSC-klagomål.docx", "A 25763-2023")</f>
        <v/>
      </c>
      <c r="Z99">
        <f>HYPERLINK("https://klasma.github.io/Logging_2081/klagomålsmail/A 25763-2023 FSC-klagomål mail.docx", "A 25763-2023")</f>
        <v/>
      </c>
      <c r="AA99">
        <f>HYPERLINK("https://klasma.github.io/Logging_2081/tillsyn/A 25763-2023 tillsynsbegäran.docx", "A 25763-2023")</f>
        <v/>
      </c>
      <c r="AB99">
        <f>HYPERLINK("https://klasma.github.io/Logging_2081/tillsynsmail/A 25763-2023 tillsynsbegäran mail.docx", "A 25763-2023")</f>
        <v/>
      </c>
    </row>
    <row r="100" ht="15" customHeight="1">
      <c r="A100" t="inlineStr">
        <is>
          <t>A 3006-2025</t>
        </is>
      </c>
      <c r="B100" t="inlineStr">
        <is>
          <t>avverkningsanmälan</t>
        </is>
      </c>
      <c r="C100" t="inlineStr">
        <is>
          <t>Avverkning för att bevara och utveckla /försöksver</t>
        </is>
      </c>
      <c r="D100" s="1" t="n">
        <v>45678</v>
      </c>
      <c r="E100" s="1" t="n">
        <v>46218</v>
      </c>
      <c r="F100" t="inlineStr">
        <is>
          <t>DALARNAS LÄN</t>
        </is>
      </c>
      <c r="G100" t="inlineStr">
        <is>
          <t>BORLÄNGE</t>
        </is>
      </c>
      <c r="H100" t="inlineStr">
        <is>
          <t>Kommuner</t>
        </is>
      </c>
      <c r="I100" t="n">
        <v>5.8</v>
      </c>
      <c r="J100" t="n">
        <v>1</v>
      </c>
      <c r="K100" t="n">
        <v>0</v>
      </c>
      <c r="L100" t="n">
        <v>0</v>
      </c>
      <c r="M100" t="n">
        <v>0</v>
      </c>
      <c r="N100" t="n">
        <v>0</v>
      </c>
      <c r="O100" t="n">
        <v>0</v>
      </c>
      <c r="P100" t="n">
        <v>0</v>
      </c>
      <c r="Q100" t="n">
        <v>0</v>
      </c>
      <c r="R100" t="n">
        <v>0</v>
      </c>
      <c r="S100" t="n">
        <v>1</v>
      </c>
      <c r="T100" t="n">
        <v>1</v>
      </c>
      <c r="U100" s="2" t="inlineStr">
        <is>
          <t>Vanlig groda</t>
        </is>
      </c>
      <c r="V100">
        <f>HYPERLINK("https://klasma.github.io/Logging_2081/artfynd/A 3006-2025 artfynd.xlsx", "A 3006-2025")</f>
        <v/>
      </c>
      <c r="W100">
        <f>HYPERLINK("https://klasma.github.io/Logging_2081/kartor/A 3006-2025 karta.png", "A 3006-2025")</f>
        <v/>
      </c>
      <c r="Y100">
        <f>HYPERLINK("https://klasma.github.io/Logging_2081/klagomål/A 3006-2025 FSC-klagomål.docx", "A 3006-2025")</f>
        <v/>
      </c>
      <c r="Z100">
        <f>HYPERLINK("https://klasma.github.io/Logging_2081/klagomålsmail/A 3006-2025 FSC-klagomål mail.docx", "A 3006-2025")</f>
        <v/>
      </c>
      <c r="AA100">
        <f>HYPERLINK("https://klasma.github.io/Logging_2081/tillsyn/A 3006-2025 tillsynsbegäran.docx", "A 3006-2025")</f>
        <v/>
      </c>
      <c r="AB100">
        <f>HYPERLINK("https://klasma.github.io/Logging_2081/tillsynsmail/A 3006-2025 tillsynsbegäran mail.docx", "A 3006-2025")</f>
        <v/>
      </c>
    </row>
    <row r="101" ht="15" customHeight="1">
      <c r="A101" t="inlineStr">
        <is>
          <t>A 38708-2021</t>
        </is>
      </c>
      <c r="B101" t="inlineStr">
        <is>
          <t>avverkningsanmälan</t>
        </is>
      </c>
      <c r="C101" t="inlineStr">
        <is>
          <t>Föryngringsavverkning</t>
        </is>
      </c>
      <c r="D101" s="1" t="n">
        <v>44410</v>
      </c>
      <c r="E101" s="1" t="n">
        <v>46218</v>
      </c>
      <c r="F101" t="inlineStr">
        <is>
          <t>DALARNAS LÄN</t>
        </is>
      </c>
      <c r="G101" t="inlineStr">
        <is>
          <t>BORLÄNGE</t>
        </is>
      </c>
      <c r="I101" t="n">
        <v>1.1</v>
      </c>
      <c r="J101" t="n">
        <v>0</v>
      </c>
      <c r="K101" t="n">
        <v>0</v>
      </c>
      <c r="L101" t="n">
        <v>1</v>
      </c>
      <c r="M101" t="n">
        <v>0</v>
      </c>
      <c r="N101" t="n">
        <v>0</v>
      </c>
      <c r="O101" t="n">
        <v>0</v>
      </c>
      <c r="P101" t="n">
        <v>0</v>
      </c>
      <c r="Q101" t="n">
        <v>1</v>
      </c>
      <c r="R101" t="n">
        <v>0</v>
      </c>
      <c r="S101" t="n">
        <v>1</v>
      </c>
      <c r="T101" t="n">
        <v>1</v>
      </c>
      <c r="U101" s="2" t="inlineStr">
        <is>
          <t>Äggvaxskivling</t>
        </is>
      </c>
      <c r="V101">
        <f>HYPERLINK("https://klasma.github.io/Logging_2081/artfynd/A 38708-2021 artfynd.xlsx", "A 38708-2021")</f>
        <v/>
      </c>
      <c r="W101">
        <f>HYPERLINK("https://klasma.github.io/Logging_2081/kartor/A 38708-2021 karta.png", "A 38708-2021")</f>
        <v/>
      </c>
      <c r="Y101">
        <f>HYPERLINK("https://klasma.github.io/Logging_2081/klagomål/A 38708-2021 FSC-klagomål.docx", "A 38708-2021")</f>
        <v/>
      </c>
      <c r="Z101">
        <f>HYPERLINK("https://klasma.github.io/Logging_2081/klagomålsmail/A 38708-2021 FSC-klagomål mail.docx", "A 38708-2021")</f>
        <v/>
      </c>
      <c r="AA101">
        <f>HYPERLINK("https://klasma.github.io/Logging_2081/tillsyn/A 38708-2021 tillsynsbegäran.docx", "A 38708-2021")</f>
        <v/>
      </c>
      <c r="AB101">
        <f>HYPERLINK("https://klasma.github.io/Logging_2081/tillsynsmail/A 38708-2021 tillsynsbegäran mail.docx", "A 38708-2021")</f>
        <v/>
      </c>
    </row>
    <row r="102" ht="15" customHeight="1">
      <c r="A102" t="inlineStr">
        <is>
          <t>A 37722-2024</t>
        </is>
      </c>
      <c r="B102" t="inlineStr">
        <is>
          <t>avverkningsanmälan</t>
        </is>
      </c>
      <c r="C102" t="inlineStr">
        <is>
          <t>Föryngringsavverkning</t>
        </is>
      </c>
      <c r="D102" s="1" t="n">
        <v>45541</v>
      </c>
      <c r="E102" s="1" t="n">
        <v>46218</v>
      </c>
      <c r="F102" t="inlineStr">
        <is>
          <t>DALARNAS LÄN</t>
        </is>
      </c>
      <c r="G102" t="inlineStr">
        <is>
          <t>BORLÄNGE</t>
        </is>
      </c>
      <c r="I102" t="n">
        <v>1.2</v>
      </c>
      <c r="J102" t="n">
        <v>0</v>
      </c>
      <c r="K102" t="n">
        <v>0</v>
      </c>
      <c r="L102" t="n">
        <v>1</v>
      </c>
      <c r="M102" t="n">
        <v>0</v>
      </c>
      <c r="N102" t="n">
        <v>0</v>
      </c>
      <c r="O102" t="n">
        <v>0</v>
      </c>
      <c r="P102" t="n">
        <v>0</v>
      </c>
      <c r="Q102" t="n">
        <v>1</v>
      </c>
      <c r="R102" t="n">
        <v>0</v>
      </c>
      <c r="S102" t="n">
        <v>1</v>
      </c>
      <c r="T102" t="n">
        <v>1</v>
      </c>
      <c r="U102" s="2" t="inlineStr">
        <is>
          <t>Motaggsvamp</t>
        </is>
      </c>
      <c r="V102">
        <f>HYPERLINK("https://klasma.github.io/Logging_2081/artfynd/A 37722-2024 artfynd.xlsx", "A 37722-2024")</f>
        <v/>
      </c>
      <c r="W102">
        <f>HYPERLINK("https://klasma.github.io/Logging_2081/kartor/A 37722-2024 karta.png", "A 37722-2024")</f>
        <v/>
      </c>
      <c r="Y102">
        <f>HYPERLINK("https://klasma.github.io/Logging_2081/klagomål/A 37722-2024 FSC-klagomål.docx", "A 37722-2024")</f>
        <v/>
      </c>
      <c r="Z102">
        <f>HYPERLINK("https://klasma.github.io/Logging_2081/klagomålsmail/A 37722-2024 FSC-klagomål mail.docx", "A 37722-2024")</f>
        <v/>
      </c>
      <c r="AA102">
        <f>HYPERLINK("https://klasma.github.io/Logging_2081/tillsyn/A 37722-2024 tillsynsbegäran.docx", "A 37722-2024")</f>
        <v/>
      </c>
      <c r="AB102">
        <f>HYPERLINK("https://klasma.github.io/Logging_2081/tillsynsmail/A 37722-2024 tillsynsbegäran mail.docx", "A 37722-2024")</f>
        <v/>
      </c>
    </row>
    <row r="103" ht="15" customHeight="1">
      <c r="A103" t="inlineStr">
        <is>
          <t>A 55298-2023</t>
        </is>
      </c>
      <c r="B103" t="inlineStr">
        <is>
          <t>avverkningsanmälan</t>
        </is>
      </c>
      <c r="C103" t="inlineStr">
        <is>
          <t>Avverkning för annat ändamål</t>
        </is>
      </c>
      <c r="D103" s="1" t="n">
        <v>45237</v>
      </c>
      <c r="E103" s="1" t="n">
        <v>46218</v>
      </c>
      <c r="F103" t="inlineStr">
        <is>
          <t>DALARNAS LÄN</t>
        </is>
      </c>
      <c r="G103" t="inlineStr">
        <is>
          <t>BORLÄNGE</t>
        </is>
      </c>
      <c r="I103" t="n">
        <v>1.3</v>
      </c>
      <c r="J103" t="n">
        <v>1</v>
      </c>
      <c r="K103" t="n">
        <v>0</v>
      </c>
      <c r="L103" t="n">
        <v>1</v>
      </c>
      <c r="M103" t="n">
        <v>0</v>
      </c>
      <c r="N103" t="n">
        <v>0</v>
      </c>
      <c r="O103" t="n">
        <v>0</v>
      </c>
      <c r="P103" t="n">
        <v>0</v>
      </c>
      <c r="Q103" t="n">
        <v>1</v>
      </c>
      <c r="R103" t="n">
        <v>0</v>
      </c>
      <c r="S103" t="n">
        <v>1</v>
      </c>
      <c r="T103" t="n">
        <v>2</v>
      </c>
      <c r="U103" s="2" t="inlineStr">
        <is>
          <t>Höstlåsbräken</t>
        </is>
      </c>
      <c r="V103">
        <f>HYPERLINK("https://klasma.github.io/Logging_2081/artfynd/A 55298-2023 artfynd.xlsx", "A 55298-2023")</f>
        <v/>
      </c>
      <c r="W103">
        <f>HYPERLINK("https://klasma.github.io/Logging_2081/kartor/A 55298-2023 karta.png", "A 55298-2023")</f>
        <v/>
      </c>
      <c r="Y103">
        <f>HYPERLINK("https://klasma.github.io/Logging_2081/klagomål/A 55298-2023 FSC-klagomål.docx", "A 55298-2023")</f>
        <v/>
      </c>
      <c r="Z103">
        <f>HYPERLINK("https://klasma.github.io/Logging_2081/klagomålsmail/A 55298-2023 FSC-klagomål mail.docx", "A 55298-2023")</f>
        <v/>
      </c>
      <c r="AA103">
        <f>HYPERLINK("https://klasma.github.io/Logging_2081/tillsyn/A 55298-2023 tillsynsbegäran.docx", "A 55298-2023")</f>
        <v/>
      </c>
      <c r="AB103">
        <f>HYPERLINK("https://klasma.github.io/Logging_2081/tillsynsmail/A 55298-2023 tillsynsbegäran mail.docx", "A 55298-2023")</f>
        <v/>
      </c>
    </row>
    <row r="104" ht="15" customHeight="1">
      <c r="A104" t="inlineStr">
        <is>
          <t>A 35389-2022</t>
        </is>
      </c>
      <c r="B104" t="inlineStr">
        <is>
          <t>avverkningsanmälan</t>
        </is>
      </c>
      <c r="C104" t="inlineStr">
        <is>
          <t>Avverkning för annat ändamål</t>
        </is>
      </c>
      <c r="D104" s="1" t="n">
        <v>44798</v>
      </c>
      <c r="E104" s="1" t="n">
        <v>46218</v>
      </c>
      <c r="F104" t="inlineStr">
        <is>
          <t>DALARNAS LÄN</t>
        </is>
      </c>
      <c r="G104" t="inlineStr">
        <is>
          <t>BORLÄNGE</t>
        </is>
      </c>
      <c r="I104" t="n">
        <v>0.5</v>
      </c>
      <c r="J104" t="n">
        <v>0</v>
      </c>
      <c r="K104" t="n">
        <v>0</v>
      </c>
      <c r="L104" t="n">
        <v>0</v>
      </c>
      <c r="M104" t="n">
        <v>1</v>
      </c>
      <c r="N104" t="n">
        <v>0</v>
      </c>
      <c r="O104" t="n">
        <v>0</v>
      </c>
      <c r="P104" t="n">
        <v>0</v>
      </c>
      <c r="Q104" t="n">
        <v>1</v>
      </c>
      <c r="R104" t="n">
        <v>1</v>
      </c>
      <c r="S104" t="n">
        <v>1</v>
      </c>
      <c r="T104" t="n">
        <v>2</v>
      </c>
      <c r="U104" s="2" t="inlineStr">
        <is>
          <t>Garnlav</t>
        </is>
      </c>
      <c r="V104">
        <f>HYPERLINK("https://klasma.github.io/Logging_2081/artfynd/A 35389-2022 artfynd.xlsx", "A 35389-2022")</f>
        <v/>
      </c>
      <c r="W104">
        <f>HYPERLINK("https://klasma.github.io/Logging_2081/kartor/A 35389-2022 karta.png", "A 35389-2022")</f>
        <v/>
      </c>
      <c r="Y104">
        <f>HYPERLINK("https://klasma.github.io/Logging_2081/klagomål/A 35389-2022 FSC-klagomål.docx", "A 35389-2022")</f>
        <v/>
      </c>
      <c r="Z104">
        <f>HYPERLINK("https://klasma.github.io/Logging_2081/klagomålsmail/A 35389-2022 FSC-klagomål mail.docx", "A 35389-2022")</f>
        <v/>
      </c>
      <c r="AA104">
        <f>HYPERLINK("https://klasma.github.io/Logging_2081/tillsyn/A 35389-2022 tillsynsbegäran.docx", "A 35389-2022")</f>
        <v/>
      </c>
      <c r="AB104">
        <f>HYPERLINK("https://klasma.github.io/Logging_2081/tillsynsmail/A 35389-2022 tillsynsbegäran mail.docx", "A 35389-2022")</f>
        <v/>
      </c>
    </row>
    <row r="105" ht="15" customHeight="1">
      <c r="A105" t="inlineStr">
        <is>
          <t>A 27121-2026</t>
        </is>
      </c>
      <c r="B105" t="inlineStr">
        <is>
          <t>avverkningsanmälan</t>
        </is>
      </c>
      <c r="C105" t="inlineStr">
        <is>
          <t>Föryngringsavverkning</t>
        </is>
      </c>
      <c r="D105" s="1" t="n">
        <v>46188</v>
      </c>
      <c r="E105" s="1" t="n">
        <v>46218</v>
      </c>
      <c r="F105" t="inlineStr">
        <is>
          <t>DALARNAS LÄN</t>
        </is>
      </c>
      <c r="G105" t="inlineStr">
        <is>
          <t>BORLÄNGE</t>
        </is>
      </c>
      <c r="H105" t="inlineStr">
        <is>
          <t>Bergvik skog väst AB</t>
        </is>
      </c>
      <c r="I105" t="n">
        <v>2.5</v>
      </c>
      <c r="J105" t="n">
        <v>1</v>
      </c>
      <c r="K105" t="n">
        <v>0</v>
      </c>
      <c r="L105" t="n">
        <v>0</v>
      </c>
      <c r="M105" t="n">
        <v>0</v>
      </c>
      <c r="N105" t="n">
        <v>0</v>
      </c>
      <c r="O105" t="n">
        <v>0</v>
      </c>
      <c r="P105" t="n">
        <v>0</v>
      </c>
      <c r="Q105" t="n">
        <v>0</v>
      </c>
      <c r="R105" t="n">
        <v>0</v>
      </c>
      <c r="S105" t="n">
        <v>1</v>
      </c>
      <c r="T105" t="n">
        <v>1</v>
      </c>
      <c r="U105" s="2" t="inlineStr">
        <is>
          <t>Spillkråka</t>
        </is>
      </c>
      <c r="V105">
        <f>HYPERLINK("https://klasma.github.io/Logging_2081/artfynd/A 27121-2026 artfynd.xlsx", "A 27121-2026")</f>
        <v/>
      </c>
      <c r="W105">
        <f>HYPERLINK("https://klasma.github.io/Logging_2081/kartor/A 27121-2026 karta.png", "A 27121-2026")</f>
        <v/>
      </c>
      <c r="Y105">
        <f>HYPERLINK("https://klasma.github.io/Logging_2081/klagomål/A 27121-2026 FSC-klagomål.docx", "A 27121-2026")</f>
        <v/>
      </c>
      <c r="Z105">
        <f>HYPERLINK("https://klasma.github.io/Logging_2081/klagomålsmail/A 27121-2026 FSC-klagomål mail.docx", "A 27121-2026")</f>
        <v/>
      </c>
      <c r="AA105">
        <f>HYPERLINK("https://klasma.github.io/Logging_2081/tillsyn/A 27121-2026 tillsynsbegäran.docx", "A 27121-2026")</f>
        <v/>
      </c>
      <c r="AB105">
        <f>HYPERLINK("https://klasma.github.io/Logging_2081/tillsynsmail/A 27121-2026 tillsynsbegäran mail.docx", "A 27121-2026")</f>
        <v/>
      </c>
      <c r="AC105">
        <f>HYPERLINK("https://klasma.github.io/Logging_2081/fåglar/A 27121-2026 prioriterade fågelarter.docx", "A 27121-2026")</f>
        <v/>
      </c>
    </row>
    <row r="106" ht="15" customHeight="1">
      <c r="A106" t="inlineStr">
        <is>
          <t>A 1166-2025</t>
        </is>
      </c>
      <c r="B106" t="inlineStr">
        <is>
          <t>avverkningsanmälan</t>
        </is>
      </c>
      <c r="C106" t="inlineStr">
        <is>
          <t>Föryngringsavverkning</t>
        </is>
      </c>
      <c r="D106" s="1" t="n">
        <v>45666</v>
      </c>
      <c r="E106" s="1" t="n">
        <v>46218</v>
      </c>
      <c r="F106" t="inlineStr">
        <is>
          <t>DALARNAS LÄN</t>
        </is>
      </c>
      <c r="G106" t="inlineStr">
        <is>
          <t>BORLÄNGE</t>
        </is>
      </c>
      <c r="I106" t="n">
        <v>1.1</v>
      </c>
      <c r="J106" t="n">
        <v>1</v>
      </c>
      <c r="K106" t="n">
        <v>0</v>
      </c>
      <c r="L106" t="n">
        <v>0</v>
      </c>
      <c r="M106" t="n">
        <v>0</v>
      </c>
      <c r="N106" t="n">
        <v>0</v>
      </c>
      <c r="O106" t="n">
        <v>0</v>
      </c>
      <c r="P106" t="n">
        <v>0</v>
      </c>
      <c r="Q106" t="n">
        <v>0</v>
      </c>
      <c r="R106" t="n">
        <v>0</v>
      </c>
      <c r="S106" t="n">
        <v>1</v>
      </c>
      <c r="T106" t="n">
        <v>1</v>
      </c>
      <c r="U106" s="2" t="inlineStr">
        <is>
          <t>Spillkråka</t>
        </is>
      </c>
      <c r="V106">
        <f>HYPERLINK("https://klasma.github.io/Logging_2081/artfynd/A 1166-2025 artfynd.xlsx", "A 1166-2025")</f>
        <v/>
      </c>
      <c r="W106">
        <f>HYPERLINK("https://klasma.github.io/Logging_2081/kartor/A 1166-2025 karta.png", "A 1166-2025")</f>
        <v/>
      </c>
      <c r="Y106">
        <f>HYPERLINK("https://klasma.github.io/Logging_2081/klagomål/A 1166-2025 FSC-klagomål.docx", "A 1166-2025")</f>
        <v/>
      </c>
      <c r="Z106">
        <f>HYPERLINK("https://klasma.github.io/Logging_2081/klagomålsmail/A 1166-2025 FSC-klagomål mail.docx", "A 1166-2025")</f>
        <v/>
      </c>
      <c r="AA106">
        <f>HYPERLINK("https://klasma.github.io/Logging_2081/tillsyn/A 1166-2025 tillsynsbegäran.docx", "A 1166-2025")</f>
        <v/>
      </c>
      <c r="AB106">
        <f>HYPERLINK("https://klasma.github.io/Logging_2081/tillsynsmail/A 1166-2025 tillsynsbegäran mail.docx", "A 1166-2025")</f>
        <v/>
      </c>
      <c r="AC106">
        <f>HYPERLINK("https://klasma.github.io/Logging_2081/fåglar/A 1166-2025 prioriterade fågelarter.docx", "A 1166-2025")</f>
        <v/>
      </c>
    </row>
    <row r="107" ht="15" customHeight="1">
      <c r="A107" t="inlineStr">
        <is>
          <t>A 63962-2025</t>
        </is>
      </c>
      <c r="B107" t="inlineStr">
        <is>
          <t>avverkningsanmälan</t>
        </is>
      </c>
      <c r="C107" t="inlineStr">
        <is>
          <t>Föryngringsavverkning</t>
        </is>
      </c>
      <c r="D107" s="1" t="n">
        <v>46020</v>
      </c>
      <c r="E107" s="1" t="n">
        <v>46218</v>
      </c>
      <c r="F107" t="inlineStr">
        <is>
          <t>DALARNAS LÄN</t>
        </is>
      </c>
      <c r="G107" t="inlineStr">
        <is>
          <t>BORLÄNGE</t>
        </is>
      </c>
      <c r="I107" t="n">
        <v>48.9</v>
      </c>
      <c r="J107" t="n">
        <v>0</v>
      </c>
      <c r="K107" t="n">
        <v>0</v>
      </c>
      <c r="L107" t="n">
        <v>1</v>
      </c>
      <c r="M107" t="n">
        <v>0</v>
      </c>
      <c r="N107" t="n">
        <v>0</v>
      </c>
      <c r="O107" t="n">
        <v>0</v>
      </c>
      <c r="P107" t="n">
        <v>0</v>
      </c>
      <c r="Q107" t="n">
        <v>1</v>
      </c>
      <c r="R107" t="n">
        <v>0</v>
      </c>
      <c r="S107" t="n">
        <v>1</v>
      </c>
      <c r="T107" t="n">
        <v>1</v>
      </c>
      <c r="U107" s="2" t="inlineStr">
        <is>
          <t>Motaggsvamp</t>
        </is>
      </c>
      <c r="V107">
        <f>HYPERLINK("https://klasma.github.io/Logging_2081/artfynd/A 63962-2025 artfynd.xlsx", "A 63962-2025")</f>
        <v/>
      </c>
      <c r="W107">
        <f>HYPERLINK("https://klasma.github.io/Logging_2081/kartor/A 63962-2025 karta.png", "A 63962-2025")</f>
        <v/>
      </c>
      <c r="Y107">
        <f>HYPERLINK("https://klasma.github.io/Logging_2081/klagomål/A 63962-2025 FSC-klagomål.docx", "A 63962-2025")</f>
        <v/>
      </c>
      <c r="Z107">
        <f>HYPERLINK("https://klasma.github.io/Logging_2081/klagomålsmail/A 63962-2025 FSC-klagomål mail.docx", "A 63962-2025")</f>
        <v/>
      </c>
      <c r="AA107">
        <f>HYPERLINK("https://klasma.github.io/Logging_2081/tillsyn/A 63962-2025 tillsynsbegäran.docx", "A 63962-2025")</f>
        <v/>
      </c>
      <c r="AB107">
        <f>HYPERLINK("https://klasma.github.io/Logging_2081/tillsynsmail/A 63962-2025 tillsynsbegäran mail.docx", "A 63962-2025")</f>
        <v/>
      </c>
    </row>
    <row r="108" ht="15" customHeight="1">
      <c r="A108" t="inlineStr">
        <is>
          <t>A 755-2026</t>
        </is>
      </c>
      <c r="B108" t="inlineStr">
        <is>
          <t>avverkningsanmälan</t>
        </is>
      </c>
      <c r="C108" t="inlineStr">
        <is>
          <t>Föryngringsavverkning</t>
        </is>
      </c>
      <c r="D108" s="1" t="n">
        <v>46029</v>
      </c>
      <c r="E108" s="1" t="n">
        <v>46218</v>
      </c>
      <c r="F108" t="inlineStr">
        <is>
          <t>DALARNAS LÄN</t>
        </is>
      </c>
      <c r="G108" t="inlineStr">
        <is>
          <t>BORLÄNGE</t>
        </is>
      </c>
      <c r="I108" t="n">
        <v>6.7</v>
      </c>
      <c r="J108" t="n">
        <v>1</v>
      </c>
      <c r="K108" t="n">
        <v>0</v>
      </c>
      <c r="L108" t="n">
        <v>0</v>
      </c>
      <c r="M108" t="n">
        <v>1</v>
      </c>
      <c r="N108" t="n">
        <v>0</v>
      </c>
      <c r="O108" t="n">
        <v>0</v>
      </c>
      <c r="P108" t="n">
        <v>0</v>
      </c>
      <c r="Q108" t="n">
        <v>1</v>
      </c>
      <c r="R108" t="n">
        <v>1</v>
      </c>
      <c r="S108" t="n">
        <v>1</v>
      </c>
      <c r="T108" t="n">
        <v>1</v>
      </c>
      <c r="U108" s="2" t="inlineStr">
        <is>
          <t>Knärot</t>
        </is>
      </c>
      <c r="V108">
        <f>HYPERLINK("https://klasma.github.io/Logging_2081/artfynd/A 755-2026 artfynd.xlsx", "A 755-2026")</f>
        <v/>
      </c>
      <c r="W108">
        <f>HYPERLINK("https://klasma.github.io/Logging_2081/kartor/A 755-2026 karta.png", "A 755-2026")</f>
        <v/>
      </c>
      <c r="X108">
        <f>HYPERLINK("https://klasma.github.io/Logging_2081/knärot/A 755-2026 karta knärot.png", "A 755-2026")</f>
        <v/>
      </c>
      <c r="Y108">
        <f>HYPERLINK("https://klasma.github.io/Logging_2081/klagomål/A 755-2026 FSC-klagomål.docx", "A 755-2026")</f>
        <v/>
      </c>
      <c r="Z108">
        <f>HYPERLINK("https://klasma.github.io/Logging_2081/klagomålsmail/A 755-2026 FSC-klagomål mail.docx", "A 755-2026")</f>
        <v/>
      </c>
      <c r="AA108">
        <f>HYPERLINK("https://klasma.github.io/Logging_2081/tillsyn/A 755-2026 tillsynsbegäran.docx", "A 755-2026")</f>
        <v/>
      </c>
      <c r="AB108">
        <f>HYPERLINK("https://klasma.github.io/Logging_2081/tillsynsmail/A 755-2026 tillsynsbegäran mail.docx", "A 755-2026")</f>
        <v/>
      </c>
    </row>
    <row r="109" ht="15" customHeight="1">
      <c r="A109" t="inlineStr">
        <is>
          <t>A 1843-2026</t>
        </is>
      </c>
      <c r="B109" t="inlineStr">
        <is>
          <t>avverkningsanmälan</t>
        </is>
      </c>
      <c r="C109" t="inlineStr">
        <is>
          <t>Föryngringsavverkning</t>
        </is>
      </c>
      <c r="D109" s="1" t="n">
        <v>46035</v>
      </c>
      <c r="E109" s="1" t="n">
        <v>46218</v>
      </c>
      <c r="F109" t="inlineStr">
        <is>
          <t>DALARNAS LÄN</t>
        </is>
      </c>
      <c r="G109" t="inlineStr">
        <is>
          <t>BORLÄNGE</t>
        </is>
      </c>
      <c r="H109" t="inlineStr">
        <is>
          <t>Kommuner</t>
        </is>
      </c>
      <c r="I109" t="n">
        <v>4</v>
      </c>
      <c r="J109" t="n">
        <v>0</v>
      </c>
      <c r="K109" t="n">
        <v>1</v>
      </c>
      <c r="L109" t="n">
        <v>0</v>
      </c>
      <c r="M109" t="n">
        <v>0</v>
      </c>
      <c r="N109" t="n">
        <v>0</v>
      </c>
      <c r="O109" t="n">
        <v>0</v>
      </c>
      <c r="P109" t="n">
        <v>0</v>
      </c>
      <c r="Q109" t="n">
        <v>0</v>
      </c>
      <c r="R109" t="n">
        <v>0</v>
      </c>
      <c r="S109" t="n">
        <v>1</v>
      </c>
      <c r="T109" t="n">
        <v>1</v>
      </c>
      <c r="U109" s="2" t="inlineStr">
        <is>
          <t>Gullgröppa</t>
        </is>
      </c>
      <c r="V109">
        <f>HYPERLINK("https://klasma.github.io/Logging_2081/artfynd/A 1843-2026 artfynd.xlsx", "A 1843-2026")</f>
        <v/>
      </c>
      <c r="W109">
        <f>HYPERLINK("https://klasma.github.io/Logging_2081/kartor/A 1843-2026 karta.png", "A 1843-2026")</f>
        <v/>
      </c>
      <c r="Y109">
        <f>HYPERLINK("https://klasma.github.io/Logging_2081/klagomål/A 1843-2026 FSC-klagomål.docx", "A 1843-2026")</f>
        <v/>
      </c>
      <c r="Z109">
        <f>HYPERLINK("https://klasma.github.io/Logging_2081/klagomålsmail/A 1843-2026 FSC-klagomål mail.docx", "A 1843-2026")</f>
        <v/>
      </c>
      <c r="AA109">
        <f>HYPERLINK("https://klasma.github.io/Logging_2081/tillsyn/A 1843-2026 tillsynsbegäran.docx", "A 1843-2026")</f>
        <v/>
      </c>
      <c r="AB109">
        <f>HYPERLINK("https://klasma.github.io/Logging_2081/tillsynsmail/A 1843-2026 tillsynsbegäran mail.docx", "A 1843-2026")</f>
        <v/>
      </c>
    </row>
    <row r="110" ht="15" customHeight="1">
      <c r="A110" t="inlineStr">
        <is>
          <t>A 1591-2026</t>
        </is>
      </c>
      <c r="B110" t="inlineStr">
        <is>
          <t>avverkningsanmälan</t>
        </is>
      </c>
      <c r="C110" t="inlineStr">
        <is>
          <t>Föryngringsavverkning</t>
        </is>
      </c>
      <c r="D110" s="1" t="n">
        <v>46031</v>
      </c>
      <c r="E110" s="1" t="n">
        <v>46218</v>
      </c>
      <c r="F110" t="inlineStr">
        <is>
          <t>DALARNAS LÄN</t>
        </is>
      </c>
      <c r="G110" t="inlineStr">
        <is>
          <t>BORLÄNGE</t>
        </is>
      </c>
      <c r="I110" t="n">
        <v>15.6</v>
      </c>
      <c r="J110" t="n">
        <v>0</v>
      </c>
      <c r="K110" t="n">
        <v>0</v>
      </c>
      <c r="L110" t="n">
        <v>1</v>
      </c>
      <c r="M110" t="n">
        <v>0</v>
      </c>
      <c r="N110" t="n">
        <v>0</v>
      </c>
      <c r="O110" t="n">
        <v>0</v>
      </c>
      <c r="P110" t="n">
        <v>0</v>
      </c>
      <c r="Q110" t="n">
        <v>1</v>
      </c>
      <c r="R110" t="n">
        <v>0</v>
      </c>
      <c r="S110" t="n">
        <v>1</v>
      </c>
      <c r="T110" t="n">
        <v>1</v>
      </c>
      <c r="U110" s="2" t="inlineStr">
        <is>
          <t>Rosenticka</t>
        </is>
      </c>
      <c r="V110">
        <f>HYPERLINK("https://klasma.github.io/Logging_2081/artfynd/A 1591-2026 artfynd.xlsx", "A 1591-2026")</f>
        <v/>
      </c>
      <c r="W110">
        <f>HYPERLINK("https://klasma.github.io/Logging_2081/kartor/A 1591-2026 karta.png", "A 1591-2026")</f>
        <v/>
      </c>
      <c r="Y110">
        <f>HYPERLINK("https://klasma.github.io/Logging_2081/klagomål/A 1591-2026 FSC-klagomål.docx", "A 1591-2026")</f>
        <v/>
      </c>
      <c r="Z110">
        <f>HYPERLINK("https://klasma.github.io/Logging_2081/klagomålsmail/A 1591-2026 FSC-klagomål mail.docx", "A 1591-2026")</f>
        <v/>
      </c>
      <c r="AA110">
        <f>HYPERLINK("https://klasma.github.io/Logging_2081/tillsyn/A 1591-2026 tillsynsbegäran.docx", "A 1591-2026")</f>
        <v/>
      </c>
      <c r="AB110">
        <f>HYPERLINK("https://klasma.github.io/Logging_2081/tillsynsmail/A 1591-2026 tillsynsbegäran mail.docx", "A 1591-2026")</f>
        <v/>
      </c>
    </row>
    <row r="111" ht="15" customHeight="1">
      <c r="A111" t="inlineStr">
        <is>
          <t>A 58616-2023</t>
        </is>
      </c>
      <c r="B111" t="inlineStr">
        <is>
          <t>avverkningsanmälan</t>
        </is>
      </c>
      <c r="C111" t="inlineStr">
        <is>
          <t>Avverkning för annat ändamål</t>
        </is>
      </c>
      <c r="D111" s="1" t="n">
        <v>45251</v>
      </c>
      <c r="E111" s="1" t="n">
        <v>46218</v>
      </c>
      <c r="F111" t="inlineStr">
        <is>
          <t>DALARNAS LÄN</t>
        </is>
      </c>
      <c r="G111" t="inlineStr">
        <is>
          <t>BORLÄNGE</t>
        </is>
      </c>
      <c r="I111" t="n">
        <v>2.5</v>
      </c>
      <c r="J111" t="n">
        <v>0</v>
      </c>
      <c r="K111" t="n">
        <v>0</v>
      </c>
      <c r="L111" t="n">
        <v>1</v>
      </c>
      <c r="M111" t="n">
        <v>0</v>
      </c>
      <c r="N111" t="n">
        <v>0</v>
      </c>
      <c r="O111" t="n">
        <v>0</v>
      </c>
      <c r="P111" t="n">
        <v>0</v>
      </c>
      <c r="Q111" t="n">
        <v>1</v>
      </c>
      <c r="R111" t="n">
        <v>0</v>
      </c>
      <c r="S111" t="n">
        <v>1</v>
      </c>
      <c r="T111" t="n">
        <v>1</v>
      </c>
      <c r="U111" s="2" t="inlineStr">
        <is>
          <t>Ullticka</t>
        </is>
      </c>
      <c r="V111">
        <f>HYPERLINK("https://klasma.github.io/Logging_2081/artfynd/A 58616-2023 artfynd.xlsx", "A 58616-2023")</f>
        <v/>
      </c>
      <c r="W111">
        <f>HYPERLINK("https://klasma.github.io/Logging_2081/kartor/A 58616-2023 karta.png", "A 58616-2023")</f>
        <v/>
      </c>
      <c r="Y111">
        <f>HYPERLINK("https://klasma.github.io/Logging_2081/klagomål/A 58616-2023 FSC-klagomål.docx", "A 58616-2023")</f>
        <v/>
      </c>
      <c r="Z111">
        <f>HYPERLINK("https://klasma.github.io/Logging_2081/klagomålsmail/A 58616-2023 FSC-klagomål mail.docx", "A 58616-2023")</f>
        <v/>
      </c>
      <c r="AA111">
        <f>HYPERLINK("https://klasma.github.io/Logging_2081/tillsyn/A 58616-2023 tillsynsbegäran.docx", "A 58616-2023")</f>
        <v/>
      </c>
      <c r="AB111">
        <f>HYPERLINK("https://klasma.github.io/Logging_2081/tillsynsmail/A 58616-2023 tillsynsbegäran mail.docx", "A 58616-2023")</f>
        <v/>
      </c>
    </row>
    <row r="112" ht="15" customHeight="1">
      <c r="A112" t="inlineStr">
        <is>
          <t>A 431-2026</t>
        </is>
      </c>
      <c r="B112" t="inlineStr">
        <is>
          <t>avverkningsanmälan</t>
        </is>
      </c>
      <c r="C112" t="inlineStr">
        <is>
          <t>Föryngringsavverkning</t>
        </is>
      </c>
      <c r="D112" s="1" t="n">
        <v>46029</v>
      </c>
      <c r="E112" s="1" t="n">
        <v>46218</v>
      </c>
      <c r="F112" t="inlineStr">
        <is>
          <t>DALARNAS LÄN</t>
        </is>
      </c>
      <c r="G112" t="inlineStr">
        <is>
          <t>BORLÄNGE</t>
        </is>
      </c>
      <c r="H112" t="inlineStr">
        <is>
          <t>Bergvik skog väst AB</t>
        </is>
      </c>
      <c r="I112" t="n">
        <v>2.8</v>
      </c>
      <c r="J112" t="n">
        <v>0</v>
      </c>
      <c r="K112" t="n">
        <v>1</v>
      </c>
      <c r="L112" t="n">
        <v>0</v>
      </c>
      <c r="M112" t="n">
        <v>0</v>
      </c>
      <c r="N112" t="n">
        <v>0</v>
      </c>
      <c r="O112" t="n">
        <v>0</v>
      </c>
      <c r="P112" t="n">
        <v>0</v>
      </c>
      <c r="Q112" t="n">
        <v>0</v>
      </c>
      <c r="R112" t="n">
        <v>0</v>
      </c>
      <c r="S112" t="n">
        <v>1</v>
      </c>
      <c r="T112" t="n">
        <v>1</v>
      </c>
      <c r="U112" s="2" t="inlineStr">
        <is>
          <t>Mindre märgborre</t>
        </is>
      </c>
      <c r="V112">
        <f>HYPERLINK("https://klasma.github.io/Logging_2081/artfynd/A 431-2026 artfynd.xlsx", "A 431-2026")</f>
        <v/>
      </c>
      <c r="W112">
        <f>HYPERLINK("https://klasma.github.io/Logging_2081/kartor/A 431-2026 karta.png", "A 431-2026")</f>
        <v/>
      </c>
      <c r="Y112">
        <f>HYPERLINK("https://klasma.github.io/Logging_2081/klagomål/A 431-2026 FSC-klagomål.docx", "A 431-2026")</f>
        <v/>
      </c>
      <c r="Z112">
        <f>HYPERLINK("https://klasma.github.io/Logging_2081/klagomålsmail/A 431-2026 FSC-klagomål mail.docx", "A 431-2026")</f>
        <v/>
      </c>
      <c r="AA112">
        <f>HYPERLINK("https://klasma.github.io/Logging_2081/tillsyn/A 431-2026 tillsynsbegäran.docx", "A 431-2026")</f>
        <v/>
      </c>
      <c r="AB112">
        <f>HYPERLINK("https://klasma.github.io/Logging_2081/tillsynsmail/A 431-2026 tillsynsbegäran mail.docx", "A 431-2026")</f>
        <v/>
      </c>
    </row>
    <row r="113" ht="15" customHeight="1">
      <c r="A113" t="inlineStr">
        <is>
          <t>A 26641-2026</t>
        </is>
      </c>
      <c r="B113" t="inlineStr">
        <is>
          <t>avverkningsanmälan</t>
        </is>
      </c>
      <c r="C113" t="inlineStr">
        <is>
          <t>Föryngringsavverkning</t>
        </is>
      </c>
      <c r="D113" s="1" t="n">
        <v>46184</v>
      </c>
      <c r="E113" s="1" t="n">
        <v>46218</v>
      </c>
      <c r="F113" t="inlineStr">
        <is>
          <t>DALARNAS LÄN</t>
        </is>
      </c>
      <c r="G113" t="inlineStr">
        <is>
          <t>BORLÄNGE</t>
        </is>
      </c>
      <c r="H113" t="inlineStr">
        <is>
          <t>Bergvik skog väst AB</t>
        </is>
      </c>
      <c r="I113" t="n">
        <v>4.8</v>
      </c>
      <c r="J113" t="n">
        <v>1</v>
      </c>
      <c r="K113" t="n">
        <v>0</v>
      </c>
      <c r="L113" t="n">
        <v>0</v>
      </c>
      <c r="M113" t="n">
        <v>0</v>
      </c>
      <c r="N113" t="n">
        <v>0</v>
      </c>
      <c r="O113" t="n">
        <v>0</v>
      </c>
      <c r="P113" t="n">
        <v>0</v>
      </c>
      <c r="Q113" t="n">
        <v>0</v>
      </c>
      <c r="R113" t="n">
        <v>0</v>
      </c>
      <c r="S113" t="n">
        <v>1</v>
      </c>
      <c r="T113" t="n">
        <v>1</v>
      </c>
      <c r="U113" s="2" t="inlineStr">
        <is>
          <t>Ärtsångare</t>
        </is>
      </c>
      <c r="V113">
        <f>HYPERLINK("https://klasma.github.io/Logging_2081/artfynd/A 26641-2026 artfynd.xlsx", "A 26641-2026")</f>
        <v/>
      </c>
      <c r="W113">
        <f>HYPERLINK("https://klasma.github.io/Logging_2081/kartor/A 26641-2026 karta.png", "A 26641-2026")</f>
        <v/>
      </c>
      <c r="Y113">
        <f>HYPERLINK("https://klasma.github.io/Logging_2081/klagomål/A 26641-2026 FSC-klagomål.docx", "A 26641-2026")</f>
        <v/>
      </c>
      <c r="Z113">
        <f>HYPERLINK("https://klasma.github.io/Logging_2081/klagomålsmail/A 26641-2026 FSC-klagomål mail.docx", "A 26641-2026")</f>
        <v/>
      </c>
      <c r="AA113">
        <f>HYPERLINK("https://klasma.github.io/Logging_2081/tillsyn/A 26641-2026 tillsynsbegäran.docx", "A 26641-2026")</f>
        <v/>
      </c>
      <c r="AB113">
        <f>HYPERLINK("https://klasma.github.io/Logging_2081/tillsynsmail/A 26641-2026 tillsynsbegäran mail.docx", "A 26641-2026")</f>
        <v/>
      </c>
    </row>
    <row r="114" ht="15" customHeight="1">
      <c r="A114" t="inlineStr">
        <is>
          <t>A 12923-2026</t>
        </is>
      </c>
      <c r="B114" t="inlineStr">
        <is>
          <t>avverkningsanmälan</t>
        </is>
      </c>
      <c r="C114" t="inlineStr">
        <is>
          <t>Föryngringsavverkning</t>
        </is>
      </c>
      <c r="D114" s="1" t="n">
        <v>46092</v>
      </c>
      <c r="E114" s="1" t="n">
        <v>46218</v>
      </c>
      <c r="F114" t="inlineStr">
        <is>
          <t>DALARNAS LÄN</t>
        </is>
      </c>
      <c r="G114" t="inlineStr">
        <is>
          <t>BORLÄNGE</t>
        </is>
      </c>
      <c r="I114" t="n">
        <v>3.5</v>
      </c>
      <c r="J114" t="n">
        <v>1</v>
      </c>
      <c r="K114" t="n">
        <v>0</v>
      </c>
      <c r="L114" t="n">
        <v>0</v>
      </c>
      <c r="M114" t="n">
        <v>0</v>
      </c>
      <c r="N114" t="n">
        <v>0</v>
      </c>
      <c r="O114" t="n">
        <v>0</v>
      </c>
      <c r="P114" t="n">
        <v>0</v>
      </c>
      <c r="Q114" t="n">
        <v>0</v>
      </c>
      <c r="R114" t="n">
        <v>0</v>
      </c>
      <c r="S114" t="n">
        <v>1</v>
      </c>
      <c r="T114" t="n">
        <v>2</v>
      </c>
      <c r="U114" s="2" t="inlineStr">
        <is>
          <t>Vanlig groda</t>
        </is>
      </c>
      <c r="V114">
        <f>HYPERLINK("https://klasma.github.io/Logging_2081/artfynd/A 12923-2026 artfynd.xlsx", "A 12923-2026")</f>
        <v/>
      </c>
      <c r="W114">
        <f>HYPERLINK("https://klasma.github.io/Logging_2081/kartor/A 12923-2026 karta.png", "A 12923-2026")</f>
        <v/>
      </c>
      <c r="Y114">
        <f>HYPERLINK("https://klasma.github.io/Logging_2081/klagomål/A 12923-2026 FSC-klagomål.docx", "A 12923-2026")</f>
        <v/>
      </c>
      <c r="Z114">
        <f>HYPERLINK("https://klasma.github.io/Logging_2081/klagomålsmail/A 12923-2026 FSC-klagomål mail.docx", "A 12923-2026")</f>
        <v/>
      </c>
      <c r="AA114">
        <f>HYPERLINK("https://klasma.github.io/Logging_2081/tillsyn/A 12923-2026 tillsynsbegäran.docx", "A 12923-2026")</f>
        <v/>
      </c>
      <c r="AB114">
        <f>HYPERLINK("https://klasma.github.io/Logging_2081/tillsynsmail/A 12923-2026 tillsynsbegäran mail.docx", "A 12923-2026")</f>
        <v/>
      </c>
    </row>
    <row r="115" ht="15" customHeight="1">
      <c r="A115" t="inlineStr">
        <is>
          <t>A 64121-2025</t>
        </is>
      </c>
      <c r="B115" t="inlineStr">
        <is>
          <t>avverkningsanmälan</t>
        </is>
      </c>
      <c r="C115" t="inlineStr">
        <is>
          <t>Föryngringsavverkning</t>
        </is>
      </c>
      <c r="D115" s="1" t="n">
        <v>46021</v>
      </c>
      <c r="E115" s="1" t="n">
        <v>46218</v>
      </c>
      <c r="F115" t="inlineStr">
        <is>
          <t>DALARNAS LÄN</t>
        </is>
      </c>
      <c r="G115" t="inlineStr">
        <is>
          <t>BORLÄNGE</t>
        </is>
      </c>
      <c r="I115" t="n">
        <v>4.1</v>
      </c>
      <c r="J115" t="n">
        <v>0</v>
      </c>
      <c r="K115" t="n">
        <v>0</v>
      </c>
      <c r="L115" t="n">
        <v>0</v>
      </c>
      <c r="M115" t="n">
        <v>1</v>
      </c>
      <c r="N115" t="n">
        <v>0</v>
      </c>
      <c r="O115" t="n">
        <v>0</v>
      </c>
      <c r="P115" t="n">
        <v>0</v>
      </c>
      <c r="Q115" t="n">
        <v>1</v>
      </c>
      <c r="R115" t="n">
        <v>1</v>
      </c>
      <c r="S115" t="n">
        <v>1</v>
      </c>
      <c r="T115" t="n">
        <v>1</v>
      </c>
      <c r="U115" s="2" t="inlineStr">
        <is>
          <t>Garnlav</t>
        </is>
      </c>
      <c r="V115">
        <f>HYPERLINK("https://klasma.github.io/Logging_2081/artfynd/A 64121-2025 artfynd.xlsx", "A 64121-2025")</f>
        <v/>
      </c>
      <c r="W115">
        <f>HYPERLINK("https://klasma.github.io/Logging_2081/kartor/A 64121-2025 karta.png", "A 64121-2025")</f>
        <v/>
      </c>
      <c r="Y115">
        <f>HYPERLINK("https://klasma.github.io/Logging_2081/klagomål/A 64121-2025 FSC-klagomål.docx", "A 64121-2025")</f>
        <v/>
      </c>
      <c r="Z115">
        <f>HYPERLINK("https://klasma.github.io/Logging_2081/klagomålsmail/A 64121-2025 FSC-klagomål mail.docx", "A 64121-2025")</f>
        <v/>
      </c>
      <c r="AA115">
        <f>HYPERLINK("https://klasma.github.io/Logging_2081/tillsyn/A 64121-2025 tillsynsbegäran.docx", "A 64121-2025")</f>
        <v/>
      </c>
      <c r="AB115">
        <f>HYPERLINK("https://klasma.github.io/Logging_2081/tillsynsmail/A 64121-2025 tillsynsbegäran mail.docx", "A 64121-2025")</f>
        <v/>
      </c>
    </row>
    <row r="116" ht="15" customHeight="1">
      <c r="A116" t="inlineStr">
        <is>
          <t>A 18800-2026</t>
        </is>
      </c>
      <c r="B116" t="inlineStr">
        <is>
          <t>avverkningsanmälan</t>
        </is>
      </c>
      <c r="C116" t="inlineStr">
        <is>
          <t>Föryngringsavverkning</t>
        </is>
      </c>
      <c r="D116" s="1" t="n">
        <v>46128</v>
      </c>
      <c r="E116" s="1" t="n">
        <v>46218</v>
      </c>
      <c r="F116" t="inlineStr">
        <is>
          <t>DALARNAS LÄN</t>
        </is>
      </c>
      <c r="G116" t="inlineStr">
        <is>
          <t>BORLÄNGE</t>
        </is>
      </c>
      <c r="I116" t="n">
        <v>2.7</v>
      </c>
      <c r="J116" t="n">
        <v>1</v>
      </c>
      <c r="K116" t="n">
        <v>0</v>
      </c>
      <c r="L116" t="n">
        <v>0</v>
      </c>
      <c r="M116" t="n">
        <v>0</v>
      </c>
      <c r="N116" t="n">
        <v>0</v>
      </c>
      <c r="O116" t="n">
        <v>0</v>
      </c>
      <c r="P116" t="n">
        <v>0</v>
      </c>
      <c r="Q116" t="n">
        <v>0</v>
      </c>
      <c r="R116" t="n">
        <v>0</v>
      </c>
      <c r="S116" t="n">
        <v>1</v>
      </c>
      <c r="T116" t="n">
        <v>1</v>
      </c>
      <c r="U116" s="2" t="inlineStr">
        <is>
          <t>Ärtsångare</t>
        </is>
      </c>
      <c r="V116">
        <f>HYPERLINK("https://klasma.github.io/Logging_2081/artfynd/A 18800-2026 artfynd.xlsx", "A 18800-2026")</f>
        <v/>
      </c>
      <c r="W116">
        <f>HYPERLINK("https://klasma.github.io/Logging_2081/kartor/A 18800-2026 karta.png", "A 18800-2026")</f>
        <v/>
      </c>
      <c r="Y116">
        <f>HYPERLINK("https://klasma.github.io/Logging_2081/klagomål/A 18800-2026 FSC-klagomål.docx", "A 18800-2026")</f>
        <v/>
      </c>
      <c r="Z116">
        <f>HYPERLINK("https://klasma.github.io/Logging_2081/klagomålsmail/A 18800-2026 FSC-klagomål mail.docx", "A 18800-2026")</f>
        <v/>
      </c>
      <c r="AA116">
        <f>HYPERLINK("https://klasma.github.io/Logging_2081/tillsyn/A 18800-2026 tillsynsbegäran.docx", "A 18800-2026")</f>
        <v/>
      </c>
      <c r="AB116">
        <f>HYPERLINK("https://klasma.github.io/Logging_2081/tillsynsmail/A 18800-2026 tillsynsbegäran mail.docx", "A 18800-2026")</f>
        <v/>
      </c>
    </row>
    <row r="117" ht="15" customHeight="1">
      <c r="A117" t="inlineStr">
        <is>
          <t>A 15978-2026</t>
        </is>
      </c>
      <c r="B117" t="inlineStr">
        <is>
          <t>avverkningsanmälan</t>
        </is>
      </c>
      <c r="C117" t="inlineStr">
        <is>
          <t>Föryngringsavverkning</t>
        </is>
      </c>
      <c r="D117" s="1" t="n">
        <v>46108</v>
      </c>
      <c r="E117" s="1" t="n">
        <v>46218</v>
      </c>
      <c r="F117" t="inlineStr">
        <is>
          <t>DALARNAS LÄN</t>
        </is>
      </c>
      <c r="G117" t="inlineStr">
        <is>
          <t>BORLÄNGE</t>
        </is>
      </c>
      <c r="I117" t="n">
        <v>10.6</v>
      </c>
      <c r="J117" t="n">
        <v>0</v>
      </c>
      <c r="K117" t="n">
        <v>1</v>
      </c>
      <c r="L117" t="n">
        <v>0</v>
      </c>
      <c r="M117" t="n">
        <v>0</v>
      </c>
      <c r="N117" t="n">
        <v>0</v>
      </c>
      <c r="O117" t="n">
        <v>0</v>
      </c>
      <c r="P117" t="n">
        <v>0</v>
      </c>
      <c r="Q117" t="n">
        <v>0</v>
      </c>
      <c r="R117" t="n">
        <v>0</v>
      </c>
      <c r="S117" t="n">
        <v>1</v>
      </c>
      <c r="T117" t="n">
        <v>1</v>
      </c>
      <c r="U117" s="2" t="inlineStr">
        <is>
          <t>Rödgul trumpetsvamp</t>
        </is>
      </c>
      <c r="V117">
        <f>HYPERLINK("https://klasma.github.io/Logging_2081/artfynd/A 15978-2026 artfynd.xlsx", "A 15978-2026")</f>
        <v/>
      </c>
      <c r="W117">
        <f>HYPERLINK("https://klasma.github.io/Logging_2081/kartor/A 15978-2026 karta.png", "A 15978-2026")</f>
        <v/>
      </c>
      <c r="Y117">
        <f>HYPERLINK("https://klasma.github.io/Logging_2081/klagomål/A 15978-2026 FSC-klagomål.docx", "A 15978-2026")</f>
        <v/>
      </c>
      <c r="Z117">
        <f>HYPERLINK("https://klasma.github.io/Logging_2081/klagomålsmail/A 15978-2026 FSC-klagomål mail.docx", "A 15978-2026")</f>
        <v/>
      </c>
      <c r="AA117">
        <f>HYPERLINK("https://klasma.github.io/Logging_2081/tillsyn/A 15978-2026 tillsynsbegäran.docx", "A 15978-2026")</f>
        <v/>
      </c>
      <c r="AB117">
        <f>HYPERLINK("https://klasma.github.io/Logging_2081/tillsynsmail/A 15978-2026 tillsynsbegäran mail.docx", "A 15978-2026")</f>
        <v/>
      </c>
    </row>
    <row r="118" ht="15" customHeight="1">
      <c r="A118" t="inlineStr">
        <is>
          <t>S 2959-2023</t>
        </is>
      </c>
      <c r="B118" t="inlineStr">
        <is>
          <t>samrådsanmälan</t>
        </is>
      </c>
      <c r="C118" t="inlineStr">
        <is>
          <t>Askåterföring</t>
        </is>
      </c>
      <c r="D118" s="1" t="n">
        <v>45173</v>
      </c>
      <c r="E118" s="1" t="n">
        <v>46218</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s="2" t="inlineStr">
        <is>
          <t>Ullticka</t>
        </is>
      </c>
      <c r="V118">
        <f>HYPERLINK("https://klasma.github.io/Logging_2081/artfynd/S 2959-2023 artfynd.xlsx", "S 2959-2023")</f>
        <v/>
      </c>
      <c r="W118">
        <f>HYPERLINK("https://klasma.github.io/Logging_2081/kartor/S 2959-2023 karta.png", "S 2959-2023")</f>
        <v/>
      </c>
      <c r="Y118">
        <f>HYPERLINK("https://klasma.github.io/Logging_2081/klagomål/S 2959-2023 FSC-klagomål.docx", "S 2959-2023")</f>
        <v/>
      </c>
      <c r="Z118">
        <f>HYPERLINK("https://klasma.github.io/Logging_2081/klagomålsmail/S 2959-2023 FSC-klagomål mail.docx", "S 2959-2023")</f>
        <v/>
      </c>
      <c r="AA118">
        <f>HYPERLINK("https://klasma.github.io/Logging_2081/tillsyn/S 2959-2023 tillsynsbegäran.docx", "S 2959-2023")</f>
        <v/>
      </c>
      <c r="AB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46218</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s="2" t="inlineStr">
        <is>
          <t>Fläcknycklar</t>
        </is>
      </c>
      <c r="V119">
        <f>HYPERLINK("https://klasma.github.io/Logging_2081/artfynd/S 705-2022 artfynd.xlsx", "S 705-2022")</f>
        <v/>
      </c>
      <c r="W119">
        <f>HYPERLINK("https://klasma.github.io/Logging_2081/kartor/S 705-2022 karta.png", "S 705-2022")</f>
        <v/>
      </c>
      <c r="Y119">
        <f>HYPERLINK("https://klasma.github.io/Logging_2081/klagomål/S 705-2022 FSC-klagomål.docx", "S 705-2022")</f>
        <v/>
      </c>
      <c r="Z119">
        <f>HYPERLINK("https://klasma.github.io/Logging_2081/klagomålsmail/S 705-2022 FSC-klagomål mail.docx", "S 705-2022")</f>
        <v/>
      </c>
      <c r="AA119">
        <f>HYPERLINK("https://klasma.github.io/Logging_2081/tillsyn/S 705-2022 tillsynsbegäran.docx", "S 705-2022")</f>
        <v/>
      </c>
      <c r="AB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46218</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s="2" t="inlineStr">
        <is>
          <t>Tjäder</t>
        </is>
      </c>
      <c r="V120">
        <f>HYPERLINK("https://klasma.github.io/Logging_2081/artfynd/S 2958-2023 artfynd.xlsx", "S 2958-2023")</f>
        <v/>
      </c>
      <c r="W120">
        <f>HYPERLINK("https://klasma.github.io/Logging_2081/kartor/S 2958-2023 karta.png", "S 2958-2023")</f>
        <v/>
      </c>
      <c r="Y120">
        <f>HYPERLINK("https://klasma.github.io/Logging_2081/klagomål/S 2958-2023 FSC-klagomål.docx", "S 2958-2023")</f>
        <v/>
      </c>
      <c r="Z120">
        <f>HYPERLINK("https://klasma.github.io/Logging_2081/klagomålsmail/S 2958-2023 FSC-klagomål mail.docx", "S 2958-2023")</f>
        <v/>
      </c>
      <c r="AA120">
        <f>HYPERLINK("https://klasma.github.io/Logging_2081/tillsyn/S 2958-2023 tillsynsbegäran.docx", "S 2958-2023")</f>
        <v/>
      </c>
      <c r="AB120">
        <f>HYPERLINK("https://klasma.github.io/Logging_2081/tillsynsmail/S 2958-2023 tillsynsbegäran mail.docx", "S 2958-2023")</f>
        <v/>
      </c>
      <c r="AC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46218</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s="2" t="inlineStr">
        <is>
          <t>Knärot</t>
        </is>
      </c>
      <c r="V121">
        <f>HYPERLINK("https://klasma.github.io/Logging_2081/artfynd/S 400-2024 artfynd.xlsx", "S 400-2024")</f>
        <v/>
      </c>
      <c r="W121">
        <f>HYPERLINK("https://klasma.github.io/Logging_2081/kartor/S 400-2024 karta.png", "S 400-2024")</f>
        <v/>
      </c>
      <c r="X121">
        <f>HYPERLINK("https://klasma.github.io/Logging_2081/knärot/S 400-2024 karta knärot.png", "S 400-2024")</f>
        <v/>
      </c>
      <c r="Y121">
        <f>HYPERLINK("https://klasma.github.io/Logging_2081/klagomål/S 400-2024 FSC-klagomål.docx", "S 400-2024")</f>
        <v/>
      </c>
      <c r="Z121">
        <f>HYPERLINK("https://klasma.github.io/Logging_2081/klagomålsmail/S 400-2024 FSC-klagomål mail.docx", "S 400-2024")</f>
        <v/>
      </c>
      <c r="AA121">
        <f>HYPERLINK("https://klasma.github.io/Logging_2081/tillsyn/S 400-2024 tillsynsbegäran.docx", "S 400-2024")</f>
        <v/>
      </c>
      <c r="AB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46218</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s="2" t="inlineStr">
        <is>
          <t>Motaggsvamp</t>
        </is>
      </c>
      <c r="V122">
        <f>HYPERLINK("https://klasma.github.io/Logging_2081/artfynd/S 1666-2025 artfynd.xlsx", "S 1666-2025")</f>
        <v/>
      </c>
      <c r="W122">
        <f>HYPERLINK("https://klasma.github.io/Logging_2081/kartor/S 1666-2025 karta.png", "S 1666-2025")</f>
        <v/>
      </c>
      <c r="Y122">
        <f>HYPERLINK("https://klasma.github.io/Logging_2081/klagomål/S 1666-2025 FSC-klagomål.docx", "S 1666-2025")</f>
        <v/>
      </c>
      <c r="Z122">
        <f>HYPERLINK("https://klasma.github.io/Logging_2081/klagomålsmail/S 1666-2025 FSC-klagomål mail.docx", "S 1666-2025")</f>
        <v/>
      </c>
      <c r="AA122">
        <f>HYPERLINK("https://klasma.github.io/Logging_2081/tillsyn/S 1666-2025 tillsynsbegäran.docx", "S 1666-2025")</f>
        <v/>
      </c>
      <c r="AB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46218</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41638-2022</t>
        </is>
      </c>
      <c r="B124" t="inlineStr">
        <is>
          <t>avverkningsanmälan</t>
        </is>
      </c>
      <c r="C124" t="inlineStr">
        <is>
          <t>Föryngringsavverkning</t>
        </is>
      </c>
      <c r="D124" s="1" t="n">
        <v>44827</v>
      </c>
      <c r="E124" s="1" t="n">
        <v>46218</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55123-2022</t>
        </is>
      </c>
      <c r="B125" t="inlineStr">
        <is>
          <t>avverkningsanmälan</t>
        </is>
      </c>
      <c r="C125" t="inlineStr">
        <is>
          <t>Föryngringsavverkning</t>
        </is>
      </c>
      <c r="D125" s="1" t="n">
        <v>44886</v>
      </c>
      <c r="E125" s="1" t="n">
        <v>46218</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35592-2022</t>
        </is>
      </c>
      <c r="B126" t="inlineStr">
        <is>
          <t>avverkningsanmälan</t>
        </is>
      </c>
      <c r="C126" t="inlineStr">
        <is>
          <t>Föryngringsavverkning</t>
        </is>
      </c>
      <c r="D126" s="1" t="n">
        <v>44799</v>
      </c>
      <c r="E126" s="1" t="n">
        <v>46218</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10421-2022</t>
        </is>
      </c>
      <c r="B127" t="inlineStr">
        <is>
          <t>avverkningsanmälan</t>
        </is>
      </c>
      <c r="C127" t="inlineStr">
        <is>
          <t>Föryngringsavverkning</t>
        </is>
      </c>
      <c r="D127" s="1" t="n">
        <v>44623</v>
      </c>
      <c r="E127" s="1" t="n">
        <v>46218</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50259-2021</t>
        </is>
      </c>
      <c r="B128" t="inlineStr">
        <is>
          <t>avverkningsanmälan</t>
        </is>
      </c>
      <c r="C128" t="inlineStr">
        <is>
          <t>Föryngringsavverkning</t>
        </is>
      </c>
      <c r="D128" s="1" t="n">
        <v>44458</v>
      </c>
      <c r="E128" s="1" t="n">
        <v>46218</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27424-2022</t>
        </is>
      </c>
      <c r="B129" t="inlineStr">
        <is>
          <t>avverkningsanmälan</t>
        </is>
      </c>
      <c r="C129" t="inlineStr">
        <is>
          <t>Föryngringsavverkning</t>
        </is>
      </c>
      <c r="D129" s="1" t="n">
        <v>44742</v>
      </c>
      <c r="E129" s="1" t="n">
        <v>46218</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37534-2021</t>
        </is>
      </c>
      <c r="B130" t="inlineStr">
        <is>
          <t>avverkningsanmälan</t>
        </is>
      </c>
      <c r="C130" t="inlineStr">
        <is>
          <t>Föryngringsavverkning</t>
        </is>
      </c>
      <c r="D130" s="1" t="n">
        <v>44399</v>
      </c>
      <c r="E130" s="1" t="n">
        <v>46218</v>
      </c>
      <c r="F130" t="inlineStr">
        <is>
          <t>DALARNAS LÄN</t>
        </is>
      </c>
      <c r="G130" t="inlineStr">
        <is>
          <t>BORLÄNGE</t>
        </is>
      </c>
      <c r="H130" t="inlineStr">
        <is>
          <t>Bergvik skog väst AB</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18600-2022</t>
        </is>
      </c>
      <c r="B131" t="inlineStr">
        <is>
          <t>avverkningsanmälan</t>
        </is>
      </c>
      <c r="C131" t="inlineStr">
        <is>
          <t>Föryngringsavverkning</t>
        </is>
      </c>
      <c r="D131" s="1" t="n">
        <v>44687</v>
      </c>
      <c r="E131" s="1" t="n">
        <v>46218</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25895-2022</t>
        </is>
      </c>
      <c r="B132" t="inlineStr">
        <is>
          <t>avverkningsanmälan</t>
        </is>
      </c>
      <c r="C132" t="inlineStr">
        <is>
          <t>Avverkning för annat ändamål</t>
        </is>
      </c>
      <c r="D132" s="1" t="n">
        <v>44733</v>
      </c>
      <c r="E132" s="1" t="n">
        <v>46218</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41636-2021</t>
        </is>
      </c>
      <c r="B133" t="inlineStr">
        <is>
          <t>avverkningsanmälan</t>
        </is>
      </c>
      <c r="C133" t="inlineStr">
        <is>
          <t>Föryngringsavverkning</t>
        </is>
      </c>
      <c r="D133" s="1" t="n">
        <v>44425</v>
      </c>
      <c r="E133" s="1" t="n">
        <v>46218</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16767-2022</t>
        </is>
      </c>
      <c r="B134" t="inlineStr">
        <is>
          <t>avverkningsanmälan</t>
        </is>
      </c>
      <c r="C134" t="inlineStr">
        <is>
          <t>Föryngringsavverkning</t>
        </is>
      </c>
      <c r="D134" s="1" t="n">
        <v>44673</v>
      </c>
      <c r="E134" s="1" t="n">
        <v>46218</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44422-2021</t>
        </is>
      </c>
      <c r="B135" t="inlineStr">
        <is>
          <t>avverkningsanmälan</t>
        </is>
      </c>
      <c r="C135" t="inlineStr">
        <is>
          <t>Föryngringsavverkning</t>
        </is>
      </c>
      <c r="D135" s="1" t="n">
        <v>44435</v>
      </c>
      <c r="E135" s="1" t="n">
        <v>46218</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19047-2022</t>
        </is>
      </c>
      <c r="B136" t="inlineStr">
        <is>
          <t>avverkningsanmälan</t>
        </is>
      </c>
      <c r="C136" t="inlineStr">
        <is>
          <t>Föryngringsavverkning</t>
        </is>
      </c>
      <c r="D136" s="1" t="n">
        <v>44691</v>
      </c>
      <c r="E136" s="1" t="n">
        <v>46218</v>
      </c>
      <c r="F136" t="inlineStr">
        <is>
          <t>DALARNAS LÄN</t>
        </is>
      </c>
      <c r="G136" t="inlineStr">
        <is>
          <t>BORLÄNGE</t>
        </is>
      </c>
      <c r="H136" t="inlineStr">
        <is>
          <t>Bergvik skog väst AB</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62976-2021</t>
        </is>
      </c>
      <c r="B137" t="inlineStr">
        <is>
          <t>avverkningsanmälan</t>
        </is>
      </c>
      <c r="C137" t="inlineStr">
        <is>
          <t>Föryngringsavverkning</t>
        </is>
      </c>
      <c r="D137" s="1" t="n">
        <v>44505</v>
      </c>
      <c r="E137" s="1" t="n">
        <v>46218</v>
      </c>
      <c r="F137" t="inlineStr">
        <is>
          <t>DALARNAS LÄN</t>
        </is>
      </c>
      <c r="G137" t="inlineStr">
        <is>
          <t>BORLÄNGE</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42732-2022</t>
        </is>
      </c>
      <c r="B138" t="inlineStr">
        <is>
          <t>avverkningsanmälan</t>
        </is>
      </c>
      <c r="C138" t="inlineStr">
        <is>
          <t>Föryngringsavverkning</t>
        </is>
      </c>
      <c r="D138" s="1" t="n">
        <v>44832</v>
      </c>
      <c r="E138" s="1" t="n">
        <v>46218</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52681-2021</t>
        </is>
      </c>
      <c r="B139" t="inlineStr">
        <is>
          <t>avverkningsanmälan</t>
        </is>
      </c>
      <c r="C139" t="inlineStr">
        <is>
          <t>Föryngringsavverkning</t>
        </is>
      </c>
      <c r="D139" s="1" t="n">
        <v>44466</v>
      </c>
      <c r="E139" s="1" t="n">
        <v>46218</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37535-2021</t>
        </is>
      </c>
      <c r="B140" t="inlineStr">
        <is>
          <t>avverkningsanmälan</t>
        </is>
      </c>
      <c r="C140" t="inlineStr">
        <is>
          <t>Föryngringsavverkning</t>
        </is>
      </c>
      <c r="D140" s="1" t="n">
        <v>44399</v>
      </c>
      <c r="E140" s="1" t="n">
        <v>46218</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11435-2022</t>
        </is>
      </c>
      <c r="B141" t="inlineStr">
        <is>
          <t>avverkningsanmälan</t>
        </is>
      </c>
      <c r="C141" t="inlineStr">
        <is>
          <t>Föryngringsavverkning</t>
        </is>
      </c>
      <c r="D141" s="1" t="n">
        <v>44630</v>
      </c>
      <c r="E141" s="1" t="n">
        <v>46218</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28362-2022</t>
        </is>
      </c>
      <c r="B142" t="inlineStr">
        <is>
          <t>avverkningsanmälan</t>
        </is>
      </c>
      <c r="C142" t="inlineStr">
        <is>
          <t>Föryngringsavverkning</t>
        </is>
      </c>
      <c r="D142" s="1" t="n">
        <v>44747</v>
      </c>
      <c r="E142" s="1" t="n">
        <v>46218</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51308-2021</t>
        </is>
      </c>
      <c r="B143" t="inlineStr">
        <is>
          <t>avverkningsanmälan</t>
        </is>
      </c>
      <c r="C143" t="inlineStr">
        <is>
          <t>Föryngringsavverkning</t>
        </is>
      </c>
      <c r="D143" s="1" t="n">
        <v>44461</v>
      </c>
      <c r="E143" s="1" t="n">
        <v>46218</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16320-2022</t>
        </is>
      </c>
      <c r="B144" t="inlineStr">
        <is>
          <t>avverkningsanmälan</t>
        </is>
      </c>
      <c r="C144" t="inlineStr">
        <is>
          <t>Föryngringsavverkning</t>
        </is>
      </c>
      <c r="D144" s="1" t="n">
        <v>44670</v>
      </c>
      <c r="E144" s="1" t="n">
        <v>46218</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15818-2022</t>
        </is>
      </c>
      <c r="B145" t="inlineStr">
        <is>
          <t>avverkningsanmälan</t>
        </is>
      </c>
      <c r="C145" t="inlineStr">
        <is>
          <t>Föryngringsavverkning</t>
        </is>
      </c>
      <c r="D145" s="1" t="n">
        <v>44664</v>
      </c>
      <c r="E145" s="1" t="n">
        <v>46218</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59759-2021</t>
        </is>
      </c>
      <c r="B146" t="inlineStr">
        <is>
          <t>avverkningsanmälan</t>
        </is>
      </c>
      <c r="C146" t="inlineStr">
        <is>
          <t>Föryngringsavverkning</t>
        </is>
      </c>
      <c r="D146" s="1" t="n">
        <v>44494</v>
      </c>
      <c r="E146" s="1" t="n">
        <v>46218</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64262-2021</t>
        </is>
      </c>
      <c r="B147" t="inlineStr">
        <is>
          <t>avverkningsanmälan</t>
        </is>
      </c>
      <c r="C147" t="inlineStr">
        <is>
          <t>Avverkning för annat ändamål</t>
        </is>
      </c>
      <c r="D147" s="1" t="n">
        <v>44510</v>
      </c>
      <c r="E147" s="1" t="n">
        <v>46218</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61277-2021</t>
        </is>
      </c>
      <c r="B148" t="inlineStr">
        <is>
          <t>avverkningsanmälan</t>
        </is>
      </c>
      <c r="C148" t="inlineStr">
        <is>
          <t>Föryngringsavverkning</t>
        </is>
      </c>
      <c r="D148" s="1" t="n">
        <v>44498</v>
      </c>
      <c r="E148" s="1" t="n">
        <v>46218</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59764-2021</t>
        </is>
      </c>
      <c r="B149" t="inlineStr">
        <is>
          <t>avverkningsanmälan</t>
        </is>
      </c>
      <c r="C149" t="inlineStr">
        <is>
          <t>Föryngringsavverkning</t>
        </is>
      </c>
      <c r="D149" s="1" t="n">
        <v>44494</v>
      </c>
      <c r="E149" s="1" t="n">
        <v>46218</v>
      </c>
      <c r="F149" t="inlineStr">
        <is>
          <t>DALARNAS LÄN</t>
        </is>
      </c>
      <c r="G149" t="inlineStr">
        <is>
          <t>BORLÄNGE</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50418-2021</t>
        </is>
      </c>
      <c r="B150" t="inlineStr">
        <is>
          <t>avverkningsanmälan</t>
        </is>
      </c>
      <c r="C150" t="inlineStr">
        <is>
          <t>Avverkning för att bevara och utveckla /försöksver</t>
        </is>
      </c>
      <c r="D150" s="1" t="n">
        <v>44438</v>
      </c>
      <c r="E150" s="1" t="n">
        <v>46218</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36544-2022</t>
        </is>
      </c>
      <c r="B151" t="inlineStr">
        <is>
          <t>avverkningsanmälan</t>
        </is>
      </c>
      <c r="C151" t="inlineStr">
        <is>
          <t>Föryngringsavverkning</t>
        </is>
      </c>
      <c r="D151" s="1" t="n">
        <v>44804</v>
      </c>
      <c r="E151" s="1" t="n">
        <v>46218</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42861-2022</t>
        </is>
      </c>
      <c r="B152" t="inlineStr">
        <is>
          <t>avverkningsanmälan</t>
        </is>
      </c>
      <c r="C152" t="inlineStr">
        <is>
          <t>Föryngringsavverkning</t>
        </is>
      </c>
      <c r="D152" s="1" t="n">
        <v>44832</v>
      </c>
      <c r="E152" s="1" t="n">
        <v>46218</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s="2" t="inlineStr"/>
    </row>
    <row r="153" ht="15" customHeight="1">
      <c r="A153" t="inlineStr">
        <is>
          <t>A 48493-2021</t>
        </is>
      </c>
      <c r="B153" t="inlineStr">
        <is>
          <t>avverkningsanmälan</t>
        </is>
      </c>
      <c r="C153" t="inlineStr">
        <is>
          <t>Föryngringsavverkning</t>
        </is>
      </c>
      <c r="D153" s="1" t="n">
        <v>44452</v>
      </c>
      <c r="E153" s="1" t="n">
        <v>46218</v>
      </c>
      <c r="F153" t="inlineStr">
        <is>
          <t>DALARNAS LÄN</t>
        </is>
      </c>
      <c r="G153" t="inlineStr">
        <is>
          <t>BORLÄNGE</t>
        </is>
      </c>
      <c r="I153" t="n">
        <v>10.3</v>
      </c>
      <c r="J153" t="n">
        <v>0</v>
      </c>
      <c r="K153" t="n">
        <v>0</v>
      </c>
      <c r="L153" t="n">
        <v>0</v>
      </c>
      <c r="M153" t="n">
        <v>0</v>
      </c>
      <c r="N153" t="n">
        <v>0</v>
      </c>
      <c r="O153" t="n">
        <v>0</v>
      </c>
      <c r="P153" t="n">
        <v>0</v>
      </c>
      <c r="Q153" t="n">
        <v>0</v>
      </c>
      <c r="R153" t="n">
        <v>0</v>
      </c>
      <c r="S153" t="n">
        <v>0</v>
      </c>
      <c r="T153" t="n">
        <v>0</v>
      </c>
      <c r="U153" s="2" t="inlineStr"/>
    </row>
    <row r="154" ht="15" customHeight="1">
      <c r="A154" t="inlineStr">
        <is>
          <t>A 34320-2022</t>
        </is>
      </c>
      <c r="B154" t="inlineStr">
        <is>
          <t>avverkningsanmälan</t>
        </is>
      </c>
      <c r="C154" t="inlineStr">
        <is>
          <t>Föryngringsavverkning</t>
        </is>
      </c>
      <c r="D154" s="1" t="n">
        <v>44792</v>
      </c>
      <c r="E154" s="1" t="n">
        <v>46218</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69798-2021</t>
        </is>
      </c>
      <c r="B155" t="inlineStr">
        <is>
          <t>avverkningsanmälan</t>
        </is>
      </c>
      <c r="C155" t="inlineStr">
        <is>
          <t>Föryngringsavverkning</t>
        </is>
      </c>
      <c r="D155" s="1" t="n">
        <v>44532</v>
      </c>
      <c r="E155" s="1" t="n">
        <v>46218</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49737-2021</t>
        </is>
      </c>
      <c r="B156" t="inlineStr">
        <is>
          <t>avverkningsanmälan</t>
        </is>
      </c>
      <c r="C156" t="inlineStr">
        <is>
          <t>Föryngringsavverkning</t>
        </is>
      </c>
      <c r="D156" s="1" t="n">
        <v>44454</v>
      </c>
      <c r="E156" s="1" t="n">
        <v>46218</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32243-2022</t>
        </is>
      </c>
      <c r="B157" t="inlineStr">
        <is>
          <t>avverkningsanmälan</t>
        </is>
      </c>
      <c r="C157" t="inlineStr">
        <is>
          <t>Föryngringsavverkning</t>
        </is>
      </c>
      <c r="D157" s="1" t="n">
        <v>44781</v>
      </c>
      <c r="E157" s="1" t="n">
        <v>46218</v>
      </c>
      <c r="F157" t="inlineStr">
        <is>
          <t>DALARNAS LÄN</t>
        </is>
      </c>
      <c r="G157" t="inlineStr">
        <is>
          <t>BORLÄNGE</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2454-2022</t>
        </is>
      </c>
      <c r="B158" t="inlineStr">
        <is>
          <t>avverkningsanmälan</t>
        </is>
      </c>
      <c r="C158" t="inlineStr">
        <is>
          <t>Föryngringsavverkning</t>
        </is>
      </c>
      <c r="D158" s="1" t="n">
        <v>44579</v>
      </c>
      <c r="E158" s="1" t="n">
        <v>46218</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s="2" t="inlineStr"/>
    </row>
    <row r="159" ht="15" customHeight="1">
      <c r="A159" t="inlineStr">
        <is>
          <t>A 60342-2021</t>
        </is>
      </c>
      <c r="B159" t="inlineStr">
        <is>
          <t>avverkningsanmälan</t>
        </is>
      </c>
      <c r="C159" t="inlineStr">
        <is>
          <t>Avverkning för att bevara och utveckla /försöksver</t>
        </is>
      </c>
      <c r="D159" s="1" t="n">
        <v>44495</v>
      </c>
      <c r="E159" s="1" t="n">
        <v>46218</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21322-2022</t>
        </is>
      </c>
      <c r="B160" t="inlineStr">
        <is>
          <t>avverkningsanmälan</t>
        </is>
      </c>
      <c r="C160" t="inlineStr">
        <is>
          <t>Föryngringsavverkning</t>
        </is>
      </c>
      <c r="D160" s="1" t="n">
        <v>44705</v>
      </c>
      <c r="E160" s="1" t="n">
        <v>46218</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27423-2022</t>
        </is>
      </c>
      <c r="B161" t="inlineStr">
        <is>
          <t>avverkningsanmälan</t>
        </is>
      </c>
      <c r="C161" t="inlineStr">
        <is>
          <t>Föryngringsavverkning</t>
        </is>
      </c>
      <c r="D161" s="1" t="n">
        <v>44742</v>
      </c>
      <c r="E161" s="1" t="n">
        <v>46218</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s="2" t="inlineStr"/>
    </row>
    <row r="162" ht="15" customHeight="1">
      <c r="A162" t="inlineStr">
        <is>
          <t>A 10774-2024</t>
        </is>
      </c>
      <c r="B162" t="inlineStr">
        <is>
          <t>avverkningsanmälan</t>
        </is>
      </c>
      <c r="C162" t="inlineStr">
        <is>
          <t>Föryngringsavverkning</t>
        </is>
      </c>
      <c r="D162" s="1" t="n">
        <v>45369</v>
      </c>
      <c r="E162" s="1" t="n">
        <v>46218</v>
      </c>
      <c r="F162" t="inlineStr">
        <is>
          <t>DALARNAS LÄN</t>
        </is>
      </c>
      <c r="G162" t="inlineStr">
        <is>
          <t>BORLÄNGE</t>
        </is>
      </c>
      <c r="H162" t="inlineStr">
        <is>
          <t>Bergvik skog väst AB</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422-2023</t>
        </is>
      </c>
      <c r="B163" t="inlineStr">
        <is>
          <t>avverkningsanmälan</t>
        </is>
      </c>
      <c r="C163" t="inlineStr">
        <is>
          <t>Föryngringsavverkning</t>
        </is>
      </c>
      <c r="D163" s="1" t="n">
        <v>44929</v>
      </c>
      <c r="E163" s="1" t="n">
        <v>46218</v>
      </c>
      <c r="F163" t="inlineStr">
        <is>
          <t>DALARNAS LÄN</t>
        </is>
      </c>
      <c r="G163" t="inlineStr">
        <is>
          <t>BORLÄNGE</t>
        </is>
      </c>
      <c r="H163" t="inlineStr">
        <is>
          <t>Bergvik skog väst AB</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36214-2024</t>
        </is>
      </c>
      <c r="B164" t="inlineStr">
        <is>
          <t>avverkningsanmälan</t>
        </is>
      </c>
      <c r="C164" t="inlineStr">
        <is>
          <t>Föryngringsavverkning</t>
        </is>
      </c>
      <c r="D164" s="1" t="n">
        <v>45534</v>
      </c>
      <c r="E164" s="1" t="n">
        <v>46218</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36217-2024</t>
        </is>
      </c>
      <c r="B165" t="inlineStr">
        <is>
          <t>avverkningsanmälan</t>
        </is>
      </c>
      <c r="C165" t="inlineStr">
        <is>
          <t>Föryngringsavverkning</t>
        </is>
      </c>
      <c r="D165" s="1" t="n">
        <v>45534</v>
      </c>
      <c r="E165" s="1" t="n">
        <v>46218</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42478-2021</t>
        </is>
      </c>
      <c r="B166" t="inlineStr">
        <is>
          <t>avverkningsanmälan</t>
        </is>
      </c>
      <c r="C166" t="inlineStr">
        <is>
          <t>Föryngringsavverkning</t>
        </is>
      </c>
      <c r="D166" s="1" t="n">
        <v>44427</v>
      </c>
      <c r="E166" s="1" t="n">
        <v>46218</v>
      </c>
      <c r="F166" t="inlineStr">
        <is>
          <t>DALARNAS LÄN</t>
        </is>
      </c>
      <c r="G166" t="inlineStr">
        <is>
          <t>BORLÄNGE</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48511-2021</t>
        </is>
      </c>
      <c r="B167" t="inlineStr">
        <is>
          <t>avverkningsanmälan</t>
        </is>
      </c>
      <c r="C167" t="inlineStr">
        <is>
          <t>Avverkning för annat ändamål</t>
        </is>
      </c>
      <c r="D167" s="1" t="n">
        <v>44452</v>
      </c>
      <c r="E167" s="1" t="n">
        <v>46218</v>
      </c>
      <c r="F167" t="inlineStr">
        <is>
          <t>DALARNAS LÄN</t>
        </is>
      </c>
      <c r="G167" t="inlineStr">
        <is>
          <t>BORLÄNGE</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43650-2022</t>
        </is>
      </c>
      <c r="B168" t="inlineStr">
        <is>
          <t>avverkningsanmälan</t>
        </is>
      </c>
      <c r="C168" t="inlineStr">
        <is>
          <t>Föryngringsavverkning</t>
        </is>
      </c>
      <c r="D168" s="1" t="n">
        <v>44837</v>
      </c>
      <c r="E168" s="1" t="n">
        <v>46218</v>
      </c>
      <c r="F168" t="inlineStr">
        <is>
          <t>DALARNAS LÄN</t>
        </is>
      </c>
      <c r="G168" t="inlineStr">
        <is>
          <t>BORLÄNGE</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58903-2023</t>
        </is>
      </c>
      <c r="B169" t="inlineStr">
        <is>
          <t>avverkningsanmälan</t>
        </is>
      </c>
      <c r="C169" t="inlineStr">
        <is>
          <t>Föryngringsavverkning</t>
        </is>
      </c>
      <c r="D169" s="1" t="n">
        <v>45252</v>
      </c>
      <c r="E169" s="1" t="n">
        <v>46218</v>
      </c>
      <c r="F169" t="inlineStr">
        <is>
          <t>DALARNAS LÄN</t>
        </is>
      </c>
      <c r="G169" t="inlineStr">
        <is>
          <t>BORLÄNGE</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34323-2022</t>
        </is>
      </c>
      <c r="B170" t="inlineStr">
        <is>
          <t>avverkningsanmälan</t>
        </is>
      </c>
      <c r="C170" t="inlineStr">
        <is>
          <t>Föryngringsavverkning</t>
        </is>
      </c>
      <c r="D170" s="1" t="n">
        <v>44792</v>
      </c>
      <c r="E170" s="1" t="n">
        <v>46218</v>
      </c>
      <c r="F170" t="inlineStr">
        <is>
          <t>DALARNAS LÄN</t>
        </is>
      </c>
      <c r="G170" t="inlineStr">
        <is>
          <t>BORLÄNGE</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36759-2022</t>
        </is>
      </c>
      <c r="B171" t="inlineStr">
        <is>
          <t>avverkningsanmälan</t>
        </is>
      </c>
      <c r="C171" t="inlineStr">
        <is>
          <t>Föryngringsavverkning</t>
        </is>
      </c>
      <c r="D171" s="1" t="n">
        <v>44805</v>
      </c>
      <c r="E171" s="1" t="n">
        <v>46218</v>
      </c>
      <c r="F171" t="inlineStr">
        <is>
          <t>DALARNAS LÄN</t>
        </is>
      </c>
      <c r="G171" t="inlineStr">
        <is>
          <t>BORLÄNGE</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51849-2022</t>
        </is>
      </c>
      <c r="B172" t="inlineStr">
        <is>
          <t>avverkningsanmälan</t>
        </is>
      </c>
      <c r="C172" t="inlineStr">
        <is>
          <t>Föryngringsavverkning</t>
        </is>
      </c>
      <c r="D172" s="1" t="n">
        <v>44867</v>
      </c>
      <c r="E172" s="1" t="n">
        <v>46218</v>
      </c>
      <c r="F172" t="inlineStr">
        <is>
          <t>DALARNAS LÄN</t>
        </is>
      </c>
      <c r="G172" t="inlineStr">
        <is>
          <t>BORLÄNGE</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33163-2022</t>
        </is>
      </c>
      <c r="B173" t="inlineStr">
        <is>
          <t>avverkningsanmälan</t>
        </is>
      </c>
      <c r="C173" t="inlineStr">
        <is>
          <t>Föryngringsavverkning</t>
        </is>
      </c>
      <c r="D173" s="1" t="n">
        <v>44785</v>
      </c>
      <c r="E173" s="1" t="n">
        <v>46218</v>
      </c>
      <c r="F173" t="inlineStr">
        <is>
          <t>DALARNAS LÄN</t>
        </is>
      </c>
      <c r="G173" t="inlineStr">
        <is>
          <t>BORLÄNGE</t>
        </is>
      </c>
      <c r="I173" t="n">
        <v>10</v>
      </c>
      <c r="J173" t="n">
        <v>0</v>
      </c>
      <c r="K173" t="n">
        <v>0</v>
      </c>
      <c r="L173" t="n">
        <v>0</v>
      </c>
      <c r="M173" t="n">
        <v>0</v>
      </c>
      <c r="N173" t="n">
        <v>0</v>
      </c>
      <c r="O173" t="n">
        <v>0</v>
      </c>
      <c r="P173" t="n">
        <v>0</v>
      </c>
      <c r="Q173" t="n">
        <v>0</v>
      </c>
      <c r="R173" t="n">
        <v>0</v>
      </c>
      <c r="S173" t="n">
        <v>0</v>
      </c>
      <c r="T173" t="n">
        <v>0</v>
      </c>
      <c r="U173" s="2" t="inlineStr"/>
    </row>
    <row r="174" ht="15" customHeight="1">
      <c r="A174" t="inlineStr">
        <is>
          <t>A 21026-2022</t>
        </is>
      </c>
      <c r="B174" t="inlineStr">
        <is>
          <t>avverkningsanmälan</t>
        </is>
      </c>
      <c r="C174" t="inlineStr">
        <is>
          <t>Föryngringsavverkning</t>
        </is>
      </c>
      <c r="D174" s="1" t="n">
        <v>44704</v>
      </c>
      <c r="E174" s="1" t="n">
        <v>46218</v>
      </c>
      <c r="F174" t="inlineStr">
        <is>
          <t>DALARNAS LÄN</t>
        </is>
      </c>
      <c r="G174" t="inlineStr">
        <is>
          <t>BORLÄNGE</t>
        </is>
      </c>
      <c r="I174" t="n">
        <v>5.3</v>
      </c>
      <c r="J174" t="n">
        <v>0</v>
      </c>
      <c r="K174" t="n">
        <v>0</v>
      </c>
      <c r="L174" t="n">
        <v>0</v>
      </c>
      <c r="M174" t="n">
        <v>0</v>
      </c>
      <c r="N174" t="n">
        <v>0</v>
      </c>
      <c r="O174" t="n">
        <v>0</v>
      </c>
      <c r="P174" t="n">
        <v>0</v>
      </c>
      <c r="Q174" t="n">
        <v>0</v>
      </c>
      <c r="R174" t="n">
        <v>0</v>
      </c>
      <c r="S174" t="n">
        <v>0</v>
      </c>
      <c r="T174" t="n">
        <v>0</v>
      </c>
      <c r="U174" s="2" t="inlineStr"/>
    </row>
    <row r="175" ht="15" customHeight="1">
      <c r="A175" t="inlineStr">
        <is>
          <t>A 31679-2023</t>
        </is>
      </c>
      <c r="B175" t="inlineStr">
        <is>
          <t>avverkningsanmälan</t>
        </is>
      </c>
      <c r="C175" t="inlineStr">
        <is>
          <t>Föryngringsavverkning</t>
        </is>
      </c>
      <c r="D175" s="1" t="n">
        <v>45117</v>
      </c>
      <c r="E175" s="1" t="n">
        <v>46218</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10689-2024</t>
        </is>
      </c>
      <c r="B176" t="inlineStr">
        <is>
          <t>avverkningsanmälan</t>
        </is>
      </c>
      <c r="C176" t="inlineStr">
        <is>
          <t>Föryngringsavverkning</t>
        </is>
      </c>
      <c r="D176" s="1" t="n">
        <v>45369</v>
      </c>
      <c r="E176" s="1" t="n">
        <v>46218</v>
      </c>
      <c r="F176" t="inlineStr">
        <is>
          <t>DALARNAS LÄN</t>
        </is>
      </c>
      <c r="G176" t="inlineStr">
        <is>
          <t>BORLÄNGE</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42612-2024</t>
        </is>
      </c>
      <c r="B177" t="inlineStr">
        <is>
          <t>avverkningsanmälan</t>
        </is>
      </c>
      <c r="C177" t="inlineStr">
        <is>
          <t>Föryngringsavverkning</t>
        </is>
      </c>
      <c r="D177" s="1" t="n">
        <v>45565</v>
      </c>
      <c r="E177" s="1" t="n">
        <v>46218</v>
      </c>
      <c r="F177" t="inlineStr">
        <is>
          <t>DALARNAS LÄN</t>
        </is>
      </c>
      <c r="G177" t="inlineStr">
        <is>
          <t>BORLÄNGE</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59772-2021</t>
        </is>
      </c>
      <c r="B178" t="inlineStr">
        <is>
          <t>avverkningsanmälan</t>
        </is>
      </c>
      <c r="C178" t="inlineStr">
        <is>
          <t>Avverkning för annat ändamål</t>
        </is>
      </c>
      <c r="D178" s="1" t="n">
        <v>44494</v>
      </c>
      <c r="E178" s="1" t="n">
        <v>46218</v>
      </c>
      <c r="F178" t="inlineStr">
        <is>
          <t>DALARNAS LÄN</t>
        </is>
      </c>
      <c r="G178" t="inlineStr">
        <is>
          <t>BORLÄNGE</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60301-2024</t>
        </is>
      </c>
      <c r="B179" t="inlineStr">
        <is>
          <t>avverkningsanmälan</t>
        </is>
      </c>
      <c r="C179" t="inlineStr">
        <is>
          <t>Föryngringsavverkning</t>
        </is>
      </c>
      <c r="D179" s="1" t="n">
        <v>45643</v>
      </c>
      <c r="E179" s="1" t="n">
        <v>46218</v>
      </c>
      <c r="F179" t="inlineStr">
        <is>
          <t>DALARNAS LÄN</t>
        </is>
      </c>
      <c r="G179" t="inlineStr">
        <is>
          <t>BORLÄNGE</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20008-2023</t>
        </is>
      </c>
      <c r="B180" t="inlineStr">
        <is>
          <t>avverkningsanmälan</t>
        </is>
      </c>
      <c r="C180" t="inlineStr">
        <is>
          <t>Föryngringsavverkning</t>
        </is>
      </c>
      <c r="D180" s="1" t="n">
        <v>45054</v>
      </c>
      <c r="E180" s="1" t="n">
        <v>46218</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15393-2023</t>
        </is>
      </c>
      <c r="B181" t="inlineStr">
        <is>
          <t>avverkningsanmälan</t>
        </is>
      </c>
      <c r="C181" t="inlineStr">
        <is>
          <t>Avverkning för annat ändamål</t>
        </is>
      </c>
      <c r="D181" s="1" t="n">
        <v>45016</v>
      </c>
      <c r="E181" s="1" t="n">
        <v>46218</v>
      </c>
      <c r="F181" t="inlineStr">
        <is>
          <t>DALARNAS LÄN</t>
        </is>
      </c>
      <c r="G181" t="inlineStr">
        <is>
          <t>BORLÄNGE</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60060-2023</t>
        </is>
      </c>
      <c r="B182" t="inlineStr">
        <is>
          <t>avverkningsanmälan</t>
        </is>
      </c>
      <c r="C182" t="inlineStr">
        <is>
          <t>Föryngringsavverkning</t>
        </is>
      </c>
      <c r="D182" s="1" t="n">
        <v>45258</v>
      </c>
      <c r="E182" s="1" t="n">
        <v>46218</v>
      </c>
      <c r="F182" t="inlineStr">
        <is>
          <t>DALARNAS LÄN</t>
        </is>
      </c>
      <c r="G182" t="inlineStr">
        <is>
          <t>BORLÄNGE</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44240-2023</t>
        </is>
      </c>
      <c r="B183" t="inlineStr">
        <is>
          <t>avverkningsanmälan</t>
        </is>
      </c>
      <c r="C183" t="inlineStr">
        <is>
          <t>Föryngringsavverkning</t>
        </is>
      </c>
      <c r="D183" s="1" t="n">
        <v>45188</v>
      </c>
      <c r="E183" s="1" t="n">
        <v>46218</v>
      </c>
      <c r="F183" t="inlineStr">
        <is>
          <t>DALARNAS LÄN</t>
        </is>
      </c>
      <c r="G183" t="inlineStr">
        <is>
          <t>BORLÄNGE</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39520-2025</t>
        </is>
      </c>
      <c r="B184" t="inlineStr">
        <is>
          <t>avverkningsanmälan</t>
        </is>
      </c>
      <c r="C184" t="inlineStr">
        <is>
          <t>Föryngringsavverkning</t>
        </is>
      </c>
      <c r="D184" s="1" t="n">
        <v>45890</v>
      </c>
      <c r="E184" s="1" t="n">
        <v>46218</v>
      </c>
      <c r="F184" t="inlineStr">
        <is>
          <t>DALARNAS LÄN</t>
        </is>
      </c>
      <c r="G184" t="inlineStr">
        <is>
          <t>BORLÄNGE</t>
        </is>
      </c>
      <c r="H184" t="inlineStr">
        <is>
          <t>Bergvik skog väst AB</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30162-2024</t>
        </is>
      </c>
      <c r="B185" t="inlineStr">
        <is>
          <t>avverkningsanmälan</t>
        </is>
      </c>
      <c r="C185" t="inlineStr">
        <is>
          <t>Föryngringsavverkning</t>
        </is>
      </c>
      <c r="D185" s="1" t="n">
        <v>45489</v>
      </c>
      <c r="E185" s="1" t="n">
        <v>46218</v>
      </c>
      <c r="F185" t="inlineStr">
        <is>
          <t>DALARNAS LÄN</t>
        </is>
      </c>
      <c r="G185" t="inlineStr">
        <is>
          <t>BORLÄNGE</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39740-2025</t>
        </is>
      </c>
      <c r="B186" t="inlineStr">
        <is>
          <t>avverkningsanmälan</t>
        </is>
      </c>
      <c r="C186" t="inlineStr">
        <is>
          <t>Föryngringsavverkning</t>
        </is>
      </c>
      <c r="D186" s="1" t="n">
        <v>45891</v>
      </c>
      <c r="E186" s="1" t="n">
        <v>46218</v>
      </c>
      <c r="F186" t="inlineStr">
        <is>
          <t>DALARNAS LÄN</t>
        </is>
      </c>
      <c r="G186" t="inlineStr">
        <is>
          <t>BORLÄNGE</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39734-2025</t>
        </is>
      </c>
      <c r="B187" t="inlineStr">
        <is>
          <t>avverkningsanmälan</t>
        </is>
      </c>
      <c r="C187" t="inlineStr">
        <is>
          <t>Föryngringsavverkning</t>
        </is>
      </c>
      <c r="D187" s="1" t="n">
        <v>45891</v>
      </c>
      <c r="E187" s="1" t="n">
        <v>46218</v>
      </c>
      <c r="F187" t="inlineStr">
        <is>
          <t>DALARNAS LÄN</t>
        </is>
      </c>
      <c r="G187" t="inlineStr">
        <is>
          <t>BORLÄNGE</t>
        </is>
      </c>
      <c r="H187" t="inlineStr">
        <is>
          <t>Bergvik skog väst AB</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37785-2024</t>
        </is>
      </c>
      <c r="B188" t="inlineStr">
        <is>
          <t>avverkningsanmälan</t>
        </is>
      </c>
      <c r="C188" t="inlineStr">
        <is>
          <t>Föryngringsavverkning</t>
        </is>
      </c>
      <c r="D188" s="1" t="n">
        <v>45542</v>
      </c>
      <c r="E188" s="1" t="n">
        <v>46218</v>
      </c>
      <c r="F188" t="inlineStr">
        <is>
          <t>DALARNAS LÄN</t>
        </is>
      </c>
      <c r="G188" t="inlineStr">
        <is>
          <t>BORLÄNGE</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49938-2023</t>
        </is>
      </c>
      <c r="B189" t="inlineStr">
        <is>
          <t>avverkningsanmälan</t>
        </is>
      </c>
      <c r="C189" t="inlineStr">
        <is>
          <t>Föryngringsavverkning</t>
        </is>
      </c>
      <c r="D189" s="1" t="n">
        <v>45215</v>
      </c>
      <c r="E189" s="1" t="n">
        <v>46218</v>
      </c>
      <c r="F189" t="inlineStr">
        <is>
          <t>DALARNAS LÄN</t>
        </is>
      </c>
      <c r="G189" t="inlineStr">
        <is>
          <t>BORLÄNGE</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49888-2023</t>
        </is>
      </c>
      <c r="B190" t="inlineStr">
        <is>
          <t>avverkningsanmälan</t>
        </is>
      </c>
      <c r="C190" t="inlineStr">
        <is>
          <t>Föryngringsavverkning</t>
        </is>
      </c>
      <c r="D190" s="1" t="n">
        <v>45213</v>
      </c>
      <c r="E190" s="1" t="n">
        <v>46218</v>
      </c>
      <c r="F190" t="inlineStr">
        <is>
          <t>DALARNAS LÄN</t>
        </is>
      </c>
      <c r="G190" t="inlineStr">
        <is>
          <t>BORLÄNGE</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34882-2024</t>
        </is>
      </c>
      <c r="B191" t="inlineStr">
        <is>
          <t>avverkningsanmälan</t>
        </is>
      </c>
      <c r="C191" t="inlineStr">
        <is>
          <t>Föryngringsavverkning</t>
        </is>
      </c>
      <c r="D191" s="1" t="n">
        <v>45527</v>
      </c>
      <c r="E191" s="1" t="n">
        <v>46218</v>
      </c>
      <c r="F191" t="inlineStr">
        <is>
          <t>DALARNAS LÄN</t>
        </is>
      </c>
      <c r="G191" t="inlineStr">
        <is>
          <t>BORLÄNGE</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17510-2022</t>
        </is>
      </c>
      <c r="B192" t="inlineStr">
        <is>
          <t>avverkningsanmälan</t>
        </is>
      </c>
      <c r="C192" t="inlineStr">
        <is>
          <t>Föryngringsavverkning</t>
        </is>
      </c>
      <c r="D192" s="1" t="n">
        <v>44679</v>
      </c>
      <c r="E192" s="1" t="n">
        <v>46218</v>
      </c>
      <c r="F192" t="inlineStr">
        <is>
          <t>DALARNAS LÄN</t>
        </is>
      </c>
      <c r="G192" t="inlineStr">
        <is>
          <t>BORLÄNGE</t>
        </is>
      </c>
      <c r="H192" t="inlineStr">
        <is>
          <t>Kommuner</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619-2024</t>
        </is>
      </c>
      <c r="B193" t="inlineStr">
        <is>
          <t>avverkningsanmälan</t>
        </is>
      </c>
      <c r="C193" t="inlineStr">
        <is>
          <t>Föryngringsavverkning</t>
        </is>
      </c>
      <c r="D193" s="1" t="n">
        <v>45299</v>
      </c>
      <c r="E193" s="1" t="n">
        <v>46218</v>
      </c>
      <c r="F193" t="inlineStr">
        <is>
          <t>DALARNAS LÄN</t>
        </is>
      </c>
      <c r="G193" t="inlineStr">
        <is>
          <t>BORLÄNGE</t>
        </is>
      </c>
      <c r="I193" t="n">
        <v>5.3</v>
      </c>
      <c r="J193" t="n">
        <v>0</v>
      </c>
      <c r="K193" t="n">
        <v>0</v>
      </c>
      <c r="L193" t="n">
        <v>0</v>
      </c>
      <c r="M193" t="n">
        <v>0</v>
      </c>
      <c r="N193" t="n">
        <v>0</v>
      </c>
      <c r="O193" t="n">
        <v>0</v>
      </c>
      <c r="P193" t="n">
        <v>0</v>
      </c>
      <c r="Q193" t="n">
        <v>0</v>
      </c>
      <c r="R193" t="n">
        <v>0</v>
      </c>
      <c r="S193" t="n">
        <v>0</v>
      </c>
      <c r="T193" t="n">
        <v>0</v>
      </c>
      <c r="U193" s="2" t="inlineStr"/>
    </row>
    <row r="194" ht="15" customHeight="1">
      <c r="A194" t="inlineStr">
        <is>
          <t>A 8309-2022</t>
        </is>
      </c>
      <c r="B194" t="inlineStr">
        <is>
          <t>avverkningsanmälan</t>
        </is>
      </c>
      <c r="C194" t="inlineStr">
        <is>
          <t>Föryngringsavverkning</t>
        </is>
      </c>
      <c r="D194" s="1" t="n">
        <v>44610</v>
      </c>
      <c r="E194" s="1" t="n">
        <v>46218</v>
      </c>
      <c r="F194" t="inlineStr">
        <is>
          <t>DALARNAS LÄN</t>
        </is>
      </c>
      <c r="G194" t="inlineStr">
        <is>
          <t>BORLÄNGE</t>
        </is>
      </c>
      <c r="I194" t="n">
        <v>2.8</v>
      </c>
      <c r="J194" t="n">
        <v>0</v>
      </c>
      <c r="K194" t="n">
        <v>0</v>
      </c>
      <c r="L194" t="n">
        <v>0</v>
      </c>
      <c r="M194" t="n">
        <v>0</v>
      </c>
      <c r="N194" t="n">
        <v>0</v>
      </c>
      <c r="O194" t="n">
        <v>0</v>
      </c>
      <c r="P194" t="n">
        <v>0</v>
      </c>
      <c r="Q194" t="n">
        <v>0</v>
      </c>
      <c r="R194" t="n">
        <v>0</v>
      </c>
      <c r="S194" t="n">
        <v>0</v>
      </c>
      <c r="T194" t="n">
        <v>0</v>
      </c>
      <c r="U194" s="2" t="inlineStr"/>
    </row>
    <row r="195" ht="15" customHeight="1">
      <c r="A195" t="inlineStr">
        <is>
          <t>A 43662-2022</t>
        </is>
      </c>
      <c r="B195" t="inlineStr">
        <is>
          <t>avverkningsanmälan</t>
        </is>
      </c>
      <c r="C195" t="inlineStr">
        <is>
          <t>Föryngringsavverkning</t>
        </is>
      </c>
      <c r="D195" s="1" t="n">
        <v>44837</v>
      </c>
      <c r="E195" s="1" t="n">
        <v>46218</v>
      </c>
      <c r="F195" t="inlineStr">
        <is>
          <t>DALARNAS LÄN</t>
        </is>
      </c>
      <c r="G195" t="inlineStr">
        <is>
          <t>BORLÄNGE</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47318-2023</t>
        </is>
      </c>
      <c r="B196" t="inlineStr">
        <is>
          <t>avverkningsanmälan</t>
        </is>
      </c>
      <c r="C196" t="inlineStr">
        <is>
          <t>Föryngringsavverkning</t>
        </is>
      </c>
      <c r="D196" s="1" t="n">
        <v>45202</v>
      </c>
      <c r="E196" s="1" t="n">
        <v>46218</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43324-2023</t>
        </is>
      </c>
      <c r="B197" t="inlineStr">
        <is>
          <t>avverkningsanmälan</t>
        </is>
      </c>
      <c r="C197" t="inlineStr">
        <is>
          <t>Föryngringsavverkning</t>
        </is>
      </c>
      <c r="D197" s="1" t="n">
        <v>45183</v>
      </c>
      <c r="E197" s="1" t="n">
        <v>46218</v>
      </c>
      <c r="F197" t="inlineStr">
        <is>
          <t>DALARNAS LÄN</t>
        </is>
      </c>
      <c r="G197" t="inlineStr">
        <is>
          <t>BORLÄNGE</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23416-2023</t>
        </is>
      </c>
      <c r="B198" t="inlineStr">
        <is>
          <t>avverkningsanmälan</t>
        </is>
      </c>
      <c r="C198" t="inlineStr">
        <is>
          <t>Föryngringsavverkning</t>
        </is>
      </c>
      <c r="D198" s="1" t="n">
        <v>45076</v>
      </c>
      <c r="E198" s="1" t="n">
        <v>46218</v>
      </c>
      <c r="F198" t="inlineStr">
        <is>
          <t>DALARNAS LÄN</t>
        </is>
      </c>
      <c r="G198" t="inlineStr">
        <is>
          <t>BORLÄNGE</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18529-2024</t>
        </is>
      </c>
      <c r="B199" t="inlineStr">
        <is>
          <t>avverkningsanmälan</t>
        </is>
      </c>
      <c r="C199" t="inlineStr">
        <is>
          <t>Föryngringsavverkning</t>
        </is>
      </c>
      <c r="D199" s="1" t="n">
        <v>45425</v>
      </c>
      <c r="E199" s="1" t="n">
        <v>46218</v>
      </c>
      <c r="F199" t="inlineStr">
        <is>
          <t>DALARNAS LÄN</t>
        </is>
      </c>
      <c r="G199" t="inlineStr">
        <is>
          <t>BORLÄNGE</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12448-2023</t>
        </is>
      </c>
      <c r="B200" t="inlineStr">
        <is>
          <t>avverkningsanmälan</t>
        </is>
      </c>
      <c r="C200" t="inlineStr">
        <is>
          <t>Avverkning för annat ändamål</t>
        </is>
      </c>
      <c r="D200" s="1" t="n">
        <v>44999</v>
      </c>
      <c r="E200" s="1" t="n">
        <v>46218</v>
      </c>
      <c r="F200" t="inlineStr">
        <is>
          <t>DALARNAS LÄN</t>
        </is>
      </c>
      <c r="G200" t="inlineStr">
        <is>
          <t>BORLÄNGE</t>
        </is>
      </c>
      <c r="H200" t="inlineStr">
        <is>
          <t>Bergvik skog väst AB</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9295-2024</t>
        </is>
      </c>
      <c r="B201" t="inlineStr">
        <is>
          <t>avverkningsanmälan</t>
        </is>
      </c>
      <c r="C201" t="inlineStr">
        <is>
          <t>Avverkning för annat ändamål</t>
        </is>
      </c>
      <c r="D201" s="1" t="n">
        <v>45358</v>
      </c>
      <c r="E201" s="1" t="n">
        <v>46218</v>
      </c>
      <c r="F201" t="inlineStr">
        <is>
          <t>DALARNAS LÄN</t>
        </is>
      </c>
      <c r="G201" t="inlineStr">
        <is>
          <t>BORLÄNGE</t>
        </is>
      </c>
      <c r="H201" t="inlineStr">
        <is>
          <t>Kommuner</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36424-2024</t>
        </is>
      </c>
      <c r="B202" t="inlineStr">
        <is>
          <t>avverkningsanmälan</t>
        </is>
      </c>
      <c r="C202" t="inlineStr">
        <is>
          <t>Föryngringsavverkning</t>
        </is>
      </c>
      <c r="D202" s="1" t="n">
        <v>45536</v>
      </c>
      <c r="E202" s="1" t="n">
        <v>46218</v>
      </c>
      <c r="F202" t="inlineStr">
        <is>
          <t>DALARNAS LÄN</t>
        </is>
      </c>
      <c r="G202" t="inlineStr">
        <is>
          <t>BORLÄNGE</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51859-2023</t>
        </is>
      </c>
      <c r="B203" t="inlineStr">
        <is>
          <t>avverkningsanmälan</t>
        </is>
      </c>
      <c r="C203" t="inlineStr">
        <is>
          <t>Föryngringsavverkning</t>
        </is>
      </c>
      <c r="D203" s="1" t="n">
        <v>45223</v>
      </c>
      <c r="E203" s="1" t="n">
        <v>46218</v>
      </c>
      <c r="F203" t="inlineStr">
        <is>
          <t>DALARNAS LÄN</t>
        </is>
      </c>
      <c r="G203" t="inlineStr">
        <is>
          <t>BORLÄNGE</t>
        </is>
      </c>
      <c r="I203" t="n">
        <v>0.3</v>
      </c>
      <c r="J203" t="n">
        <v>0</v>
      </c>
      <c r="K203" t="n">
        <v>0</v>
      </c>
      <c r="L203" t="n">
        <v>0</v>
      </c>
      <c r="M203" t="n">
        <v>0</v>
      </c>
      <c r="N203" t="n">
        <v>0</v>
      </c>
      <c r="O203" t="n">
        <v>0</v>
      </c>
      <c r="P203" t="n">
        <v>0</v>
      </c>
      <c r="Q203" t="n">
        <v>0</v>
      </c>
      <c r="R203" t="n">
        <v>0</v>
      </c>
      <c r="S203" t="n">
        <v>0</v>
      </c>
      <c r="T203" t="n">
        <v>0</v>
      </c>
      <c r="U203" s="2" t="inlineStr"/>
    </row>
    <row r="204" ht="15" customHeight="1">
      <c r="A204" t="inlineStr">
        <is>
          <t>A 51862-2023</t>
        </is>
      </c>
      <c r="B204" t="inlineStr">
        <is>
          <t>avverkningsanmälan</t>
        </is>
      </c>
      <c r="C204" t="inlineStr">
        <is>
          <t>Föryngringsavverkning</t>
        </is>
      </c>
      <c r="D204" s="1" t="n">
        <v>45223</v>
      </c>
      <c r="E204" s="1" t="n">
        <v>46218</v>
      </c>
      <c r="F204" t="inlineStr">
        <is>
          <t>DALARNAS LÄN</t>
        </is>
      </c>
      <c r="G204" t="inlineStr">
        <is>
          <t>BORLÄNGE</t>
        </is>
      </c>
      <c r="H204" t="inlineStr">
        <is>
          <t>Övriga statliga verk och myndigheter</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28312-2022</t>
        </is>
      </c>
      <c r="B205" t="inlineStr">
        <is>
          <t>avverkningsanmälan</t>
        </is>
      </c>
      <c r="C205" t="inlineStr">
        <is>
          <t>Föryngringsavverkning</t>
        </is>
      </c>
      <c r="D205" s="1" t="n">
        <v>44747</v>
      </c>
      <c r="E205" s="1" t="n">
        <v>46218</v>
      </c>
      <c r="F205" t="inlineStr">
        <is>
          <t>DALARNAS LÄN</t>
        </is>
      </c>
      <c r="G205" t="inlineStr">
        <is>
          <t>BORLÄNGE</t>
        </is>
      </c>
      <c r="I205" t="n">
        <v>2.4</v>
      </c>
      <c r="J205" t="n">
        <v>0</v>
      </c>
      <c r="K205" t="n">
        <v>0</v>
      </c>
      <c r="L205" t="n">
        <v>0</v>
      </c>
      <c r="M205" t="n">
        <v>0</v>
      </c>
      <c r="N205" t="n">
        <v>0</v>
      </c>
      <c r="O205" t="n">
        <v>0</v>
      </c>
      <c r="P205" t="n">
        <v>0</v>
      </c>
      <c r="Q205" t="n">
        <v>0</v>
      </c>
      <c r="R205" t="n">
        <v>0</v>
      </c>
      <c r="S205" t="n">
        <v>0</v>
      </c>
      <c r="T205" t="n">
        <v>0</v>
      </c>
      <c r="U205" s="2" t="inlineStr"/>
    </row>
    <row r="206" ht="15" customHeight="1">
      <c r="A206" t="inlineStr">
        <is>
          <t>A 20784-2024</t>
        </is>
      </c>
      <c r="B206" t="inlineStr">
        <is>
          <t>avverkningsanmälan</t>
        </is>
      </c>
      <c r="C206" t="inlineStr">
        <is>
          <t>Föryngringsavverkning</t>
        </is>
      </c>
      <c r="D206" s="1" t="n">
        <v>45437</v>
      </c>
      <c r="E206" s="1" t="n">
        <v>46218</v>
      </c>
      <c r="F206" t="inlineStr">
        <is>
          <t>DALARNAS LÄN</t>
        </is>
      </c>
      <c r="G206" t="inlineStr">
        <is>
          <t>BORLÄNGE</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44244-2025</t>
        </is>
      </c>
      <c r="B207" t="inlineStr">
        <is>
          <t>avverkningsanmälan</t>
        </is>
      </c>
      <c r="C207" t="inlineStr">
        <is>
          <t>Avverkning för annat ändamål</t>
        </is>
      </c>
      <c r="D207" s="1" t="n">
        <v>45915</v>
      </c>
      <c r="E207" s="1" t="n">
        <v>46218</v>
      </c>
      <c r="F207" t="inlineStr">
        <is>
          <t>DALARNAS LÄN</t>
        </is>
      </c>
      <c r="G207" t="inlineStr">
        <is>
          <t>BORLÄNGE</t>
        </is>
      </c>
      <c r="I207" t="n">
        <v>2.6</v>
      </c>
      <c r="J207" t="n">
        <v>0</v>
      </c>
      <c r="K207" t="n">
        <v>0</v>
      </c>
      <c r="L207" t="n">
        <v>0</v>
      </c>
      <c r="M207" t="n">
        <v>0</v>
      </c>
      <c r="N207" t="n">
        <v>0</v>
      </c>
      <c r="O207" t="n">
        <v>0</v>
      </c>
      <c r="P207" t="n">
        <v>0</v>
      </c>
      <c r="Q207" t="n">
        <v>0</v>
      </c>
      <c r="R207" t="n">
        <v>0</v>
      </c>
      <c r="S207" t="n">
        <v>0</v>
      </c>
      <c r="T207" t="n">
        <v>0</v>
      </c>
      <c r="U207" s="2" t="inlineStr"/>
    </row>
    <row r="208" ht="15" customHeight="1">
      <c r="A208" t="inlineStr">
        <is>
          <t>A 57533-2023</t>
        </is>
      </c>
      <c r="B208" t="inlineStr">
        <is>
          <t>avverkningsanmälan</t>
        </is>
      </c>
      <c r="C208" t="inlineStr">
        <is>
          <t>Föryngringsavverkning</t>
        </is>
      </c>
      <c r="D208" s="1" t="n">
        <v>45246</v>
      </c>
      <c r="E208" s="1" t="n">
        <v>46218</v>
      </c>
      <c r="F208" t="inlineStr">
        <is>
          <t>DALARNAS LÄN</t>
        </is>
      </c>
      <c r="G208" t="inlineStr">
        <is>
          <t>BORLÄNGE</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43713-2024</t>
        </is>
      </c>
      <c r="B209" t="inlineStr">
        <is>
          <t>avverkningsanmälan</t>
        </is>
      </c>
      <c r="C209" t="inlineStr">
        <is>
          <t>Föryngringsavverkning</t>
        </is>
      </c>
      <c r="D209" s="1" t="n">
        <v>45569</v>
      </c>
      <c r="E209" s="1" t="n">
        <v>46218</v>
      </c>
      <c r="F209" t="inlineStr">
        <is>
          <t>DALARNAS LÄN</t>
        </is>
      </c>
      <c r="G209" t="inlineStr">
        <is>
          <t>BORLÄNGE</t>
        </is>
      </c>
      <c r="I209" t="n">
        <v>4.1</v>
      </c>
      <c r="J209" t="n">
        <v>0</v>
      </c>
      <c r="K209" t="n">
        <v>0</v>
      </c>
      <c r="L209" t="n">
        <v>0</v>
      </c>
      <c r="M209" t="n">
        <v>0</v>
      </c>
      <c r="N209" t="n">
        <v>0</v>
      </c>
      <c r="O209" t="n">
        <v>0</v>
      </c>
      <c r="P209" t="n">
        <v>0</v>
      </c>
      <c r="Q209" t="n">
        <v>0</v>
      </c>
      <c r="R209" t="n">
        <v>0</v>
      </c>
      <c r="S209" t="n">
        <v>0</v>
      </c>
      <c r="T209" t="n">
        <v>0</v>
      </c>
      <c r="U209" s="2" t="inlineStr"/>
    </row>
    <row r="210" ht="15" customHeight="1">
      <c r="A210" t="inlineStr">
        <is>
          <t>A 13658-2024</t>
        </is>
      </c>
      <c r="B210" t="inlineStr">
        <is>
          <t>avverkningsanmälan</t>
        </is>
      </c>
      <c r="C210" t="inlineStr">
        <is>
          <t>Föryngringsavverkning</t>
        </is>
      </c>
      <c r="D210" s="1" t="n">
        <v>45390</v>
      </c>
      <c r="E210" s="1" t="n">
        <v>46218</v>
      </c>
      <c r="F210" t="inlineStr">
        <is>
          <t>DALARNAS LÄN</t>
        </is>
      </c>
      <c r="G210" t="inlineStr">
        <is>
          <t>BORLÄNGE</t>
        </is>
      </c>
      <c r="H210" t="inlineStr">
        <is>
          <t>Kommuner</t>
        </is>
      </c>
      <c r="I210" t="n">
        <v>3.1</v>
      </c>
      <c r="J210" t="n">
        <v>0</v>
      </c>
      <c r="K210" t="n">
        <v>0</v>
      </c>
      <c r="L210" t="n">
        <v>0</v>
      </c>
      <c r="M210" t="n">
        <v>0</v>
      </c>
      <c r="N210" t="n">
        <v>0</v>
      </c>
      <c r="O210" t="n">
        <v>0</v>
      </c>
      <c r="P210" t="n">
        <v>0</v>
      </c>
      <c r="Q210" t="n">
        <v>0</v>
      </c>
      <c r="R210" t="n">
        <v>0</v>
      </c>
      <c r="S210" t="n">
        <v>0</v>
      </c>
      <c r="T210" t="n">
        <v>0</v>
      </c>
      <c r="U210" s="2" t="inlineStr"/>
    </row>
    <row r="211" ht="15" customHeight="1">
      <c r="A211" t="inlineStr">
        <is>
          <t>A 73002-2021</t>
        </is>
      </c>
      <c r="B211" t="inlineStr">
        <is>
          <t>avverkningsanmälan</t>
        </is>
      </c>
      <c r="C211" t="inlineStr">
        <is>
          <t>Föryngringsavverkning</t>
        </is>
      </c>
      <c r="D211" s="1" t="n">
        <v>44550</v>
      </c>
      <c r="E211" s="1" t="n">
        <v>46218</v>
      </c>
      <c r="F211" t="inlineStr">
        <is>
          <t>DALARNAS LÄN</t>
        </is>
      </c>
      <c r="G211" t="inlineStr">
        <is>
          <t>BORLÄNGE</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47109-2024</t>
        </is>
      </c>
      <c r="B212" t="inlineStr">
        <is>
          <t>avverkningsanmälan</t>
        </is>
      </c>
      <c r="C212" t="inlineStr">
        <is>
          <t>Föryngringsavverkning</t>
        </is>
      </c>
      <c r="D212" s="1" t="n">
        <v>45586</v>
      </c>
      <c r="E212" s="1" t="n">
        <v>46218</v>
      </c>
      <c r="F212" t="inlineStr">
        <is>
          <t>DALARNAS LÄN</t>
        </is>
      </c>
      <c r="G212" t="inlineStr">
        <is>
          <t>BORLÄNGE</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7588-2023</t>
        </is>
      </c>
      <c r="B213" t="inlineStr">
        <is>
          <t>avverkningsanmälan</t>
        </is>
      </c>
      <c r="C213" t="inlineStr">
        <is>
          <t>Föryngringsavverkning</t>
        </is>
      </c>
      <c r="D213" s="1" t="n">
        <v>44972</v>
      </c>
      <c r="E213" s="1" t="n">
        <v>46218</v>
      </c>
      <c r="F213" t="inlineStr">
        <is>
          <t>DALARNAS LÄN</t>
        </is>
      </c>
      <c r="G213" t="inlineStr">
        <is>
          <t>BORLÄNGE</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13983-2024</t>
        </is>
      </c>
      <c r="B214" t="inlineStr">
        <is>
          <t>avverkningsanmälan</t>
        </is>
      </c>
      <c r="C214" t="inlineStr">
        <is>
          <t>Avverkning för annat ändamål</t>
        </is>
      </c>
      <c r="D214" s="1" t="n">
        <v>45392</v>
      </c>
      <c r="E214" s="1" t="n">
        <v>46218</v>
      </c>
      <c r="F214" t="inlineStr">
        <is>
          <t>DALARNAS LÄN</t>
        </is>
      </c>
      <c r="G214" t="inlineStr">
        <is>
          <t>BORLÄNGE</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62214-2023</t>
        </is>
      </c>
      <c r="B215" t="inlineStr">
        <is>
          <t>avverkningsanmälan</t>
        </is>
      </c>
      <c r="C215" t="inlineStr">
        <is>
          <t>Föryngringsavverkning</t>
        </is>
      </c>
      <c r="D215" s="1" t="n">
        <v>45267</v>
      </c>
      <c r="E215" s="1" t="n">
        <v>46218</v>
      </c>
      <c r="F215" t="inlineStr">
        <is>
          <t>DALARNAS LÄN</t>
        </is>
      </c>
      <c r="G215" t="inlineStr">
        <is>
          <t>BORLÄNGE</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54414-2024</t>
        </is>
      </c>
      <c r="B216" t="inlineStr">
        <is>
          <t>avverkningsanmälan</t>
        </is>
      </c>
      <c r="C216" t="inlineStr">
        <is>
          <t>Avverkning för annat ändamål</t>
        </is>
      </c>
      <c r="D216" s="1" t="n">
        <v>45617</v>
      </c>
      <c r="E216" s="1" t="n">
        <v>46218</v>
      </c>
      <c r="F216" t="inlineStr">
        <is>
          <t>DALARNAS LÄN</t>
        </is>
      </c>
      <c r="G216" t="inlineStr">
        <is>
          <t>BORLÄNGE</t>
        </is>
      </c>
      <c r="H216" t="inlineStr">
        <is>
          <t>Bergvik skog väst AB</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41257-2024</t>
        </is>
      </c>
      <c r="B217" t="inlineStr">
        <is>
          <t>avverkningsanmälan</t>
        </is>
      </c>
      <c r="C217" t="inlineStr">
        <is>
          <t>Föryngringsavverkning</t>
        </is>
      </c>
      <c r="D217" s="1" t="n">
        <v>45559</v>
      </c>
      <c r="E217" s="1" t="n">
        <v>46218</v>
      </c>
      <c r="F217" t="inlineStr">
        <is>
          <t>DALARNAS LÄN</t>
        </is>
      </c>
      <c r="G217" t="inlineStr">
        <is>
          <t>BORLÄNGE</t>
        </is>
      </c>
      <c r="I217" t="n">
        <v>2.8</v>
      </c>
      <c r="J217" t="n">
        <v>0</v>
      </c>
      <c r="K217" t="n">
        <v>0</v>
      </c>
      <c r="L217" t="n">
        <v>0</v>
      </c>
      <c r="M217" t="n">
        <v>0</v>
      </c>
      <c r="N217" t="n">
        <v>0</v>
      </c>
      <c r="O217" t="n">
        <v>0</v>
      </c>
      <c r="P217" t="n">
        <v>0</v>
      </c>
      <c r="Q217" t="n">
        <v>0</v>
      </c>
      <c r="R217" t="n">
        <v>0</v>
      </c>
      <c r="S217" t="n">
        <v>0</v>
      </c>
      <c r="T217" t="n">
        <v>0</v>
      </c>
      <c r="U217" s="2" t="inlineStr"/>
    </row>
    <row r="218" ht="15" customHeight="1">
      <c r="A218" t="inlineStr">
        <is>
          <t>A 41276-2024</t>
        </is>
      </c>
      <c r="B218" t="inlineStr">
        <is>
          <t>avverkningsanmälan</t>
        </is>
      </c>
      <c r="C218" t="inlineStr">
        <is>
          <t>Föryngringsavverkning</t>
        </is>
      </c>
      <c r="D218" s="1" t="n">
        <v>45559</v>
      </c>
      <c r="E218" s="1" t="n">
        <v>46218</v>
      </c>
      <c r="F218" t="inlineStr">
        <is>
          <t>DALARNAS LÄN</t>
        </is>
      </c>
      <c r="G218" t="inlineStr">
        <is>
          <t>BORLÄNGE</t>
        </is>
      </c>
      <c r="I218" t="n">
        <v>0.8</v>
      </c>
      <c r="J218" t="n">
        <v>0</v>
      </c>
      <c r="K218" t="n">
        <v>0</v>
      </c>
      <c r="L218" t="n">
        <v>0</v>
      </c>
      <c r="M218" t="n">
        <v>0</v>
      </c>
      <c r="N218" t="n">
        <v>0</v>
      </c>
      <c r="O218" t="n">
        <v>0</v>
      </c>
      <c r="P218" t="n">
        <v>0</v>
      </c>
      <c r="Q218" t="n">
        <v>0</v>
      </c>
      <c r="R218" t="n">
        <v>0</v>
      </c>
      <c r="S218" t="n">
        <v>0</v>
      </c>
      <c r="T218" t="n">
        <v>0</v>
      </c>
      <c r="U218" s="2" t="inlineStr"/>
    </row>
    <row r="219" ht="15" customHeight="1">
      <c r="A219" t="inlineStr">
        <is>
          <t>A 14995-2023</t>
        </is>
      </c>
      <c r="B219" t="inlineStr">
        <is>
          <t>avverkningsanmälan</t>
        </is>
      </c>
      <c r="C219" t="inlineStr">
        <is>
          <t>Föryngringsavverkning</t>
        </is>
      </c>
      <c r="D219" s="1" t="n">
        <v>45015</v>
      </c>
      <c r="E219" s="1" t="n">
        <v>46218</v>
      </c>
      <c r="F219" t="inlineStr">
        <is>
          <t>DALARNAS LÄN</t>
        </is>
      </c>
      <c r="G219" t="inlineStr">
        <is>
          <t>BORLÄNGE</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47001-2025</t>
        </is>
      </c>
      <c r="B220" t="inlineStr">
        <is>
          <t>avverkningsanmälan</t>
        </is>
      </c>
      <c r="C220" t="inlineStr">
        <is>
          <t>Föryngringsavverkning</t>
        </is>
      </c>
      <c r="D220" s="1" t="n">
        <v>45929</v>
      </c>
      <c r="E220" s="1" t="n">
        <v>46218</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47006-2025</t>
        </is>
      </c>
      <c r="B221" t="inlineStr">
        <is>
          <t>avverkningsanmälan</t>
        </is>
      </c>
      <c r="C221" t="inlineStr">
        <is>
          <t>Föryngringsavverkning</t>
        </is>
      </c>
      <c r="D221" s="1" t="n">
        <v>45929</v>
      </c>
      <c r="E221" s="1" t="n">
        <v>46218</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34674-2023</t>
        </is>
      </c>
      <c r="B222" t="inlineStr">
        <is>
          <t>avverkningsanmälan</t>
        </is>
      </c>
      <c r="C222" t="inlineStr">
        <is>
          <t>Föryngringsavverkning</t>
        </is>
      </c>
      <c r="D222" s="1" t="n">
        <v>45140</v>
      </c>
      <c r="E222" s="1" t="n">
        <v>46218</v>
      </c>
      <c r="F222" t="inlineStr">
        <is>
          <t>DALARNAS LÄN</t>
        </is>
      </c>
      <c r="G222" t="inlineStr">
        <is>
          <t>BORLÄNGE</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43012-2023</t>
        </is>
      </c>
      <c r="B223" t="inlineStr">
        <is>
          <t>avverkningsanmälan</t>
        </is>
      </c>
      <c r="C223" t="inlineStr">
        <is>
          <t>Föryngringsavverkning</t>
        </is>
      </c>
      <c r="D223" s="1" t="n">
        <v>45182</v>
      </c>
      <c r="E223" s="1" t="n">
        <v>46218</v>
      </c>
      <c r="F223" t="inlineStr">
        <is>
          <t>DALARNAS LÄN</t>
        </is>
      </c>
      <c r="G223" t="inlineStr">
        <is>
          <t>BORLÄNGE</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49056-2023</t>
        </is>
      </c>
      <c r="B224" t="inlineStr">
        <is>
          <t>avverkningsanmälan</t>
        </is>
      </c>
      <c r="C224" t="inlineStr">
        <is>
          <t>Föryngringsavverkning</t>
        </is>
      </c>
      <c r="D224" s="1" t="n">
        <v>45210</v>
      </c>
      <c r="E224" s="1" t="n">
        <v>46218</v>
      </c>
      <c r="F224" t="inlineStr">
        <is>
          <t>DALARNAS LÄN</t>
        </is>
      </c>
      <c r="G224" t="inlineStr">
        <is>
          <t>BORLÄNGE</t>
        </is>
      </c>
      <c r="H224" t="inlineStr">
        <is>
          <t>Bergvik skog väst AB</t>
        </is>
      </c>
      <c r="I224" t="n">
        <v>3.6</v>
      </c>
      <c r="J224" t="n">
        <v>0</v>
      </c>
      <c r="K224" t="n">
        <v>0</v>
      </c>
      <c r="L224" t="n">
        <v>0</v>
      </c>
      <c r="M224" t="n">
        <v>0</v>
      </c>
      <c r="N224" t="n">
        <v>0</v>
      </c>
      <c r="O224" t="n">
        <v>0</v>
      </c>
      <c r="P224" t="n">
        <v>0</v>
      </c>
      <c r="Q224" t="n">
        <v>0</v>
      </c>
      <c r="R224" t="n">
        <v>0</v>
      </c>
      <c r="S224" t="n">
        <v>0</v>
      </c>
      <c r="T224" t="n">
        <v>0</v>
      </c>
      <c r="U224" s="2" t="inlineStr"/>
    </row>
    <row r="225" ht="15" customHeight="1">
      <c r="A225" t="inlineStr">
        <is>
          <t>A 128-2024</t>
        </is>
      </c>
      <c r="B225" t="inlineStr">
        <is>
          <t>avverkningsanmälan</t>
        </is>
      </c>
      <c r="C225" t="inlineStr">
        <is>
          <t>Föryngringsavverkning</t>
        </is>
      </c>
      <c r="D225" s="1" t="n">
        <v>45294</v>
      </c>
      <c r="E225" s="1" t="n">
        <v>46218</v>
      </c>
      <c r="F225" t="inlineStr">
        <is>
          <t>DALARNAS LÄN</t>
        </is>
      </c>
      <c r="G225" t="inlineStr">
        <is>
          <t>BORLÄNGE</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30248-2023</t>
        </is>
      </c>
      <c r="B226" t="inlineStr">
        <is>
          <t>avverkningsanmälan</t>
        </is>
      </c>
      <c r="C226" t="inlineStr">
        <is>
          <t>Föryngringsavverkning</t>
        </is>
      </c>
      <c r="D226" s="1" t="n">
        <v>45110</v>
      </c>
      <c r="E226" s="1" t="n">
        <v>46218</v>
      </c>
      <c r="F226" t="inlineStr">
        <is>
          <t>DALARNAS LÄN</t>
        </is>
      </c>
      <c r="G226" t="inlineStr">
        <is>
          <t>BORLÄNGE</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30253-2023</t>
        </is>
      </c>
      <c r="B227" t="inlineStr">
        <is>
          <t>avverkningsanmälan</t>
        </is>
      </c>
      <c r="C227" t="inlineStr">
        <is>
          <t>Föryngringsavverkning</t>
        </is>
      </c>
      <c r="D227" s="1" t="n">
        <v>45110</v>
      </c>
      <c r="E227" s="1" t="n">
        <v>46218</v>
      </c>
      <c r="F227" t="inlineStr">
        <is>
          <t>DALARNAS LÄN</t>
        </is>
      </c>
      <c r="G227" t="inlineStr">
        <is>
          <t>BORLÄNGE</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35501-2023</t>
        </is>
      </c>
      <c r="B228" t="inlineStr">
        <is>
          <t>avverkningsanmälan</t>
        </is>
      </c>
      <c r="C228" t="inlineStr">
        <is>
          <t>Föryngringsavverkning</t>
        </is>
      </c>
      <c r="D228" s="1" t="n">
        <v>45146</v>
      </c>
      <c r="E228" s="1" t="n">
        <v>46218</v>
      </c>
      <c r="F228" t="inlineStr">
        <is>
          <t>DALARNAS LÄN</t>
        </is>
      </c>
      <c r="G228" t="inlineStr">
        <is>
          <t>BORLÄNGE</t>
        </is>
      </c>
      <c r="I228" t="n">
        <v>0.3</v>
      </c>
      <c r="J228" t="n">
        <v>0</v>
      </c>
      <c r="K228" t="n">
        <v>0</v>
      </c>
      <c r="L228" t="n">
        <v>0</v>
      </c>
      <c r="M228" t="n">
        <v>0</v>
      </c>
      <c r="N228" t="n">
        <v>0</v>
      </c>
      <c r="O228" t="n">
        <v>0</v>
      </c>
      <c r="P228" t="n">
        <v>0</v>
      </c>
      <c r="Q228" t="n">
        <v>0</v>
      </c>
      <c r="R228" t="n">
        <v>0</v>
      </c>
      <c r="S228" t="n">
        <v>0</v>
      </c>
      <c r="T228" t="n">
        <v>0</v>
      </c>
      <c r="U228" s="2" t="inlineStr"/>
    </row>
    <row r="229" ht="15" customHeight="1">
      <c r="A229" t="inlineStr">
        <is>
          <t>A 53092-2021</t>
        </is>
      </c>
      <c r="B229" t="inlineStr">
        <is>
          <t>avverkningsanmälan</t>
        </is>
      </c>
      <c r="C229" t="inlineStr">
        <is>
          <t>Avverkning för annat ändamål</t>
        </is>
      </c>
      <c r="D229" s="1" t="n">
        <v>44467</v>
      </c>
      <c r="E229" s="1" t="n">
        <v>46218</v>
      </c>
      <c r="F229" t="inlineStr">
        <is>
          <t>DALARNAS LÄN</t>
        </is>
      </c>
      <c r="G229" t="inlineStr">
        <is>
          <t>BORLÄNGE</t>
        </is>
      </c>
      <c r="I229" t="n">
        <v>0.4</v>
      </c>
      <c r="J229" t="n">
        <v>0</v>
      </c>
      <c r="K229" t="n">
        <v>0</v>
      </c>
      <c r="L229" t="n">
        <v>0</v>
      </c>
      <c r="M229" t="n">
        <v>0</v>
      </c>
      <c r="N229" t="n">
        <v>0</v>
      </c>
      <c r="O229" t="n">
        <v>0</v>
      </c>
      <c r="P229" t="n">
        <v>0</v>
      </c>
      <c r="Q229" t="n">
        <v>0</v>
      </c>
      <c r="R229" t="n">
        <v>0</v>
      </c>
      <c r="S229" t="n">
        <v>0</v>
      </c>
      <c r="T229" t="n">
        <v>0</v>
      </c>
      <c r="U229" s="2" t="inlineStr"/>
    </row>
    <row r="230" ht="15" customHeight="1">
      <c r="A230" t="inlineStr">
        <is>
          <t>A 55910-2022</t>
        </is>
      </c>
      <c r="B230" t="inlineStr">
        <is>
          <t>avverkningsanmälan</t>
        </is>
      </c>
      <c r="C230" t="inlineStr">
        <is>
          <t>Föryngringsavverkning</t>
        </is>
      </c>
      <c r="D230" s="1" t="n">
        <v>44889</v>
      </c>
      <c r="E230" s="1" t="n">
        <v>46218</v>
      </c>
      <c r="F230" t="inlineStr">
        <is>
          <t>DALARNAS LÄN</t>
        </is>
      </c>
      <c r="G230" t="inlineStr">
        <is>
          <t>BORLÄNGE</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15989-2024</t>
        </is>
      </c>
      <c r="B231" t="inlineStr">
        <is>
          <t>avverkningsanmälan</t>
        </is>
      </c>
      <c r="C231" t="inlineStr">
        <is>
          <t>Föryngringsavverkning</t>
        </is>
      </c>
      <c r="D231" s="1" t="n">
        <v>45405</v>
      </c>
      <c r="E231" s="1" t="n">
        <v>46218</v>
      </c>
      <c r="F231" t="inlineStr">
        <is>
          <t>DALARNAS LÄN</t>
        </is>
      </c>
      <c r="G231" t="inlineStr">
        <is>
          <t>BORLÄNGE</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1966-2024</t>
        </is>
      </c>
      <c r="B232" t="inlineStr">
        <is>
          <t>avverkningsanmälan</t>
        </is>
      </c>
      <c r="C232" t="inlineStr">
        <is>
          <t>Föryngringsavverkning</t>
        </is>
      </c>
      <c r="D232" s="1" t="n">
        <v>45308</v>
      </c>
      <c r="E232" s="1" t="n">
        <v>46218</v>
      </c>
      <c r="F232" t="inlineStr">
        <is>
          <t>DALARNAS LÄN</t>
        </is>
      </c>
      <c r="G232" t="inlineStr">
        <is>
          <t>BORLÄNGE</t>
        </is>
      </c>
      <c r="I232" t="n">
        <v>0.4</v>
      </c>
      <c r="J232" t="n">
        <v>0</v>
      </c>
      <c r="K232" t="n">
        <v>0</v>
      </c>
      <c r="L232" t="n">
        <v>0</v>
      </c>
      <c r="M232" t="n">
        <v>0</v>
      </c>
      <c r="N232" t="n">
        <v>0</v>
      </c>
      <c r="O232" t="n">
        <v>0</v>
      </c>
      <c r="P232" t="n">
        <v>0</v>
      </c>
      <c r="Q232" t="n">
        <v>0</v>
      </c>
      <c r="R232" t="n">
        <v>0</v>
      </c>
      <c r="S232" t="n">
        <v>0</v>
      </c>
      <c r="T232" t="n">
        <v>0</v>
      </c>
      <c r="U232" s="2" t="inlineStr"/>
    </row>
    <row r="233" ht="15" customHeight="1">
      <c r="A233" t="inlineStr">
        <is>
          <t>A 8554-2023</t>
        </is>
      </c>
      <c r="B233" t="inlineStr">
        <is>
          <t>avverkningsanmälan</t>
        </is>
      </c>
      <c r="C233" t="inlineStr">
        <is>
          <t>Föryngringsavverkning</t>
        </is>
      </c>
      <c r="D233" s="1" t="n">
        <v>44977</v>
      </c>
      <c r="E233" s="1" t="n">
        <v>46218</v>
      </c>
      <c r="F233" t="inlineStr">
        <is>
          <t>DALARNAS LÄN</t>
        </is>
      </c>
      <c r="G233" t="inlineStr">
        <is>
          <t>BORLÄNGE</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36422-2024</t>
        </is>
      </c>
      <c r="B234" t="inlineStr">
        <is>
          <t>avverkningsanmälan</t>
        </is>
      </c>
      <c r="C234" t="inlineStr">
        <is>
          <t>Föryngringsavverkning</t>
        </is>
      </c>
      <c r="D234" s="1" t="n">
        <v>45536</v>
      </c>
      <c r="E234" s="1" t="n">
        <v>46218</v>
      </c>
      <c r="F234" t="inlineStr">
        <is>
          <t>DALARNAS LÄN</t>
        </is>
      </c>
      <c r="G234" t="inlineStr">
        <is>
          <t>BORLÄNGE</t>
        </is>
      </c>
      <c r="I234" t="n">
        <v>12.8</v>
      </c>
      <c r="J234" t="n">
        <v>0</v>
      </c>
      <c r="K234" t="n">
        <v>0</v>
      </c>
      <c r="L234" t="n">
        <v>0</v>
      </c>
      <c r="M234" t="n">
        <v>0</v>
      </c>
      <c r="N234" t="n">
        <v>0</v>
      </c>
      <c r="O234" t="n">
        <v>0</v>
      </c>
      <c r="P234" t="n">
        <v>0</v>
      </c>
      <c r="Q234" t="n">
        <v>0</v>
      </c>
      <c r="R234" t="n">
        <v>0</v>
      </c>
      <c r="S234" t="n">
        <v>0</v>
      </c>
      <c r="T234" t="n">
        <v>0</v>
      </c>
      <c r="U234" s="2" t="inlineStr"/>
    </row>
    <row r="235" ht="15" customHeight="1">
      <c r="A235" t="inlineStr">
        <is>
          <t>A 36423-2024</t>
        </is>
      </c>
      <c r="B235" t="inlineStr">
        <is>
          <t>avverkningsanmälan</t>
        </is>
      </c>
      <c r="C235" t="inlineStr">
        <is>
          <t>Föryngringsavverkning</t>
        </is>
      </c>
      <c r="D235" s="1" t="n">
        <v>45536</v>
      </c>
      <c r="E235" s="1" t="n">
        <v>46218</v>
      </c>
      <c r="F235" t="inlineStr">
        <is>
          <t>DALARNAS LÄN</t>
        </is>
      </c>
      <c r="G235" t="inlineStr">
        <is>
          <t>BORLÄNGE</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38754-2023</t>
        </is>
      </c>
      <c r="B236" t="inlineStr">
        <is>
          <t>avverkningsanmälan</t>
        </is>
      </c>
      <c r="C236" t="inlineStr">
        <is>
          <t>Avverkning för annat ändamål</t>
        </is>
      </c>
      <c r="D236" s="1" t="n">
        <v>45163</v>
      </c>
      <c r="E236" s="1" t="n">
        <v>46218</v>
      </c>
      <c r="F236" t="inlineStr">
        <is>
          <t>DALARNAS LÄN</t>
        </is>
      </c>
      <c r="G236" t="inlineStr">
        <is>
          <t>BORLÄNGE</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68735-2021</t>
        </is>
      </c>
      <c r="B237" t="inlineStr">
        <is>
          <t>avverkningsanmälan</t>
        </is>
      </c>
      <c r="C237" t="inlineStr">
        <is>
          <t>Föryngringsavverkning</t>
        </is>
      </c>
      <c r="D237" s="1" t="n">
        <v>44529</v>
      </c>
      <c r="E237" s="1" t="n">
        <v>46218</v>
      </c>
      <c r="F237" t="inlineStr">
        <is>
          <t>DALARNAS LÄN</t>
        </is>
      </c>
      <c r="G237" t="inlineStr">
        <is>
          <t>BORLÄNGE</t>
        </is>
      </c>
      <c r="I237" t="n">
        <v>3</v>
      </c>
      <c r="J237" t="n">
        <v>0</v>
      </c>
      <c r="K237" t="n">
        <v>0</v>
      </c>
      <c r="L237" t="n">
        <v>0</v>
      </c>
      <c r="M237" t="n">
        <v>0</v>
      </c>
      <c r="N237" t="n">
        <v>0</v>
      </c>
      <c r="O237" t="n">
        <v>0</v>
      </c>
      <c r="P237" t="n">
        <v>0</v>
      </c>
      <c r="Q237" t="n">
        <v>0</v>
      </c>
      <c r="R237" t="n">
        <v>0</v>
      </c>
      <c r="S237" t="n">
        <v>0</v>
      </c>
      <c r="T237" t="n">
        <v>0</v>
      </c>
      <c r="U237" s="2" t="inlineStr"/>
    </row>
    <row r="238" ht="15" customHeight="1">
      <c r="A238" t="inlineStr">
        <is>
          <t>A 49462-2025</t>
        </is>
      </c>
      <c r="B238" t="inlineStr">
        <is>
          <t>avverkningsanmälan</t>
        </is>
      </c>
      <c r="C238" t="inlineStr">
        <is>
          <t>Föryngringsavverkning</t>
        </is>
      </c>
      <c r="D238" s="1" t="n">
        <v>45939</v>
      </c>
      <c r="E238" s="1" t="n">
        <v>46218</v>
      </c>
      <c r="F238" t="inlineStr">
        <is>
          <t>DALARNAS LÄN</t>
        </is>
      </c>
      <c r="G238" t="inlineStr">
        <is>
          <t>BORLÄNGE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60625-2023</t>
        </is>
      </c>
      <c r="B239" t="inlineStr">
        <is>
          <t>avverkningsanmälan</t>
        </is>
      </c>
      <c r="C239" t="inlineStr">
        <is>
          <t>Föryngringsavverkning</t>
        </is>
      </c>
      <c r="D239" s="1" t="n">
        <v>45260</v>
      </c>
      <c r="E239" s="1" t="n">
        <v>46218</v>
      </c>
      <c r="F239" t="inlineStr">
        <is>
          <t>DALARNAS LÄN</t>
        </is>
      </c>
      <c r="G239" t="inlineStr">
        <is>
          <t>BORLÄNGE</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8473-2022</t>
        </is>
      </c>
      <c r="B240" t="inlineStr">
        <is>
          <t>avverkningsanmälan</t>
        </is>
      </c>
      <c r="C240" t="inlineStr">
        <is>
          <t>Föryngringsavverkning</t>
        </is>
      </c>
      <c r="D240" s="1" t="n">
        <v>44613</v>
      </c>
      <c r="E240" s="1" t="n">
        <v>46218</v>
      </c>
      <c r="F240" t="inlineStr">
        <is>
          <t>DALARNAS LÄN</t>
        </is>
      </c>
      <c r="G240" t="inlineStr">
        <is>
          <t>BORLÄNGE</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40654-2022</t>
        </is>
      </c>
      <c r="B241" t="inlineStr">
        <is>
          <t>avverkningsanmälan</t>
        </is>
      </c>
      <c r="C241" t="inlineStr">
        <is>
          <t>Föryngringsavverkning</t>
        </is>
      </c>
      <c r="D241" s="1" t="n">
        <v>44824</v>
      </c>
      <c r="E241" s="1" t="n">
        <v>46218</v>
      </c>
      <c r="F241" t="inlineStr">
        <is>
          <t>DALARNAS LÄN</t>
        </is>
      </c>
      <c r="G241" t="inlineStr">
        <is>
          <t>BORLÄNGE</t>
        </is>
      </c>
      <c r="I241" t="n">
        <v>5.3</v>
      </c>
      <c r="J241" t="n">
        <v>0</v>
      </c>
      <c r="K241" t="n">
        <v>0</v>
      </c>
      <c r="L241" t="n">
        <v>0</v>
      </c>
      <c r="M241" t="n">
        <v>0</v>
      </c>
      <c r="N241" t="n">
        <v>0</v>
      </c>
      <c r="O241" t="n">
        <v>0</v>
      </c>
      <c r="P241" t="n">
        <v>0</v>
      </c>
      <c r="Q241" t="n">
        <v>0</v>
      </c>
      <c r="R241" t="n">
        <v>0</v>
      </c>
      <c r="S241" t="n">
        <v>0</v>
      </c>
      <c r="T241" t="n">
        <v>0</v>
      </c>
      <c r="U241" s="2" t="inlineStr"/>
    </row>
    <row r="242" ht="15" customHeight="1">
      <c r="A242" t="inlineStr">
        <is>
          <t>A 43515-2024</t>
        </is>
      </c>
      <c r="B242" t="inlineStr">
        <is>
          <t>avverkningsanmälan</t>
        </is>
      </c>
      <c r="C242" t="inlineStr">
        <is>
          <t>Föryngringsavverkning</t>
        </is>
      </c>
      <c r="D242" s="1" t="n">
        <v>45569</v>
      </c>
      <c r="E242" s="1" t="n">
        <v>46218</v>
      </c>
      <c r="F242" t="inlineStr">
        <is>
          <t>DALARNAS LÄN</t>
        </is>
      </c>
      <c r="G242" t="inlineStr">
        <is>
          <t>BORLÄNGE</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43516-2023</t>
        </is>
      </c>
      <c r="B243" t="inlineStr">
        <is>
          <t>avverkningsanmälan</t>
        </is>
      </c>
      <c r="C243" t="inlineStr">
        <is>
          <t>Föryngringsavverkning</t>
        </is>
      </c>
      <c r="D243" s="1" t="n">
        <v>45184</v>
      </c>
      <c r="E243" s="1" t="n">
        <v>46218</v>
      </c>
      <c r="F243" t="inlineStr">
        <is>
          <t>DALARNAS LÄN</t>
        </is>
      </c>
      <c r="G243" t="inlineStr">
        <is>
          <t>BORLÄNGE</t>
        </is>
      </c>
      <c r="I243" t="n">
        <v>1.8</v>
      </c>
      <c r="J243" t="n">
        <v>0</v>
      </c>
      <c r="K243" t="n">
        <v>0</v>
      </c>
      <c r="L243" t="n">
        <v>0</v>
      </c>
      <c r="M243" t="n">
        <v>0</v>
      </c>
      <c r="N243" t="n">
        <v>0</v>
      </c>
      <c r="O243" t="n">
        <v>0</v>
      </c>
      <c r="P243" t="n">
        <v>0</v>
      </c>
      <c r="Q243" t="n">
        <v>0</v>
      </c>
      <c r="R243" t="n">
        <v>0</v>
      </c>
      <c r="S243" t="n">
        <v>0</v>
      </c>
      <c r="T243" t="n">
        <v>0</v>
      </c>
      <c r="U243" s="2" t="inlineStr"/>
    </row>
    <row r="244" ht="15" customHeight="1">
      <c r="A244" t="inlineStr">
        <is>
          <t>A 51716-2024</t>
        </is>
      </c>
      <c r="B244" t="inlineStr">
        <is>
          <t>avverkningsanmälan</t>
        </is>
      </c>
      <c r="C244" t="inlineStr">
        <is>
          <t>Föryngringsavverkning</t>
        </is>
      </c>
      <c r="D244" s="1" t="n">
        <v>45607</v>
      </c>
      <c r="E244" s="1" t="n">
        <v>46218</v>
      </c>
      <c r="F244" t="inlineStr">
        <is>
          <t>DALARNAS LÄN</t>
        </is>
      </c>
      <c r="G244" t="inlineStr">
        <is>
          <t>BORLÄNGE</t>
        </is>
      </c>
      <c r="I244" t="n">
        <v>3.4</v>
      </c>
      <c r="J244" t="n">
        <v>0</v>
      </c>
      <c r="K244" t="n">
        <v>0</v>
      </c>
      <c r="L244" t="n">
        <v>0</v>
      </c>
      <c r="M244" t="n">
        <v>0</v>
      </c>
      <c r="N244" t="n">
        <v>0</v>
      </c>
      <c r="O244" t="n">
        <v>0</v>
      </c>
      <c r="P244" t="n">
        <v>0</v>
      </c>
      <c r="Q244" t="n">
        <v>0</v>
      </c>
      <c r="R244" t="n">
        <v>0</v>
      </c>
      <c r="S244" t="n">
        <v>0</v>
      </c>
      <c r="T244" t="n">
        <v>0</v>
      </c>
      <c r="U244" s="2" t="inlineStr"/>
    </row>
    <row r="245" ht="15" customHeight="1">
      <c r="A245" t="inlineStr">
        <is>
          <t>A 38863-2023</t>
        </is>
      </c>
      <c r="B245" t="inlineStr">
        <is>
          <t>avverkningsanmälan</t>
        </is>
      </c>
      <c r="C245" t="inlineStr">
        <is>
          <t>Avverkning för annat ändamål</t>
        </is>
      </c>
      <c r="D245" s="1" t="n">
        <v>45163</v>
      </c>
      <c r="E245" s="1" t="n">
        <v>46218</v>
      </c>
      <c r="F245" t="inlineStr">
        <is>
          <t>DALARNAS LÄN</t>
        </is>
      </c>
      <c r="G245" t="inlineStr">
        <is>
          <t>BORLÄNGE</t>
        </is>
      </c>
      <c r="I245" t="n">
        <v>0.3</v>
      </c>
      <c r="J245" t="n">
        <v>0</v>
      </c>
      <c r="K245" t="n">
        <v>0</v>
      </c>
      <c r="L245" t="n">
        <v>0</v>
      </c>
      <c r="M245" t="n">
        <v>0</v>
      </c>
      <c r="N245" t="n">
        <v>0</v>
      </c>
      <c r="O245" t="n">
        <v>0</v>
      </c>
      <c r="P245" t="n">
        <v>0</v>
      </c>
      <c r="Q245" t="n">
        <v>0</v>
      </c>
      <c r="R245" t="n">
        <v>0</v>
      </c>
      <c r="S245" t="n">
        <v>0</v>
      </c>
      <c r="T245" t="n">
        <v>0</v>
      </c>
      <c r="U245" s="2" t="inlineStr"/>
    </row>
    <row r="246" ht="15" customHeight="1">
      <c r="A246" t="inlineStr">
        <is>
          <t>A 38868-2023</t>
        </is>
      </c>
      <c r="B246" t="inlineStr">
        <is>
          <t>avverkningsanmälan</t>
        </is>
      </c>
      <c r="C246" t="inlineStr">
        <is>
          <t>Avverkning för annat ändamål</t>
        </is>
      </c>
      <c r="D246" s="1" t="n">
        <v>45163</v>
      </c>
      <c r="E246" s="1" t="n">
        <v>46218</v>
      </c>
      <c r="F246" t="inlineStr">
        <is>
          <t>DALARNAS LÄN</t>
        </is>
      </c>
      <c r="G246" t="inlineStr">
        <is>
          <t>BORLÄNGE</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31530-2023</t>
        </is>
      </c>
      <c r="B247" t="inlineStr">
        <is>
          <t>avverkningsanmälan</t>
        </is>
      </c>
      <c r="C247" t="inlineStr">
        <is>
          <t>Föryngringsavverkning</t>
        </is>
      </c>
      <c r="D247" s="1" t="n">
        <v>45116</v>
      </c>
      <c r="E247" s="1" t="n">
        <v>46218</v>
      </c>
      <c r="F247" t="inlineStr">
        <is>
          <t>DALARNAS LÄN</t>
        </is>
      </c>
      <c r="G247" t="inlineStr">
        <is>
          <t>BORLÄNGE</t>
        </is>
      </c>
      <c r="I247" t="n">
        <v>10</v>
      </c>
      <c r="J247" t="n">
        <v>0</v>
      </c>
      <c r="K247" t="n">
        <v>0</v>
      </c>
      <c r="L247" t="n">
        <v>0</v>
      </c>
      <c r="M247" t="n">
        <v>0</v>
      </c>
      <c r="N247" t="n">
        <v>0</v>
      </c>
      <c r="O247" t="n">
        <v>0</v>
      </c>
      <c r="P247" t="n">
        <v>0</v>
      </c>
      <c r="Q247" t="n">
        <v>0</v>
      </c>
      <c r="R247" t="n">
        <v>0</v>
      </c>
      <c r="S247" t="n">
        <v>0</v>
      </c>
      <c r="T247" t="n">
        <v>0</v>
      </c>
      <c r="U247" s="2" t="inlineStr"/>
    </row>
    <row r="248" ht="15" customHeight="1">
      <c r="A248" t="inlineStr">
        <is>
          <t>A 45959-2024</t>
        </is>
      </c>
      <c r="B248" t="inlineStr">
        <is>
          <t>avverkningsanmälan</t>
        </is>
      </c>
      <c r="C248" t="inlineStr">
        <is>
          <t>Föryngringsavverkning</t>
        </is>
      </c>
      <c r="D248" s="1" t="n">
        <v>45580</v>
      </c>
      <c r="E248" s="1" t="n">
        <v>46218</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34334-2023</t>
        </is>
      </c>
      <c r="B249" t="inlineStr">
        <is>
          <t>avverkningsanmälan</t>
        </is>
      </c>
      <c r="C249" t="inlineStr">
        <is>
          <t>Föryngringsavverkning</t>
        </is>
      </c>
      <c r="D249" s="1" t="n">
        <v>45139</v>
      </c>
      <c r="E249" s="1" t="n">
        <v>46218</v>
      </c>
      <c r="F249" t="inlineStr">
        <is>
          <t>DALARNAS LÄN</t>
        </is>
      </c>
      <c r="G249" t="inlineStr">
        <is>
          <t>BORLÄNGE</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20581-2024</t>
        </is>
      </c>
      <c r="B250" t="inlineStr">
        <is>
          <t>avverkningsanmälan</t>
        </is>
      </c>
      <c r="C250" t="inlineStr">
        <is>
          <t>Föryngringsavverkning</t>
        </is>
      </c>
      <c r="D250" s="1" t="n">
        <v>45436</v>
      </c>
      <c r="E250" s="1" t="n">
        <v>46218</v>
      </c>
      <c r="F250" t="inlineStr">
        <is>
          <t>DALARNAS LÄN</t>
        </is>
      </c>
      <c r="G250" t="inlineStr">
        <is>
          <t>BORLÄNGE</t>
        </is>
      </c>
      <c r="H250" t="inlineStr">
        <is>
          <t>Bergvik skog väst AB</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51474-2025</t>
        </is>
      </c>
      <c r="B251" t="inlineStr">
        <is>
          <t>avverkningsanmälan</t>
        </is>
      </c>
      <c r="C251" t="inlineStr">
        <is>
          <t>Föryngringsavverkning</t>
        </is>
      </c>
      <c r="D251" s="1" t="n">
        <v>45950</v>
      </c>
      <c r="E251" s="1" t="n">
        <v>46218</v>
      </c>
      <c r="F251" t="inlineStr">
        <is>
          <t>DALARNAS LÄN</t>
        </is>
      </c>
      <c r="G251" t="inlineStr">
        <is>
          <t>BORLÄNGE</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5384-2025</t>
        </is>
      </c>
      <c r="B252" t="inlineStr">
        <is>
          <t>avverkningsanmälan</t>
        </is>
      </c>
      <c r="C252" t="inlineStr">
        <is>
          <t>Föryngringsavverkning</t>
        </is>
      </c>
      <c r="D252" s="1" t="n">
        <v>45692</v>
      </c>
      <c r="E252" s="1" t="n">
        <v>46218</v>
      </c>
      <c r="F252" t="inlineStr">
        <is>
          <t>DALARNAS LÄN</t>
        </is>
      </c>
      <c r="G252" t="inlineStr">
        <is>
          <t>BORLÄNGE</t>
        </is>
      </c>
      <c r="I252" t="n">
        <v>4.2</v>
      </c>
      <c r="J252" t="n">
        <v>0</v>
      </c>
      <c r="K252" t="n">
        <v>0</v>
      </c>
      <c r="L252" t="n">
        <v>0</v>
      </c>
      <c r="M252" t="n">
        <v>0</v>
      </c>
      <c r="N252" t="n">
        <v>0</v>
      </c>
      <c r="O252" t="n">
        <v>0</v>
      </c>
      <c r="P252" t="n">
        <v>0</v>
      </c>
      <c r="Q252" t="n">
        <v>0</v>
      </c>
      <c r="R252" t="n">
        <v>0</v>
      </c>
      <c r="S252" t="n">
        <v>0</v>
      </c>
      <c r="T252" t="n">
        <v>0</v>
      </c>
      <c r="U252" s="2" t="inlineStr"/>
    </row>
    <row r="253" ht="15" customHeight="1">
      <c r="A253" t="inlineStr">
        <is>
          <t>A 48606-2023</t>
        </is>
      </c>
      <c r="B253" t="inlineStr">
        <is>
          <t>avverkningsanmälan</t>
        </is>
      </c>
      <c r="C253" t="inlineStr">
        <is>
          <t>Föryngringsavverkning</t>
        </is>
      </c>
      <c r="D253" s="1" t="n">
        <v>45208</v>
      </c>
      <c r="E253" s="1" t="n">
        <v>46218</v>
      </c>
      <c r="F253" t="inlineStr">
        <is>
          <t>DALARNAS LÄN</t>
        </is>
      </c>
      <c r="G253" t="inlineStr">
        <is>
          <t>BORLÄNGE</t>
        </is>
      </c>
      <c r="I253" t="n">
        <v>3.4</v>
      </c>
      <c r="J253" t="n">
        <v>0</v>
      </c>
      <c r="K253" t="n">
        <v>0</v>
      </c>
      <c r="L253" t="n">
        <v>0</v>
      </c>
      <c r="M253" t="n">
        <v>0</v>
      </c>
      <c r="N253" t="n">
        <v>0</v>
      </c>
      <c r="O253" t="n">
        <v>0</v>
      </c>
      <c r="P253" t="n">
        <v>0</v>
      </c>
      <c r="Q253" t="n">
        <v>0</v>
      </c>
      <c r="R253" t="n">
        <v>0</v>
      </c>
      <c r="S253" t="n">
        <v>0</v>
      </c>
      <c r="T253" t="n">
        <v>0</v>
      </c>
      <c r="U253" s="2" t="inlineStr"/>
    </row>
    <row r="254" ht="15" customHeight="1">
      <c r="A254" t="inlineStr">
        <is>
          <t>A 28572-2025</t>
        </is>
      </c>
      <c r="B254" t="inlineStr">
        <is>
          <t>avverkningsanmälan</t>
        </is>
      </c>
      <c r="C254" t="inlineStr">
        <is>
          <t>Föryngringsavverkning</t>
        </is>
      </c>
      <c r="D254" s="1" t="n">
        <v>45819</v>
      </c>
      <c r="E254" s="1" t="n">
        <v>46218</v>
      </c>
      <c r="F254" t="inlineStr">
        <is>
          <t>DALARNAS LÄN</t>
        </is>
      </c>
      <c r="G254" t="inlineStr">
        <is>
          <t>BORLÄNGE</t>
        </is>
      </c>
      <c r="H254" t="inlineStr">
        <is>
          <t>Kommuner</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52086-2025</t>
        </is>
      </c>
      <c r="B255" t="inlineStr">
        <is>
          <t>avverkningsanmälan</t>
        </is>
      </c>
      <c r="C255" t="inlineStr">
        <is>
          <t>Föryngringsavverkning</t>
        </is>
      </c>
      <c r="D255" s="1" t="n">
        <v>45952</v>
      </c>
      <c r="E255" s="1" t="n">
        <v>46218</v>
      </c>
      <c r="F255" t="inlineStr">
        <is>
          <t>DALARNAS LÄN</t>
        </is>
      </c>
      <c r="G255" t="inlineStr">
        <is>
          <t>BORLÄNGE</t>
        </is>
      </c>
      <c r="H255" t="inlineStr">
        <is>
          <t>Bergvik skog väst AB</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55735-2023</t>
        </is>
      </c>
      <c r="B256" t="inlineStr">
        <is>
          <t>avverkningsanmälan</t>
        </is>
      </c>
      <c r="C256" t="inlineStr">
        <is>
          <t>Föryngringsavverkning</t>
        </is>
      </c>
      <c r="D256" s="1" t="n">
        <v>45239</v>
      </c>
      <c r="E256" s="1" t="n">
        <v>46218</v>
      </c>
      <c r="F256" t="inlineStr">
        <is>
          <t>DALARNAS LÄN</t>
        </is>
      </c>
      <c r="G256" t="inlineStr">
        <is>
          <t>BORLÄNGE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11136-2023</t>
        </is>
      </c>
      <c r="B257" t="inlineStr">
        <is>
          <t>avverkningsanmälan</t>
        </is>
      </c>
      <c r="C257" t="inlineStr">
        <is>
          <t>Föryngringsavverkning</t>
        </is>
      </c>
      <c r="D257" s="1" t="n">
        <v>44992</v>
      </c>
      <c r="E257" s="1" t="n">
        <v>46218</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11138-2023</t>
        </is>
      </c>
      <c r="B258" t="inlineStr">
        <is>
          <t>avverkningsanmälan</t>
        </is>
      </c>
      <c r="C258" t="inlineStr">
        <is>
          <t>Föryngringsavverkning</t>
        </is>
      </c>
      <c r="D258" s="1" t="n">
        <v>44992</v>
      </c>
      <c r="E258" s="1" t="n">
        <v>46218</v>
      </c>
      <c r="F258" t="inlineStr">
        <is>
          <t>DALARNAS LÄN</t>
        </is>
      </c>
      <c r="G258" t="inlineStr">
        <is>
          <t>BORLÄNGE</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64688-2023</t>
        </is>
      </c>
      <c r="B259" t="inlineStr">
        <is>
          <t>avverkningsanmälan</t>
        </is>
      </c>
      <c r="C259" t="inlineStr">
        <is>
          <t>Föryngringsavverkning</t>
        </is>
      </c>
      <c r="D259" s="1" t="n">
        <v>45281</v>
      </c>
      <c r="E259" s="1" t="n">
        <v>46218</v>
      </c>
      <c r="F259" t="inlineStr">
        <is>
          <t>DALARNAS LÄN</t>
        </is>
      </c>
      <c r="G259" t="inlineStr">
        <is>
          <t>BORLÄNGE</t>
        </is>
      </c>
      <c r="H259" t="inlineStr">
        <is>
          <t>Kyrkan</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27717-2024</t>
        </is>
      </c>
      <c r="B260" t="inlineStr">
        <is>
          <t>avverkningsanmälan</t>
        </is>
      </c>
      <c r="C260" t="inlineStr">
        <is>
          <t>Avverkning för annat ändamål</t>
        </is>
      </c>
      <c r="D260" s="1" t="n">
        <v>45475</v>
      </c>
      <c r="E260" s="1" t="n">
        <v>46218</v>
      </c>
      <c r="F260" t="inlineStr">
        <is>
          <t>DALARNAS LÄN</t>
        </is>
      </c>
      <c r="G260" t="inlineStr">
        <is>
          <t>BORLÄNGE</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32940-2024</t>
        </is>
      </c>
      <c r="B261" t="inlineStr">
        <is>
          <t>avverkningsanmälan</t>
        </is>
      </c>
      <c r="C261" t="inlineStr">
        <is>
          <t>Föryngringsavverkning</t>
        </is>
      </c>
      <c r="D261" s="1" t="n">
        <v>45517</v>
      </c>
      <c r="E261" s="1" t="n">
        <v>46218</v>
      </c>
      <c r="F261" t="inlineStr">
        <is>
          <t>DALARNAS LÄN</t>
        </is>
      </c>
      <c r="G261" t="inlineStr">
        <is>
          <t>BORLÄNGE</t>
        </is>
      </c>
      <c r="H261" t="inlineStr">
        <is>
          <t>Bergvik skog väst AB</t>
        </is>
      </c>
      <c r="I261" t="n">
        <v>2.5</v>
      </c>
      <c r="J261" t="n">
        <v>0</v>
      </c>
      <c r="K261" t="n">
        <v>0</v>
      </c>
      <c r="L261" t="n">
        <v>0</v>
      </c>
      <c r="M261" t="n">
        <v>0</v>
      </c>
      <c r="N261" t="n">
        <v>0</v>
      </c>
      <c r="O261" t="n">
        <v>0</v>
      </c>
      <c r="P261" t="n">
        <v>0</v>
      </c>
      <c r="Q261" t="n">
        <v>0</v>
      </c>
      <c r="R261" t="n">
        <v>0</v>
      </c>
      <c r="S261" t="n">
        <v>0</v>
      </c>
      <c r="T261" t="n">
        <v>0</v>
      </c>
      <c r="U261" s="2" t="inlineStr"/>
    </row>
    <row r="262" ht="15" customHeight="1">
      <c r="A262" t="inlineStr">
        <is>
          <t>A 5529-2025</t>
        </is>
      </c>
      <c r="B262" t="inlineStr">
        <is>
          <t>avverkningsanmälan</t>
        </is>
      </c>
      <c r="C262" t="inlineStr">
        <is>
          <t>Föryngringsavverkning</t>
        </is>
      </c>
      <c r="D262" s="1" t="n">
        <v>45693</v>
      </c>
      <c r="E262" s="1" t="n">
        <v>46218</v>
      </c>
      <c r="F262" t="inlineStr">
        <is>
          <t>DALARNAS LÄN</t>
        </is>
      </c>
      <c r="G262" t="inlineStr">
        <is>
          <t>BORLÄNGE</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51675-2024</t>
        </is>
      </c>
      <c r="B263" t="inlineStr">
        <is>
          <t>avverkningsanmälan</t>
        </is>
      </c>
      <c r="C263" t="inlineStr">
        <is>
          <t>Föryngringsavverkning</t>
        </is>
      </c>
      <c r="D263" s="1" t="n">
        <v>45607</v>
      </c>
      <c r="E263" s="1" t="n">
        <v>46218</v>
      </c>
      <c r="F263" t="inlineStr">
        <is>
          <t>DALARNAS LÄN</t>
        </is>
      </c>
      <c r="G263" t="inlineStr">
        <is>
          <t>BORLÄNGE</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36863-2021</t>
        </is>
      </c>
      <c r="B264" t="inlineStr">
        <is>
          <t>avverkningsanmälan</t>
        </is>
      </c>
      <c r="C264" t="inlineStr">
        <is>
          <t>Föryngringsavverkning</t>
        </is>
      </c>
      <c r="D264" s="1" t="n">
        <v>44393</v>
      </c>
      <c r="E264" s="1" t="n">
        <v>46218</v>
      </c>
      <c r="F264" t="inlineStr">
        <is>
          <t>DALARNAS LÄN</t>
        </is>
      </c>
      <c r="G264" t="inlineStr">
        <is>
          <t>BORLÄNGE</t>
        </is>
      </c>
      <c r="I264" t="n">
        <v>5.5</v>
      </c>
      <c r="J264" t="n">
        <v>0</v>
      </c>
      <c r="K264" t="n">
        <v>0</v>
      </c>
      <c r="L264" t="n">
        <v>0</v>
      </c>
      <c r="M264" t="n">
        <v>0</v>
      </c>
      <c r="N264" t="n">
        <v>0</v>
      </c>
      <c r="O264" t="n">
        <v>0</v>
      </c>
      <c r="P264" t="n">
        <v>0</v>
      </c>
      <c r="Q264" t="n">
        <v>0</v>
      </c>
      <c r="R264" t="n">
        <v>0</v>
      </c>
      <c r="S264" t="n">
        <v>0</v>
      </c>
      <c r="T264" t="n">
        <v>0</v>
      </c>
      <c r="U264" s="2" t="inlineStr"/>
    </row>
    <row r="265" ht="15" customHeight="1">
      <c r="A265" t="inlineStr">
        <is>
          <t>A 52563-2025</t>
        </is>
      </c>
      <c r="B265" t="inlineStr">
        <is>
          <t>avverkningsanmälan</t>
        </is>
      </c>
      <c r="C265" t="inlineStr">
        <is>
          <t>Föryngringsavverkning</t>
        </is>
      </c>
      <c r="D265" s="1" t="n">
        <v>45954</v>
      </c>
      <c r="E265" s="1" t="n">
        <v>46218</v>
      </c>
      <c r="F265" t="inlineStr">
        <is>
          <t>DALARNAS LÄN</t>
        </is>
      </c>
      <c r="G265" t="inlineStr">
        <is>
          <t>BORLÄNGE</t>
        </is>
      </c>
      <c r="I265" t="n">
        <v>4.2</v>
      </c>
      <c r="J265" t="n">
        <v>0</v>
      </c>
      <c r="K265" t="n">
        <v>0</v>
      </c>
      <c r="L265" t="n">
        <v>0</v>
      </c>
      <c r="M265" t="n">
        <v>0</v>
      </c>
      <c r="N265" t="n">
        <v>0</v>
      </c>
      <c r="O265" t="n">
        <v>0</v>
      </c>
      <c r="P265" t="n">
        <v>0</v>
      </c>
      <c r="Q265" t="n">
        <v>0</v>
      </c>
      <c r="R265" t="n">
        <v>0</v>
      </c>
      <c r="S265" t="n">
        <v>0</v>
      </c>
      <c r="T265" t="n">
        <v>0</v>
      </c>
      <c r="U265" s="2" t="inlineStr"/>
    </row>
    <row r="266" ht="15" customHeight="1">
      <c r="A266" t="inlineStr">
        <is>
          <t>A 17569-2023</t>
        </is>
      </c>
      <c r="B266" t="inlineStr">
        <is>
          <t>avverkningsanmälan</t>
        </is>
      </c>
      <c r="C266" t="inlineStr">
        <is>
          <t>Avverkning för annat ändamål</t>
        </is>
      </c>
      <c r="D266" s="1" t="n">
        <v>45036</v>
      </c>
      <c r="E266" s="1" t="n">
        <v>46218</v>
      </c>
      <c r="F266" t="inlineStr">
        <is>
          <t>DALARNAS LÄN</t>
        </is>
      </c>
      <c r="G266" t="inlineStr">
        <is>
          <t>BORLÄNGE</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45488-2023</t>
        </is>
      </c>
      <c r="B267" t="inlineStr">
        <is>
          <t>avverkningsanmälan</t>
        </is>
      </c>
      <c r="C267" t="inlineStr">
        <is>
          <t>Föryngringsavverkning</t>
        </is>
      </c>
      <c r="D267" s="1" t="n">
        <v>45194</v>
      </c>
      <c r="E267" s="1" t="n">
        <v>46218</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8540-2025</t>
        </is>
      </c>
      <c r="B268" t="inlineStr">
        <is>
          <t>avverkningsanmälan</t>
        </is>
      </c>
      <c r="C268" t="inlineStr">
        <is>
          <t>Föryngringsavverkning</t>
        </is>
      </c>
      <c r="D268" s="1" t="n">
        <v>45709</v>
      </c>
      <c r="E268" s="1" t="n">
        <v>46218</v>
      </c>
      <c r="F268" t="inlineStr">
        <is>
          <t>DALARNAS LÄN</t>
        </is>
      </c>
      <c r="G268" t="inlineStr">
        <is>
          <t>BORLÄNGE</t>
        </is>
      </c>
      <c r="H268" t="inlineStr">
        <is>
          <t>Bergvik skog väst AB</t>
        </is>
      </c>
      <c r="I268" t="n">
        <v>3.6</v>
      </c>
      <c r="J268" t="n">
        <v>0</v>
      </c>
      <c r="K268" t="n">
        <v>0</v>
      </c>
      <c r="L268" t="n">
        <v>0</v>
      </c>
      <c r="M268" t="n">
        <v>0</v>
      </c>
      <c r="N268" t="n">
        <v>0</v>
      </c>
      <c r="O268" t="n">
        <v>0</v>
      </c>
      <c r="P268" t="n">
        <v>0</v>
      </c>
      <c r="Q268" t="n">
        <v>0</v>
      </c>
      <c r="R268" t="n">
        <v>0</v>
      </c>
      <c r="S268" t="n">
        <v>0</v>
      </c>
      <c r="T268" t="n">
        <v>0</v>
      </c>
      <c r="U268" s="2" t="inlineStr"/>
    </row>
    <row r="269" ht="15" customHeight="1">
      <c r="A269" t="inlineStr">
        <is>
          <t>A 62080-2024</t>
        </is>
      </c>
      <c r="B269" t="inlineStr">
        <is>
          <t>avverkningsanmälan</t>
        </is>
      </c>
      <c r="C269" t="inlineStr">
        <is>
          <t>Föryngringsavverkning</t>
        </is>
      </c>
      <c r="D269" s="1" t="n">
        <v>45656</v>
      </c>
      <c r="E269" s="1" t="n">
        <v>46218</v>
      </c>
      <c r="F269" t="inlineStr">
        <is>
          <t>DALARNAS LÄN</t>
        </is>
      </c>
      <c r="G269" t="inlineStr">
        <is>
          <t>BORLÄNGE</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57530-2023</t>
        </is>
      </c>
      <c r="B270" t="inlineStr">
        <is>
          <t>avverkningsanmälan</t>
        </is>
      </c>
      <c r="C270" t="inlineStr">
        <is>
          <t>Föryngringsavverkning</t>
        </is>
      </c>
      <c r="D270" s="1" t="n">
        <v>45246</v>
      </c>
      <c r="E270" s="1" t="n">
        <v>46218</v>
      </c>
      <c r="F270" t="inlineStr">
        <is>
          <t>DALARNAS LÄN</t>
        </is>
      </c>
      <c r="G270" t="inlineStr">
        <is>
          <t>BORLÄNGE</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52464-2025</t>
        </is>
      </c>
      <c r="B271" t="inlineStr">
        <is>
          <t>avverkningsanmälan</t>
        </is>
      </c>
      <c r="C271" t="inlineStr">
        <is>
          <t>Föryngringsavverkning</t>
        </is>
      </c>
      <c r="D271" s="1" t="n">
        <v>45954</v>
      </c>
      <c r="E271" s="1" t="n">
        <v>46218</v>
      </c>
      <c r="F271" t="inlineStr">
        <is>
          <t>DALARNAS LÄN</t>
        </is>
      </c>
      <c r="G271" t="inlineStr">
        <is>
          <t>BORLÄNGE</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13528-2025</t>
        </is>
      </c>
      <c r="B272" t="inlineStr">
        <is>
          <t>avverkningsanmälan</t>
        </is>
      </c>
      <c r="C272" t="inlineStr">
        <is>
          <t>Föryngringsavverkning</t>
        </is>
      </c>
      <c r="D272" s="1" t="n">
        <v>45736</v>
      </c>
      <c r="E272" s="1" t="n">
        <v>46218</v>
      </c>
      <c r="F272" t="inlineStr">
        <is>
          <t>DALARNAS LÄN</t>
        </is>
      </c>
      <c r="G272" t="inlineStr">
        <is>
          <t>BORLÄNGE</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61195-2023</t>
        </is>
      </c>
      <c r="B273" t="inlineStr">
        <is>
          <t>avverkningsanmälan</t>
        </is>
      </c>
      <c r="C273" t="inlineStr">
        <is>
          <t>Föryngringsavverkning</t>
        </is>
      </c>
      <c r="D273" s="1" t="n">
        <v>45264</v>
      </c>
      <c r="E273" s="1" t="n">
        <v>46218</v>
      </c>
      <c r="F273" t="inlineStr">
        <is>
          <t>DALARNAS LÄN</t>
        </is>
      </c>
      <c r="G273" t="inlineStr">
        <is>
          <t>BORLÄNGE</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1492-2025</t>
        </is>
      </c>
      <c r="B274" t="inlineStr">
        <is>
          <t>avverkningsanmälan</t>
        </is>
      </c>
      <c r="C274" t="inlineStr">
        <is>
          <t>Föryngringsavverkning</t>
        </is>
      </c>
      <c r="D274" s="1" t="n">
        <v>45670</v>
      </c>
      <c r="E274" s="1" t="n">
        <v>46218</v>
      </c>
      <c r="F274" t="inlineStr">
        <is>
          <t>DALARNAS LÄN</t>
        </is>
      </c>
      <c r="G274" t="inlineStr">
        <is>
          <t>BORLÄNGE</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28321-2024</t>
        </is>
      </c>
      <c r="B275" t="inlineStr">
        <is>
          <t>avverkningsanmälan</t>
        </is>
      </c>
      <c r="C275" t="inlineStr">
        <is>
          <t>Föryngringsavverkning</t>
        </is>
      </c>
      <c r="D275" s="1" t="n">
        <v>45477</v>
      </c>
      <c r="E275" s="1" t="n">
        <v>46218</v>
      </c>
      <c r="F275" t="inlineStr">
        <is>
          <t>DALARNAS LÄN</t>
        </is>
      </c>
      <c r="G275" t="inlineStr">
        <is>
          <t>BORLÄNGE</t>
        </is>
      </c>
      <c r="I275" t="n">
        <v>3.1</v>
      </c>
      <c r="J275" t="n">
        <v>0</v>
      </c>
      <c r="K275" t="n">
        <v>0</v>
      </c>
      <c r="L275" t="n">
        <v>0</v>
      </c>
      <c r="M275" t="n">
        <v>0</v>
      </c>
      <c r="N275" t="n">
        <v>0</v>
      </c>
      <c r="O275" t="n">
        <v>0</v>
      </c>
      <c r="P275" t="n">
        <v>0</v>
      </c>
      <c r="Q275" t="n">
        <v>0</v>
      </c>
      <c r="R275" t="n">
        <v>0</v>
      </c>
      <c r="S275" t="n">
        <v>0</v>
      </c>
      <c r="T275" t="n">
        <v>0</v>
      </c>
      <c r="U275" s="2" t="inlineStr"/>
    </row>
    <row r="276" ht="15" customHeight="1">
      <c r="A276" t="inlineStr">
        <is>
          <t>A 53166-2025</t>
        </is>
      </c>
      <c r="B276" t="inlineStr">
        <is>
          <t>avverkningsanmälan</t>
        </is>
      </c>
      <c r="C276" t="inlineStr">
        <is>
          <t>Föryngringsavverkning</t>
        </is>
      </c>
      <c r="D276" s="1" t="n">
        <v>45958</v>
      </c>
      <c r="E276" s="1" t="n">
        <v>46218</v>
      </c>
      <c r="F276" t="inlineStr">
        <is>
          <t>DALARNAS LÄN</t>
        </is>
      </c>
      <c r="G276" t="inlineStr">
        <is>
          <t>BORLÄNGE</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21928-2023</t>
        </is>
      </c>
      <c r="B277" t="inlineStr">
        <is>
          <t>avverkningsanmälan</t>
        </is>
      </c>
      <c r="C277" t="inlineStr">
        <is>
          <t>Föryngringsavverkning</t>
        </is>
      </c>
      <c r="D277" s="1" t="n">
        <v>45068</v>
      </c>
      <c r="E277" s="1" t="n">
        <v>46218</v>
      </c>
      <c r="F277" t="inlineStr">
        <is>
          <t>DALARNAS LÄN</t>
        </is>
      </c>
      <c r="G277" t="inlineStr">
        <is>
          <t>BORLÄNGE</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53162-2025</t>
        </is>
      </c>
      <c r="B278" t="inlineStr">
        <is>
          <t>avverkningsanmälan</t>
        </is>
      </c>
      <c r="C278" t="inlineStr">
        <is>
          <t>Föryngringsavverkning</t>
        </is>
      </c>
      <c r="D278" s="1" t="n">
        <v>45958</v>
      </c>
      <c r="E278" s="1" t="n">
        <v>46218</v>
      </c>
      <c r="F278" t="inlineStr">
        <is>
          <t>DALARNAS LÄN</t>
        </is>
      </c>
      <c r="G278" t="inlineStr">
        <is>
          <t>BORLÄNGE</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39574-2023</t>
        </is>
      </c>
      <c r="B279" t="inlineStr">
        <is>
          <t>avverkningsanmälan</t>
        </is>
      </c>
      <c r="C279" t="inlineStr">
        <is>
          <t>Föryngringsavverkning</t>
        </is>
      </c>
      <c r="D279" s="1" t="n">
        <v>45167</v>
      </c>
      <c r="E279" s="1" t="n">
        <v>46218</v>
      </c>
      <c r="F279" t="inlineStr">
        <is>
          <t>DALARNAS LÄN</t>
        </is>
      </c>
      <c r="G279" t="inlineStr">
        <is>
          <t>BORLÄNGE</t>
        </is>
      </c>
      <c r="I279" t="n">
        <v>2.7</v>
      </c>
      <c r="J279" t="n">
        <v>0</v>
      </c>
      <c r="K279" t="n">
        <v>0</v>
      </c>
      <c r="L279" t="n">
        <v>0</v>
      </c>
      <c r="M279" t="n">
        <v>0</v>
      </c>
      <c r="N279" t="n">
        <v>0</v>
      </c>
      <c r="O279" t="n">
        <v>0</v>
      </c>
      <c r="P279" t="n">
        <v>0</v>
      </c>
      <c r="Q279" t="n">
        <v>0</v>
      </c>
      <c r="R279" t="n">
        <v>0</v>
      </c>
      <c r="S279" t="n">
        <v>0</v>
      </c>
      <c r="T279" t="n">
        <v>0</v>
      </c>
      <c r="U279" s="2" t="inlineStr"/>
    </row>
    <row r="280" ht="15" customHeight="1">
      <c r="A280" t="inlineStr">
        <is>
          <t>A 43497-2024</t>
        </is>
      </c>
      <c r="B280" t="inlineStr">
        <is>
          <t>avverkningsanmälan</t>
        </is>
      </c>
      <c r="C280" t="inlineStr">
        <is>
          <t>Avverkning för annat ändamål</t>
        </is>
      </c>
      <c r="D280" s="1" t="n">
        <v>45568</v>
      </c>
      <c r="E280" s="1" t="n">
        <v>46218</v>
      </c>
      <c r="F280" t="inlineStr">
        <is>
          <t>DALARNAS LÄN</t>
        </is>
      </c>
      <c r="G280" t="inlineStr">
        <is>
          <t>BORLÄNGE</t>
        </is>
      </c>
      <c r="I280" t="n">
        <v>2.8</v>
      </c>
      <c r="J280" t="n">
        <v>0</v>
      </c>
      <c r="K280" t="n">
        <v>0</v>
      </c>
      <c r="L280" t="n">
        <v>0</v>
      </c>
      <c r="M280" t="n">
        <v>0</v>
      </c>
      <c r="N280" t="n">
        <v>0</v>
      </c>
      <c r="O280" t="n">
        <v>0</v>
      </c>
      <c r="P280" t="n">
        <v>0</v>
      </c>
      <c r="Q280" t="n">
        <v>0</v>
      </c>
      <c r="R280" t="n">
        <v>0</v>
      </c>
      <c r="S280" t="n">
        <v>0</v>
      </c>
      <c r="T280" t="n">
        <v>0</v>
      </c>
      <c r="U280" s="2" t="inlineStr"/>
    </row>
    <row r="281" ht="15" customHeight="1">
      <c r="A281" t="inlineStr">
        <is>
          <t>A 25389-2022</t>
        </is>
      </c>
      <c r="B281" t="inlineStr">
        <is>
          <t>avverkningsanmälan</t>
        </is>
      </c>
      <c r="C281" t="inlineStr">
        <is>
          <t>Föryngringsavverkning</t>
        </is>
      </c>
      <c r="D281" s="1" t="n">
        <v>44732</v>
      </c>
      <c r="E281" s="1" t="n">
        <v>46218</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20005-2023</t>
        </is>
      </c>
      <c r="B282" t="inlineStr">
        <is>
          <t>avverkningsanmälan</t>
        </is>
      </c>
      <c r="C282" t="inlineStr">
        <is>
          <t>Föryngringsavverkning</t>
        </is>
      </c>
      <c r="D282" s="1" t="n">
        <v>45054</v>
      </c>
      <c r="E282" s="1" t="n">
        <v>46218</v>
      </c>
      <c r="F282" t="inlineStr">
        <is>
          <t>DALARNAS LÄN</t>
        </is>
      </c>
      <c r="G282" t="inlineStr">
        <is>
          <t>BORLÄNGE</t>
        </is>
      </c>
      <c r="I282" t="n">
        <v>1.9</v>
      </c>
      <c r="J282" t="n">
        <v>0</v>
      </c>
      <c r="K282" t="n">
        <v>0</v>
      </c>
      <c r="L282" t="n">
        <v>0</v>
      </c>
      <c r="M282" t="n">
        <v>0</v>
      </c>
      <c r="N282" t="n">
        <v>0</v>
      </c>
      <c r="O282" t="n">
        <v>0</v>
      </c>
      <c r="P282" t="n">
        <v>0</v>
      </c>
      <c r="Q282" t="n">
        <v>0</v>
      </c>
      <c r="R282" t="n">
        <v>0</v>
      </c>
      <c r="S282" t="n">
        <v>0</v>
      </c>
      <c r="T282" t="n">
        <v>0</v>
      </c>
      <c r="U282" s="2" t="inlineStr"/>
    </row>
    <row r="283" ht="15" customHeight="1">
      <c r="A283" t="inlineStr">
        <is>
          <t>A 61288-2021</t>
        </is>
      </c>
      <c r="B283" t="inlineStr">
        <is>
          <t>avverkningsanmälan</t>
        </is>
      </c>
      <c r="C283" t="inlineStr">
        <is>
          <t>Föryngringsavverkning</t>
        </is>
      </c>
      <c r="D283" s="1" t="n">
        <v>44498</v>
      </c>
      <c r="E283" s="1" t="n">
        <v>46218</v>
      </c>
      <c r="F283" t="inlineStr">
        <is>
          <t>DALARNAS LÄN</t>
        </is>
      </c>
      <c r="G283" t="inlineStr">
        <is>
          <t>BORLÄNGE</t>
        </is>
      </c>
      <c r="I283" t="n">
        <v>11.7</v>
      </c>
      <c r="J283" t="n">
        <v>0</v>
      </c>
      <c r="K283" t="n">
        <v>0</v>
      </c>
      <c r="L283" t="n">
        <v>0</v>
      </c>
      <c r="M283" t="n">
        <v>0</v>
      </c>
      <c r="N283" t="n">
        <v>0</v>
      </c>
      <c r="O283" t="n">
        <v>0</v>
      </c>
      <c r="P283" t="n">
        <v>0</v>
      </c>
      <c r="Q283" t="n">
        <v>0</v>
      </c>
      <c r="R283" t="n">
        <v>0</v>
      </c>
      <c r="S283" t="n">
        <v>0</v>
      </c>
      <c r="T283" t="n">
        <v>0</v>
      </c>
      <c r="U283" s="2" t="inlineStr"/>
    </row>
    <row r="284" ht="15" customHeight="1">
      <c r="A284" t="inlineStr">
        <is>
          <t>A 58283-2024</t>
        </is>
      </c>
      <c r="B284" t="inlineStr">
        <is>
          <t>avverkningsanmälan</t>
        </is>
      </c>
      <c r="C284" t="inlineStr">
        <is>
          <t>Föryngringsavverkning</t>
        </is>
      </c>
      <c r="D284" s="1" t="n">
        <v>45632</v>
      </c>
      <c r="E284" s="1" t="n">
        <v>46218</v>
      </c>
      <c r="F284" t="inlineStr">
        <is>
          <t>DALARNAS LÄN</t>
        </is>
      </c>
      <c r="G284" t="inlineStr">
        <is>
          <t>BORLÄNGE</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60086-2023</t>
        </is>
      </c>
      <c r="B285" t="inlineStr">
        <is>
          <t>avverkningsanmälan</t>
        </is>
      </c>
      <c r="C285" t="inlineStr">
        <is>
          <t>Föryngringsavverkning</t>
        </is>
      </c>
      <c r="D285" s="1" t="n">
        <v>45258</v>
      </c>
      <c r="E285" s="1" t="n">
        <v>46218</v>
      </c>
      <c r="F285" t="inlineStr">
        <is>
          <t>DALARNAS LÄN</t>
        </is>
      </c>
      <c r="G285" t="inlineStr">
        <is>
          <t>BORLÄNGE</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22652-2024</t>
        </is>
      </c>
      <c r="B286" t="inlineStr">
        <is>
          <t>avverkningsanmälan</t>
        </is>
      </c>
      <c r="C286" t="inlineStr">
        <is>
          <t>Föryngringsavverkning</t>
        </is>
      </c>
      <c r="D286" s="1" t="n">
        <v>45447</v>
      </c>
      <c r="E286" s="1" t="n">
        <v>46218</v>
      </c>
      <c r="F286" t="inlineStr">
        <is>
          <t>DALARNAS LÄN</t>
        </is>
      </c>
      <c r="G286" t="inlineStr">
        <is>
          <t>BORLÄNGE</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61809-2022</t>
        </is>
      </c>
      <c r="B287" t="inlineStr">
        <is>
          <t>avverkningsanmälan</t>
        </is>
      </c>
      <c r="C287" t="inlineStr">
        <is>
          <t>Föryngringsavverkning</t>
        </is>
      </c>
      <c r="D287" s="1" t="n">
        <v>44917</v>
      </c>
      <c r="E287" s="1" t="n">
        <v>46218</v>
      </c>
      <c r="F287" t="inlineStr">
        <is>
          <t>DALARNAS LÄN</t>
        </is>
      </c>
      <c r="G287" t="inlineStr">
        <is>
          <t>BORLÄNGE</t>
        </is>
      </c>
      <c r="H287" t="inlineStr">
        <is>
          <t>Bergvik skog väst AB</t>
        </is>
      </c>
      <c r="I287" t="n">
        <v>0.3</v>
      </c>
      <c r="J287" t="n">
        <v>0</v>
      </c>
      <c r="K287" t="n">
        <v>0</v>
      </c>
      <c r="L287" t="n">
        <v>0</v>
      </c>
      <c r="M287" t="n">
        <v>0</v>
      </c>
      <c r="N287" t="n">
        <v>0</v>
      </c>
      <c r="O287" t="n">
        <v>0</v>
      </c>
      <c r="P287" t="n">
        <v>0</v>
      </c>
      <c r="Q287" t="n">
        <v>0</v>
      </c>
      <c r="R287" t="n">
        <v>0</v>
      </c>
      <c r="S287" t="n">
        <v>0</v>
      </c>
      <c r="T287" t="n">
        <v>0</v>
      </c>
      <c r="U287" s="2" t="inlineStr"/>
    </row>
    <row r="288" ht="15" customHeight="1">
      <c r="A288" t="inlineStr">
        <is>
          <t>A 44896-2024</t>
        </is>
      </c>
      <c r="B288" t="inlineStr">
        <is>
          <t>avverkningsanmälan</t>
        </is>
      </c>
      <c r="C288" t="inlineStr">
        <is>
          <t>Föryngringsavverkning</t>
        </is>
      </c>
      <c r="D288" s="1" t="n">
        <v>45575</v>
      </c>
      <c r="E288" s="1" t="n">
        <v>46218</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28039-2023</t>
        </is>
      </c>
      <c r="B289" t="inlineStr">
        <is>
          <t>avverkningsanmälan</t>
        </is>
      </c>
      <c r="C289" t="inlineStr">
        <is>
          <t>Avverkning för annat ändamål</t>
        </is>
      </c>
      <c r="D289" s="1" t="n">
        <v>45099</v>
      </c>
      <c r="E289" s="1" t="n">
        <v>46218</v>
      </c>
      <c r="F289" t="inlineStr">
        <is>
          <t>DALARNAS LÄN</t>
        </is>
      </c>
      <c r="G289" t="inlineStr">
        <is>
          <t>BORLÄNGE</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24019-2025</t>
        </is>
      </c>
      <c r="B290" t="inlineStr">
        <is>
          <t>avverkningsanmälan</t>
        </is>
      </c>
      <c r="C290" t="inlineStr">
        <is>
          <t>Föryngringsavverkning</t>
        </is>
      </c>
      <c r="D290" s="1" t="n">
        <v>45796</v>
      </c>
      <c r="E290" s="1" t="n">
        <v>46218</v>
      </c>
      <c r="F290" t="inlineStr">
        <is>
          <t>DALARNAS LÄN</t>
        </is>
      </c>
      <c r="G290" t="inlineStr">
        <is>
          <t>BORLÄNGE</t>
        </is>
      </c>
      <c r="I290" t="n">
        <v>0.8</v>
      </c>
      <c r="J290" t="n">
        <v>0</v>
      </c>
      <c r="K290" t="n">
        <v>0</v>
      </c>
      <c r="L290" t="n">
        <v>0</v>
      </c>
      <c r="M290" t="n">
        <v>0</v>
      </c>
      <c r="N290" t="n">
        <v>0</v>
      </c>
      <c r="O290" t="n">
        <v>0</v>
      </c>
      <c r="P290" t="n">
        <v>0</v>
      </c>
      <c r="Q290" t="n">
        <v>0</v>
      </c>
      <c r="R290" t="n">
        <v>0</v>
      </c>
      <c r="S290" t="n">
        <v>0</v>
      </c>
      <c r="T290" t="n">
        <v>0</v>
      </c>
      <c r="U290" s="2" t="inlineStr"/>
    </row>
    <row r="291" ht="15" customHeight="1">
      <c r="A291" t="inlineStr">
        <is>
          <t>A 50721-2025</t>
        </is>
      </c>
      <c r="B291" t="inlineStr">
        <is>
          <t>avverkningsanmälan</t>
        </is>
      </c>
      <c r="C291" t="inlineStr">
        <is>
          <t>Föryngringsavverkning</t>
        </is>
      </c>
      <c r="D291" s="1" t="n">
        <v>45946</v>
      </c>
      <c r="E291" s="1" t="n">
        <v>46218</v>
      </c>
      <c r="F291" t="inlineStr">
        <is>
          <t>DALARNAS LÄN</t>
        </is>
      </c>
      <c r="G291" t="inlineStr">
        <is>
          <t>BORLÄNGE</t>
        </is>
      </c>
      <c r="I291" t="n">
        <v>11.1</v>
      </c>
      <c r="J291" t="n">
        <v>0</v>
      </c>
      <c r="K291" t="n">
        <v>0</v>
      </c>
      <c r="L291" t="n">
        <v>0</v>
      </c>
      <c r="M291" t="n">
        <v>0</v>
      </c>
      <c r="N291" t="n">
        <v>0</v>
      </c>
      <c r="O291" t="n">
        <v>0</v>
      </c>
      <c r="P291" t="n">
        <v>0</v>
      </c>
      <c r="Q291" t="n">
        <v>0</v>
      </c>
      <c r="R291" t="n">
        <v>0</v>
      </c>
      <c r="S291" t="n">
        <v>0</v>
      </c>
      <c r="T291" t="n">
        <v>0</v>
      </c>
      <c r="U291" s="2" t="inlineStr"/>
    </row>
    <row r="292" ht="15" customHeight="1">
      <c r="A292" t="inlineStr">
        <is>
          <t>A 56350-2024</t>
        </is>
      </c>
      <c r="B292" t="inlineStr">
        <is>
          <t>avverkningsanmälan</t>
        </is>
      </c>
      <c r="C292" t="inlineStr">
        <is>
          <t>Föryngringsavverkning</t>
        </is>
      </c>
      <c r="D292" s="1" t="n">
        <v>45624</v>
      </c>
      <c r="E292" s="1" t="n">
        <v>46218</v>
      </c>
      <c r="F292" t="inlineStr">
        <is>
          <t>DALARNAS LÄN</t>
        </is>
      </c>
      <c r="G292" t="inlineStr">
        <is>
          <t>BORLÄNGE</t>
        </is>
      </c>
      <c r="I292" t="n">
        <v>2.8</v>
      </c>
      <c r="J292" t="n">
        <v>0</v>
      </c>
      <c r="K292" t="n">
        <v>0</v>
      </c>
      <c r="L292" t="n">
        <v>0</v>
      </c>
      <c r="M292" t="n">
        <v>0</v>
      </c>
      <c r="N292" t="n">
        <v>0</v>
      </c>
      <c r="O292" t="n">
        <v>0</v>
      </c>
      <c r="P292" t="n">
        <v>0</v>
      </c>
      <c r="Q292" t="n">
        <v>0</v>
      </c>
      <c r="R292" t="n">
        <v>0</v>
      </c>
      <c r="S292" t="n">
        <v>0</v>
      </c>
      <c r="T292" t="n">
        <v>0</v>
      </c>
      <c r="U292" s="2" t="inlineStr"/>
    </row>
    <row r="293" ht="15" customHeight="1">
      <c r="A293" t="inlineStr">
        <is>
          <t>A 19468-2025</t>
        </is>
      </c>
      <c r="B293" t="inlineStr">
        <is>
          <t>avverkningsanmälan</t>
        </is>
      </c>
      <c r="C293" t="inlineStr">
        <is>
          <t>Avverkning för annat ändamål</t>
        </is>
      </c>
      <c r="D293" s="1" t="n">
        <v>45770</v>
      </c>
      <c r="E293" s="1" t="n">
        <v>46218</v>
      </c>
      <c r="F293" t="inlineStr">
        <is>
          <t>DALARNAS LÄN</t>
        </is>
      </c>
      <c r="G293" t="inlineStr">
        <is>
          <t>BORLÄNGE</t>
        </is>
      </c>
      <c r="I293" t="n">
        <v>2.7</v>
      </c>
      <c r="J293" t="n">
        <v>0</v>
      </c>
      <c r="K293" t="n">
        <v>0</v>
      </c>
      <c r="L293" t="n">
        <v>0</v>
      </c>
      <c r="M293" t="n">
        <v>0</v>
      </c>
      <c r="N293" t="n">
        <v>0</v>
      </c>
      <c r="O293" t="n">
        <v>0</v>
      </c>
      <c r="P293" t="n">
        <v>0</v>
      </c>
      <c r="Q293" t="n">
        <v>0</v>
      </c>
      <c r="R293" t="n">
        <v>0</v>
      </c>
      <c r="S293" t="n">
        <v>0</v>
      </c>
      <c r="T293" t="n">
        <v>0</v>
      </c>
      <c r="U293" s="2" t="inlineStr"/>
    </row>
    <row r="294" ht="15" customHeight="1">
      <c r="A294" t="inlineStr">
        <is>
          <t>A 24764-2025</t>
        </is>
      </c>
      <c r="B294" t="inlineStr">
        <is>
          <t>avverkningsanmälan</t>
        </is>
      </c>
      <c r="C294" t="inlineStr">
        <is>
          <t>Föryngringsavverkning</t>
        </is>
      </c>
      <c r="D294" s="1" t="n">
        <v>45799</v>
      </c>
      <c r="E294" s="1" t="n">
        <v>46218</v>
      </c>
      <c r="F294" t="inlineStr">
        <is>
          <t>DALARNAS LÄN</t>
        </is>
      </c>
      <c r="G294" t="inlineStr">
        <is>
          <t>BORLÄNGE</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24645-2025</t>
        </is>
      </c>
      <c r="B295" t="inlineStr">
        <is>
          <t>avverkningsanmälan</t>
        </is>
      </c>
      <c r="C295" t="inlineStr">
        <is>
          <t>Föryngringsavverkning</t>
        </is>
      </c>
      <c r="D295" s="1" t="n">
        <v>45798</v>
      </c>
      <c r="E295" s="1" t="n">
        <v>46218</v>
      </c>
      <c r="F295" t="inlineStr">
        <is>
          <t>DALARNAS LÄN</t>
        </is>
      </c>
      <c r="G295" t="inlineStr">
        <is>
          <t>BORLÄNGE</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11087-2023</t>
        </is>
      </c>
      <c r="B296" t="inlineStr">
        <is>
          <t>avverkningsanmälan</t>
        </is>
      </c>
      <c r="C296" t="inlineStr">
        <is>
          <t>Föryngringsavverkning</t>
        </is>
      </c>
      <c r="D296" s="1" t="n">
        <v>44992</v>
      </c>
      <c r="E296" s="1" t="n">
        <v>46218</v>
      </c>
      <c r="F296" t="inlineStr">
        <is>
          <t>DALARNAS LÄN</t>
        </is>
      </c>
      <c r="G296" t="inlineStr">
        <is>
          <t>BORLÄNGE</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5802-2025</t>
        </is>
      </c>
      <c r="B297" t="inlineStr">
        <is>
          <t>avverkningsanmälan</t>
        </is>
      </c>
      <c r="C297" t="inlineStr">
        <is>
          <t>Föryngringsavverkning</t>
        </is>
      </c>
      <c r="D297" s="1" t="n">
        <v>45694</v>
      </c>
      <c r="E297" s="1" t="n">
        <v>46218</v>
      </c>
      <c r="F297" t="inlineStr">
        <is>
          <t>DALARNAS LÄN</t>
        </is>
      </c>
      <c r="G297" t="inlineStr">
        <is>
          <t>BORLÄNGE</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25611-2025</t>
        </is>
      </c>
      <c r="B298" t="inlineStr">
        <is>
          <t>avverkningsanmälan</t>
        </is>
      </c>
      <c r="C298" t="inlineStr">
        <is>
          <t>Föryngringsavverkning</t>
        </is>
      </c>
      <c r="D298" s="1" t="n">
        <v>45803</v>
      </c>
      <c r="E298" s="1" t="n">
        <v>46218</v>
      </c>
      <c r="F298" t="inlineStr">
        <is>
          <t>DALARNAS LÄN</t>
        </is>
      </c>
      <c r="G298" t="inlineStr">
        <is>
          <t>BORLÄNGE</t>
        </is>
      </c>
      <c r="I298" t="n">
        <v>4.2</v>
      </c>
      <c r="J298" t="n">
        <v>0</v>
      </c>
      <c r="K298" t="n">
        <v>0</v>
      </c>
      <c r="L298" t="n">
        <v>0</v>
      </c>
      <c r="M298" t="n">
        <v>0</v>
      </c>
      <c r="N298" t="n">
        <v>0</v>
      </c>
      <c r="O298" t="n">
        <v>0</v>
      </c>
      <c r="P298" t="n">
        <v>0</v>
      </c>
      <c r="Q298" t="n">
        <v>0</v>
      </c>
      <c r="R298" t="n">
        <v>0</v>
      </c>
      <c r="S298" t="n">
        <v>0</v>
      </c>
      <c r="T298" t="n">
        <v>0</v>
      </c>
      <c r="U298" s="2" t="inlineStr"/>
    </row>
    <row r="299" ht="15" customHeight="1">
      <c r="A299" t="inlineStr">
        <is>
          <t>A 54420-2024</t>
        </is>
      </c>
      <c r="B299" t="inlineStr">
        <is>
          <t>avverkningsanmälan</t>
        </is>
      </c>
      <c r="C299" t="inlineStr">
        <is>
          <t>Avverkning för annat ändamål</t>
        </is>
      </c>
      <c r="D299" s="1" t="n">
        <v>45617</v>
      </c>
      <c r="E299" s="1" t="n">
        <v>46218</v>
      </c>
      <c r="F299" t="inlineStr">
        <is>
          <t>DALARNAS LÄN</t>
        </is>
      </c>
      <c r="G299" t="inlineStr">
        <is>
          <t>BORLÄNGE</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5260-2025</t>
        </is>
      </c>
      <c r="B300" t="inlineStr">
        <is>
          <t>avverkningsanmälan</t>
        </is>
      </c>
      <c r="C300" t="inlineStr">
        <is>
          <t>Föryngringsavverkning</t>
        </is>
      </c>
      <c r="D300" s="1" t="n">
        <v>45692</v>
      </c>
      <c r="E300" s="1" t="n">
        <v>46218</v>
      </c>
      <c r="F300" t="inlineStr">
        <is>
          <t>DALARNAS LÄN</t>
        </is>
      </c>
      <c r="G300" t="inlineStr">
        <is>
          <t>BORLÄNGE</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25932-2025</t>
        </is>
      </c>
      <c r="B301" t="inlineStr">
        <is>
          <t>avverkningsanmälan</t>
        </is>
      </c>
      <c r="C301" t="inlineStr">
        <is>
          <t>Föryngringsavverkning</t>
        </is>
      </c>
      <c r="D301" s="1" t="n">
        <v>45804</v>
      </c>
      <c r="E301" s="1" t="n">
        <v>46218</v>
      </c>
      <c r="F301" t="inlineStr">
        <is>
          <t>DALARNAS LÄN</t>
        </is>
      </c>
      <c r="G301" t="inlineStr">
        <is>
          <t>BORLÄNGE</t>
        </is>
      </c>
      <c r="I301" t="n">
        <v>3.6</v>
      </c>
      <c r="J301" t="n">
        <v>0</v>
      </c>
      <c r="K301" t="n">
        <v>0</v>
      </c>
      <c r="L301" t="n">
        <v>0</v>
      </c>
      <c r="M301" t="n">
        <v>0</v>
      </c>
      <c r="N301" t="n">
        <v>0</v>
      </c>
      <c r="O301" t="n">
        <v>0</v>
      </c>
      <c r="P301" t="n">
        <v>0</v>
      </c>
      <c r="Q301" t="n">
        <v>0</v>
      </c>
      <c r="R301" t="n">
        <v>0</v>
      </c>
      <c r="S301" t="n">
        <v>0</v>
      </c>
      <c r="T301" t="n">
        <v>0</v>
      </c>
      <c r="U301" s="2" t="inlineStr"/>
    </row>
    <row r="302" ht="15" customHeight="1">
      <c r="A302" t="inlineStr">
        <is>
          <t>A 60908-2023</t>
        </is>
      </c>
      <c r="B302" t="inlineStr">
        <is>
          <t>avverkningsanmälan</t>
        </is>
      </c>
      <c r="C302" t="inlineStr">
        <is>
          <t>Föryngringsavverkning</t>
        </is>
      </c>
      <c r="D302" s="1" t="n">
        <v>45261</v>
      </c>
      <c r="E302" s="1" t="n">
        <v>46218</v>
      </c>
      <c r="F302" t="inlineStr">
        <is>
          <t>DALARNAS LÄN</t>
        </is>
      </c>
      <c r="G302" t="inlineStr">
        <is>
          <t>BORLÄNGE</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54052-2025</t>
        </is>
      </c>
      <c r="B303" t="inlineStr">
        <is>
          <t>avverkningsanmälan</t>
        </is>
      </c>
      <c r="C303" t="inlineStr">
        <is>
          <t>Föryngringsavverkning</t>
        </is>
      </c>
      <c r="D303" s="1" t="n">
        <v>45963</v>
      </c>
      <c r="E303" s="1" t="n">
        <v>46218</v>
      </c>
      <c r="F303" t="inlineStr">
        <is>
          <t>DALARNAS LÄN</t>
        </is>
      </c>
      <c r="G303" t="inlineStr">
        <is>
          <t>BORLÄNGE</t>
        </is>
      </c>
      <c r="I303" t="n">
        <v>3.7</v>
      </c>
      <c r="J303" t="n">
        <v>0</v>
      </c>
      <c r="K303" t="n">
        <v>0</v>
      </c>
      <c r="L303" t="n">
        <v>0</v>
      </c>
      <c r="M303" t="n">
        <v>0</v>
      </c>
      <c r="N303" t="n">
        <v>0</v>
      </c>
      <c r="O303" t="n">
        <v>0</v>
      </c>
      <c r="P303" t="n">
        <v>0</v>
      </c>
      <c r="Q303" t="n">
        <v>0</v>
      </c>
      <c r="R303" t="n">
        <v>0</v>
      </c>
      <c r="S303" t="n">
        <v>0</v>
      </c>
      <c r="T303" t="n">
        <v>0</v>
      </c>
      <c r="U303" s="2" t="inlineStr"/>
    </row>
    <row r="304" ht="15" customHeight="1">
      <c r="A304" t="inlineStr">
        <is>
          <t>A 14753-2025</t>
        </is>
      </c>
      <c r="B304" t="inlineStr">
        <is>
          <t>avverkningsanmälan</t>
        </is>
      </c>
      <c r="C304" t="inlineStr">
        <is>
          <t>Föryngringsavverkning</t>
        </is>
      </c>
      <c r="D304" s="1" t="n">
        <v>45742</v>
      </c>
      <c r="E304" s="1" t="n">
        <v>46218</v>
      </c>
      <c r="F304" t="inlineStr">
        <is>
          <t>DALARNAS LÄN</t>
        </is>
      </c>
      <c r="G304" t="inlineStr">
        <is>
          <t>BORLÄNGE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32428-2024</t>
        </is>
      </c>
      <c r="B305" t="inlineStr">
        <is>
          <t>avverkningsanmälan</t>
        </is>
      </c>
      <c r="C305" t="inlineStr">
        <is>
          <t>Föryngringsavverkning</t>
        </is>
      </c>
      <c r="D305" s="1" t="n">
        <v>45512</v>
      </c>
      <c r="E305" s="1" t="n">
        <v>46218</v>
      </c>
      <c r="F305" t="inlineStr">
        <is>
          <t>DALARNAS LÄN</t>
        </is>
      </c>
      <c r="G305" t="inlineStr">
        <is>
          <t>BORLÄNGE</t>
        </is>
      </c>
      <c r="H305" t="inlineStr">
        <is>
          <t>Bergvik skog väst AB</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1088-2023</t>
        </is>
      </c>
      <c r="B306" t="inlineStr">
        <is>
          <t>avverkningsanmälan</t>
        </is>
      </c>
      <c r="C306" t="inlineStr">
        <is>
          <t>Föryngringsavverkning</t>
        </is>
      </c>
      <c r="D306" s="1" t="n">
        <v>44935</v>
      </c>
      <c r="E306" s="1" t="n">
        <v>46218</v>
      </c>
      <c r="F306" t="inlineStr">
        <is>
          <t>DALARNAS LÄN</t>
        </is>
      </c>
      <c r="G306" t="inlineStr">
        <is>
          <t>BORLÄNGE</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58650-2024</t>
        </is>
      </c>
      <c r="B307" t="inlineStr">
        <is>
          <t>avverkningsanmälan</t>
        </is>
      </c>
      <c r="C307" t="inlineStr">
        <is>
          <t>Föryngringsavverkning</t>
        </is>
      </c>
      <c r="D307" s="1" t="n">
        <v>45632</v>
      </c>
      <c r="E307" s="1" t="n">
        <v>46218</v>
      </c>
      <c r="F307" t="inlineStr">
        <is>
          <t>DALARNAS LÄN</t>
        </is>
      </c>
      <c r="G307" t="inlineStr">
        <is>
          <t>BORLÄNGE</t>
        </is>
      </c>
      <c r="H307" t="inlineStr">
        <is>
          <t>Bergvik skog väst AB</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12783-2024</t>
        </is>
      </c>
      <c r="B308" t="inlineStr">
        <is>
          <t>avverkningsanmälan</t>
        </is>
      </c>
      <c r="C308" t="inlineStr">
        <is>
          <t>Föryngringsavverkning</t>
        </is>
      </c>
      <c r="D308" s="1" t="n">
        <v>45384</v>
      </c>
      <c r="E308" s="1" t="n">
        <v>46218</v>
      </c>
      <c r="F308" t="inlineStr">
        <is>
          <t>DALARNAS LÄN</t>
        </is>
      </c>
      <c r="G308" t="inlineStr">
        <is>
          <t>BORLÄNGE</t>
        </is>
      </c>
      <c r="H308" t="inlineStr">
        <is>
          <t>Övriga statliga verk och myndigheter</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24181-2023</t>
        </is>
      </c>
      <c r="B309" t="inlineStr">
        <is>
          <t>avverkningsanmälan</t>
        </is>
      </c>
      <c r="C309" t="inlineStr">
        <is>
          <t>Föryngringsavverkning</t>
        </is>
      </c>
      <c r="D309" s="1" t="n">
        <v>45079</v>
      </c>
      <c r="E309" s="1" t="n">
        <v>46218</v>
      </c>
      <c r="F309" t="inlineStr">
        <is>
          <t>DALARNAS LÄN</t>
        </is>
      </c>
      <c r="G309" t="inlineStr">
        <is>
          <t>BORLÄNGE</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27233-2025</t>
        </is>
      </c>
      <c r="B310" t="inlineStr">
        <is>
          <t>avverkningsanmälan</t>
        </is>
      </c>
      <c r="C310" t="inlineStr">
        <is>
          <t>Föryngringsavverkning</t>
        </is>
      </c>
      <c r="D310" s="1" t="n">
        <v>45812</v>
      </c>
      <c r="E310" s="1" t="n">
        <v>46218</v>
      </c>
      <c r="F310" t="inlineStr">
        <is>
          <t>DALARNAS LÄN</t>
        </is>
      </c>
      <c r="G310" t="inlineStr">
        <is>
          <t>BORLÄNGE</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56200-2025</t>
        </is>
      </c>
      <c r="B311" t="inlineStr">
        <is>
          <t>avverkningsanmälan</t>
        </is>
      </c>
      <c r="C311" t="inlineStr">
        <is>
          <t>Avverkning för annat ändamål</t>
        </is>
      </c>
      <c r="D311" s="1" t="n">
        <v>45974</v>
      </c>
      <c r="E311" s="1" t="n">
        <v>46218</v>
      </c>
      <c r="F311" t="inlineStr">
        <is>
          <t>DALARNAS LÄN</t>
        </is>
      </c>
      <c r="G311" t="inlineStr">
        <is>
          <t>BORLÄNGE</t>
        </is>
      </c>
      <c r="H311" t="inlineStr">
        <is>
          <t>Bergvik skog väst AB</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27670-2025</t>
        </is>
      </c>
      <c r="B312" t="inlineStr">
        <is>
          <t>avverkningsanmälan</t>
        </is>
      </c>
      <c r="C312" t="inlineStr">
        <is>
          <t>Föryngringsavverkning</t>
        </is>
      </c>
      <c r="D312" s="1" t="n">
        <v>45813</v>
      </c>
      <c r="E312" s="1" t="n">
        <v>46218</v>
      </c>
      <c r="F312" t="inlineStr">
        <is>
          <t>DALARNAS LÄN</t>
        </is>
      </c>
      <c r="G312" t="inlineStr">
        <is>
          <t>BORLÄNGE</t>
        </is>
      </c>
      <c r="I312" t="n">
        <v>2.5</v>
      </c>
      <c r="J312" t="n">
        <v>0</v>
      </c>
      <c r="K312" t="n">
        <v>0</v>
      </c>
      <c r="L312" t="n">
        <v>0</v>
      </c>
      <c r="M312" t="n">
        <v>0</v>
      </c>
      <c r="N312" t="n">
        <v>0</v>
      </c>
      <c r="O312" t="n">
        <v>0</v>
      </c>
      <c r="P312" t="n">
        <v>0</v>
      </c>
      <c r="Q312" t="n">
        <v>0</v>
      </c>
      <c r="R312" t="n">
        <v>0</v>
      </c>
      <c r="S312" t="n">
        <v>0</v>
      </c>
      <c r="T312" t="n">
        <v>0</v>
      </c>
      <c r="U312" s="2" t="inlineStr"/>
    </row>
    <row r="313" ht="15" customHeight="1">
      <c r="A313" t="inlineStr">
        <is>
          <t>A 2182-2023</t>
        </is>
      </c>
      <c r="B313" t="inlineStr">
        <is>
          <t>avverkningsanmälan</t>
        </is>
      </c>
      <c r="C313" t="inlineStr">
        <is>
          <t>Föryngringsavverkning</t>
        </is>
      </c>
      <c r="D313" s="1" t="n">
        <v>44942</v>
      </c>
      <c r="E313" s="1" t="n">
        <v>46218</v>
      </c>
      <c r="F313" t="inlineStr">
        <is>
          <t>DALARNAS LÄN</t>
        </is>
      </c>
      <c r="G313" t="inlineStr">
        <is>
          <t>BORLÄNGE</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27714-2025</t>
        </is>
      </c>
      <c r="B314" t="inlineStr">
        <is>
          <t>avverkningsanmälan</t>
        </is>
      </c>
      <c r="C314" t="inlineStr">
        <is>
          <t>Föryngringsavverkning</t>
        </is>
      </c>
      <c r="D314" s="1" t="n">
        <v>45813</v>
      </c>
      <c r="E314" s="1" t="n">
        <v>46218</v>
      </c>
      <c r="F314" t="inlineStr">
        <is>
          <t>DALARNAS LÄN</t>
        </is>
      </c>
      <c r="G314" t="inlineStr">
        <is>
          <t>BORLÄNGE</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6654-2024</t>
        </is>
      </c>
      <c r="B315" t="inlineStr">
        <is>
          <t>avverkningsanmälan</t>
        </is>
      </c>
      <c r="C315" t="inlineStr">
        <is>
          <t>Föryngringsavverkning</t>
        </is>
      </c>
      <c r="D315" s="1" t="n">
        <v>45341</v>
      </c>
      <c r="E315" s="1" t="n">
        <v>46218</v>
      </c>
      <c r="F315" t="inlineStr">
        <is>
          <t>DALARNAS LÄN</t>
        </is>
      </c>
      <c r="G315" t="inlineStr">
        <is>
          <t>BORLÄNGE</t>
        </is>
      </c>
      <c r="I315" t="n">
        <v>0.8</v>
      </c>
      <c r="J315" t="n">
        <v>0</v>
      </c>
      <c r="K315" t="n">
        <v>0</v>
      </c>
      <c r="L315" t="n">
        <v>0</v>
      </c>
      <c r="M315" t="n">
        <v>0</v>
      </c>
      <c r="N315" t="n">
        <v>0</v>
      </c>
      <c r="O315" t="n">
        <v>0</v>
      </c>
      <c r="P315" t="n">
        <v>0</v>
      </c>
      <c r="Q315" t="n">
        <v>0</v>
      </c>
      <c r="R315" t="n">
        <v>0</v>
      </c>
      <c r="S315" t="n">
        <v>0</v>
      </c>
      <c r="T315" t="n">
        <v>0</v>
      </c>
      <c r="U315" s="2" t="inlineStr"/>
    </row>
    <row r="316" ht="15" customHeight="1">
      <c r="A316" t="inlineStr">
        <is>
          <t>A 56875-2025</t>
        </is>
      </c>
      <c r="B316" t="inlineStr">
        <is>
          <t>avverkningsanmälan</t>
        </is>
      </c>
      <c r="C316" t="inlineStr">
        <is>
          <t>Föryngringsavverkning</t>
        </is>
      </c>
      <c r="D316" s="1" t="n">
        <v>45978</v>
      </c>
      <c r="E316" s="1" t="n">
        <v>46218</v>
      </c>
      <c r="F316" t="inlineStr">
        <is>
          <t>DALARNAS LÄN</t>
        </is>
      </c>
      <c r="G316" t="inlineStr">
        <is>
          <t>BORLÄNGE</t>
        </is>
      </c>
      <c r="H316" t="inlineStr">
        <is>
          <t>Bergvik skog väst AB</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57664-2025</t>
        </is>
      </c>
      <c r="B317" t="inlineStr">
        <is>
          <t>avverkningsanmälan</t>
        </is>
      </c>
      <c r="C317" t="inlineStr">
        <is>
          <t>Avverkning för annat ändamål</t>
        </is>
      </c>
      <c r="D317" s="1" t="n">
        <v>45981</v>
      </c>
      <c r="E317" s="1" t="n">
        <v>46218</v>
      </c>
      <c r="F317" t="inlineStr">
        <is>
          <t>DALARNAS LÄN</t>
        </is>
      </c>
      <c r="G317" t="inlineStr">
        <is>
          <t>BORLÄNGE</t>
        </is>
      </c>
      <c r="I317" t="n">
        <v>0.2</v>
      </c>
      <c r="J317" t="n">
        <v>0</v>
      </c>
      <c r="K317" t="n">
        <v>0</v>
      </c>
      <c r="L317" t="n">
        <v>0</v>
      </c>
      <c r="M317" t="n">
        <v>0</v>
      </c>
      <c r="N317" t="n">
        <v>0</v>
      </c>
      <c r="O317" t="n">
        <v>0</v>
      </c>
      <c r="P317" t="n">
        <v>0</v>
      </c>
      <c r="Q317" t="n">
        <v>0</v>
      </c>
      <c r="R317" t="n">
        <v>0</v>
      </c>
      <c r="S317" t="n">
        <v>0</v>
      </c>
      <c r="T317" t="n">
        <v>0</v>
      </c>
      <c r="U317" s="2" t="inlineStr"/>
    </row>
    <row r="318" ht="15" customHeight="1">
      <c r="A318" t="inlineStr">
        <is>
          <t>A 49936-2023</t>
        </is>
      </c>
      <c r="B318" t="inlineStr">
        <is>
          <t>avverkningsanmälan</t>
        </is>
      </c>
      <c r="C318" t="inlineStr">
        <is>
          <t>Föryngringsavverkning</t>
        </is>
      </c>
      <c r="D318" s="1" t="n">
        <v>45215</v>
      </c>
      <c r="E318" s="1" t="n">
        <v>46218</v>
      </c>
      <c r="F318" t="inlineStr">
        <is>
          <t>DALARNAS LÄN</t>
        </is>
      </c>
      <c r="G318" t="inlineStr">
        <is>
          <t>BORLÄNGE</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54148-2023</t>
        </is>
      </c>
      <c r="B319" t="inlineStr">
        <is>
          <t>avverkningsanmälan</t>
        </is>
      </c>
      <c r="C319" t="inlineStr">
        <is>
          <t>Föryngringsavverkning</t>
        </is>
      </c>
      <c r="D319" s="1" t="n">
        <v>45232</v>
      </c>
      <c r="E319" s="1" t="n">
        <v>46218</v>
      </c>
      <c r="F319" t="inlineStr">
        <is>
          <t>DALARNAS LÄN</t>
        </is>
      </c>
      <c r="G319" t="inlineStr">
        <is>
          <t>BORLÄNGE</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58002-2025</t>
        </is>
      </c>
      <c r="B320" t="inlineStr">
        <is>
          <t>avverkningsanmälan</t>
        </is>
      </c>
      <c r="C320" t="inlineStr">
        <is>
          <t>Föryngringsavverkning</t>
        </is>
      </c>
      <c r="D320" s="1" t="n">
        <v>45982</v>
      </c>
      <c r="E320" s="1" t="n">
        <v>46218</v>
      </c>
      <c r="F320" t="inlineStr">
        <is>
          <t>DALARNAS LÄN</t>
        </is>
      </c>
      <c r="G320" t="inlineStr">
        <is>
          <t>BORLÄNGE</t>
        </is>
      </c>
      <c r="I320" t="n">
        <v>3.3</v>
      </c>
      <c r="J320" t="n">
        <v>0</v>
      </c>
      <c r="K320" t="n">
        <v>0</v>
      </c>
      <c r="L320" t="n">
        <v>0</v>
      </c>
      <c r="M320" t="n">
        <v>0</v>
      </c>
      <c r="N320" t="n">
        <v>0</v>
      </c>
      <c r="O320" t="n">
        <v>0</v>
      </c>
      <c r="P320" t="n">
        <v>0</v>
      </c>
      <c r="Q320" t="n">
        <v>0</v>
      </c>
      <c r="R320" t="n">
        <v>0</v>
      </c>
      <c r="S320" t="n">
        <v>0</v>
      </c>
      <c r="T320" t="n">
        <v>0</v>
      </c>
      <c r="U320" s="2" t="inlineStr"/>
    </row>
    <row r="321" ht="15" customHeight="1">
      <c r="A321" t="inlineStr">
        <is>
          <t>A 7563-2026</t>
        </is>
      </c>
      <c r="B321" t="inlineStr">
        <is>
          <t>avverkningsanmälan</t>
        </is>
      </c>
      <c r="C321" t="inlineStr">
        <is>
          <t>Föryngringsavverkning</t>
        </is>
      </c>
      <c r="D321" s="1" t="n">
        <v>46060</v>
      </c>
      <c r="E321" s="1" t="n">
        <v>46218</v>
      </c>
      <c r="F321" t="inlineStr">
        <is>
          <t>DALARNAS LÄN</t>
        </is>
      </c>
      <c r="G321" t="inlineStr">
        <is>
          <t>BORLÄNGE</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53455-2021</t>
        </is>
      </c>
      <c r="B322" t="inlineStr">
        <is>
          <t>avverkningsanmälan</t>
        </is>
      </c>
      <c r="C322" t="inlineStr">
        <is>
          <t>Avverkning för annat ändamål</t>
        </is>
      </c>
      <c r="D322" s="1" t="n">
        <v>44468</v>
      </c>
      <c r="E322" s="1" t="n">
        <v>46218</v>
      </c>
      <c r="F322" t="inlineStr">
        <is>
          <t>DALARNAS LÄN</t>
        </is>
      </c>
      <c r="G322" t="inlineStr">
        <is>
          <t>BORLÄNGE</t>
        </is>
      </c>
      <c r="I322" t="n">
        <v>0.3</v>
      </c>
      <c r="J322" t="n">
        <v>0</v>
      </c>
      <c r="K322" t="n">
        <v>0</v>
      </c>
      <c r="L322" t="n">
        <v>0</v>
      </c>
      <c r="M322" t="n">
        <v>0</v>
      </c>
      <c r="N322" t="n">
        <v>0</v>
      </c>
      <c r="O322" t="n">
        <v>0</v>
      </c>
      <c r="P322" t="n">
        <v>0</v>
      </c>
      <c r="Q322" t="n">
        <v>0</v>
      </c>
      <c r="R322" t="n">
        <v>0</v>
      </c>
      <c r="S322" t="n">
        <v>0</v>
      </c>
      <c r="T322" t="n">
        <v>0</v>
      </c>
      <c r="U322" s="2" t="inlineStr"/>
    </row>
    <row r="323" ht="15" customHeight="1">
      <c r="A323" t="inlineStr">
        <is>
          <t>A 60740-2024</t>
        </is>
      </c>
      <c r="B323" t="inlineStr">
        <is>
          <t>avverkningsanmälan</t>
        </is>
      </c>
      <c r="C323" t="inlineStr">
        <is>
          <t>Avverkning för annat ändamål</t>
        </is>
      </c>
      <c r="D323" s="1" t="n">
        <v>45644</v>
      </c>
      <c r="E323" s="1" t="n">
        <v>46218</v>
      </c>
      <c r="F323" t="inlineStr">
        <is>
          <t>DALARNAS LÄN</t>
        </is>
      </c>
      <c r="G323" t="inlineStr">
        <is>
          <t>BORLÄNGE</t>
        </is>
      </c>
      <c r="I323" t="n">
        <v>4.3</v>
      </c>
      <c r="J323" t="n">
        <v>0</v>
      </c>
      <c r="K323" t="n">
        <v>0</v>
      </c>
      <c r="L323" t="n">
        <v>0</v>
      </c>
      <c r="M323" t="n">
        <v>0</v>
      </c>
      <c r="N323" t="n">
        <v>0</v>
      </c>
      <c r="O323" t="n">
        <v>0</v>
      </c>
      <c r="P323" t="n">
        <v>0</v>
      </c>
      <c r="Q323" t="n">
        <v>0</v>
      </c>
      <c r="R323" t="n">
        <v>0</v>
      </c>
      <c r="S323" t="n">
        <v>0</v>
      </c>
      <c r="T323" t="n">
        <v>0</v>
      </c>
      <c r="U323" s="2" t="inlineStr"/>
    </row>
    <row r="324" ht="15" customHeight="1">
      <c r="A324" t="inlineStr">
        <is>
          <t>A 30540-2025</t>
        </is>
      </c>
      <c r="B324" t="inlineStr">
        <is>
          <t>avverkningsanmälan</t>
        </is>
      </c>
      <c r="C324" t="inlineStr">
        <is>
          <t>Föryngringsavverkning</t>
        </is>
      </c>
      <c r="D324" s="1" t="n">
        <v>45831</v>
      </c>
      <c r="E324" s="1" t="n">
        <v>46218</v>
      </c>
      <c r="F324" t="inlineStr">
        <is>
          <t>DALARNAS LÄN</t>
        </is>
      </c>
      <c r="G324" t="inlineStr">
        <is>
          <t>BORLÄNGE</t>
        </is>
      </c>
      <c r="I324" t="n">
        <v>2.2</v>
      </c>
      <c r="J324" t="n">
        <v>0</v>
      </c>
      <c r="K324" t="n">
        <v>0</v>
      </c>
      <c r="L324" t="n">
        <v>0</v>
      </c>
      <c r="M324" t="n">
        <v>0</v>
      </c>
      <c r="N324" t="n">
        <v>0</v>
      </c>
      <c r="O324" t="n">
        <v>0</v>
      </c>
      <c r="P324" t="n">
        <v>0</v>
      </c>
      <c r="Q324" t="n">
        <v>0</v>
      </c>
      <c r="R324" t="n">
        <v>0</v>
      </c>
      <c r="S324" t="n">
        <v>0</v>
      </c>
      <c r="T324" t="n">
        <v>0</v>
      </c>
      <c r="U324" s="2" t="inlineStr"/>
    </row>
    <row r="325" ht="15" customHeight="1">
      <c r="A325" t="inlineStr">
        <is>
          <t>A 31589-2025</t>
        </is>
      </c>
      <c r="B325" t="inlineStr">
        <is>
          <t>avverkningsanmälan</t>
        </is>
      </c>
      <c r="C325" t="inlineStr">
        <is>
          <t>Föryngringsavverkning</t>
        </is>
      </c>
      <c r="D325" s="1" t="n">
        <v>45833</v>
      </c>
      <c r="E325" s="1" t="n">
        <v>46218</v>
      </c>
      <c r="F325" t="inlineStr">
        <is>
          <t>DALARNAS LÄN</t>
        </is>
      </c>
      <c r="G325" t="inlineStr">
        <is>
          <t>BORLÄNGE</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1921-2026</t>
        </is>
      </c>
      <c r="B326" t="inlineStr">
        <is>
          <t>avverkningsanmälan</t>
        </is>
      </c>
      <c r="C326" t="inlineStr">
        <is>
          <t>Föryngringsavverkning</t>
        </is>
      </c>
      <c r="D326" s="1" t="n">
        <v>46035</v>
      </c>
      <c r="E326" s="1" t="n">
        <v>46218</v>
      </c>
      <c r="F326" t="inlineStr">
        <is>
          <t>DALARNAS LÄN</t>
        </is>
      </c>
      <c r="G326" t="inlineStr">
        <is>
          <t>BORLÄNGE</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11105-2023</t>
        </is>
      </c>
      <c r="B327" t="inlineStr">
        <is>
          <t>avverkningsanmälan</t>
        </is>
      </c>
      <c r="C327" t="inlineStr">
        <is>
          <t>Föryngringsavverkning</t>
        </is>
      </c>
      <c r="D327" s="1" t="n">
        <v>44992</v>
      </c>
      <c r="E327" s="1" t="n">
        <v>46218</v>
      </c>
      <c r="F327" t="inlineStr">
        <is>
          <t>DALARNAS LÄN</t>
        </is>
      </c>
      <c r="G327" t="inlineStr">
        <is>
          <t>BORLÄNGE</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28891-2025</t>
        </is>
      </c>
      <c r="B328" t="inlineStr">
        <is>
          <t>avverkningsanmälan</t>
        </is>
      </c>
      <c r="C328" t="inlineStr">
        <is>
          <t>Föryngringsavverkning</t>
        </is>
      </c>
      <c r="D328" s="1" t="n">
        <v>45820</v>
      </c>
      <c r="E328" s="1" t="n">
        <v>46218</v>
      </c>
      <c r="F328" t="inlineStr">
        <is>
          <t>DALARNAS LÄN</t>
        </is>
      </c>
      <c r="G328" t="inlineStr">
        <is>
          <t>BORLÄNGE</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58640-2023</t>
        </is>
      </c>
      <c r="B329" t="inlineStr">
        <is>
          <t>avverkningsanmälan</t>
        </is>
      </c>
      <c r="C329" t="inlineStr">
        <is>
          <t>Föryngringsavverkning</t>
        </is>
      </c>
      <c r="D329" s="1" t="n">
        <v>45251</v>
      </c>
      <c r="E329" s="1" t="n">
        <v>46218</v>
      </c>
      <c r="F329" t="inlineStr">
        <is>
          <t>DALARNAS LÄN</t>
        </is>
      </c>
      <c r="G329" t="inlineStr">
        <is>
          <t>BORLÄNGE</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32941-2024</t>
        </is>
      </c>
      <c r="B330" t="inlineStr">
        <is>
          <t>avverkningsanmälan</t>
        </is>
      </c>
      <c r="C330" t="inlineStr">
        <is>
          <t>Föryngringsavverkning</t>
        </is>
      </c>
      <c r="D330" s="1" t="n">
        <v>45517</v>
      </c>
      <c r="E330" s="1" t="n">
        <v>46218</v>
      </c>
      <c r="F330" t="inlineStr">
        <is>
          <t>DALARNAS LÄN</t>
        </is>
      </c>
      <c r="G330" t="inlineStr">
        <is>
          <t>BORLÄNGE</t>
        </is>
      </c>
      <c r="H330" t="inlineStr">
        <is>
          <t>Bergvik skog väst AB</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53544-2022</t>
        </is>
      </c>
      <c r="B331" t="inlineStr">
        <is>
          <t>avverkningsanmälan</t>
        </is>
      </c>
      <c r="C331" t="inlineStr">
        <is>
          <t>Föryngringsavverkning</t>
        </is>
      </c>
      <c r="D331" s="1" t="n">
        <v>44879</v>
      </c>
      <c r="E331" s="1" t="n">
        <v>46218</v>
      </c>
      <c r="F331" t="inlineStr">
        <is>
          <t>DALARNAS LÄN</t>
        </is>
      </c>
      <c r="G331" t="inlineStr">
        <is>
          <t>BORLÄNGE</t>
        </is>
      </c>
      <c r="H331" t="inlineStr">
        <is>
          <t>Bergvik skog väst AB</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58706-2025</t>
        </is>
      </c>
      <c r="B332" t="inlineStr">
        <is>
          <t>avverkningsanmälan</t>
        </is>
      </c>
      <c r="C332" t="inlineStr">
        <is>
          <t>Föryngringsavverkning</t>
        </is>
      </c>
      <c r="D332" s="1" t="n">
        <v>45986</v>
      </c>
      <c r="E332" s="1" t="n">
        <v>46218</v>
      </c>
      <c r="F332" t="inlineStr">
        <is>
          <t>DALARNAS LÄN</t>
        </is>
      </c>
      <c r="G332" t="inlineStr">
        <is>
          <t>BORLÄNGE</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59771-2021</t>
        </is>
      </c>
      <c r="B333" t="inlineStr">
        <is>
          <t>avverkningsanmälan</t>
        </is>
      </c>
      <c r="C333" t="inlineStr">
        <is>
          <t>Föryngringsavverkning</t>
        </is>
      </c>
      <c r="D333" s="1" t="n">
        <v>44494</v>
      </c>
      <c r="E333" s="1" t="n">
        <v>46218</v>
      </c>
      <c r="F333" t="inlineStr">
        <is>
          <t>DALARNAS LÄN</t>
        </is>
      </c>
      <c r="G333" t="inlineStr">
        <is>
          <t>BORLÄNGE</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27713-2025</t>
        </is>
      </c>
      <c r="B334" t="inlineStr">
        <is>
          <t>avverkningsanmälan</t>
        </is>
      </c>
      <c r="C334" t="inlineStr">
        <is>
          <t>Föryngringsavverkning</t>
        </is>
      </c>
      <c r="D334" s="1" t="n">
        <v>45813</v>
      </c>
      <c r="E334" s="1" t="n">
        <v>46218</v>
      </c>
      <c r="F334" t="inlineStr">
        <is>
          <t>DALARNAS LÄN</t>
        </is>
      </c>
      <c r="G334" t="inlineStr">
        <is>
          <t>BORLÄNGE</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8563-2026</t>
        </is>
      </c>
      <c r="B335" t="inlineStr">
        <is>
          <t>avverkningsanmälan</t>
        </is>
      </c>
      <c r="C335" t="inlineStr">
        <is>
          <t>Föryngringsavverkning</t>
        </is>
      </c>
      <c r="D335" s="1" t="n">
        <v>46065</v>
      </c>
      <c r="E335" s="1" t="n">
        <v>46218</v>
      </c>
      <c r="F335" t="inlineStr">
        <is>
          <t>DALARNAS LÄN</t>
        </is>
      </c>
      <c r="G335" t="inlineStr">
        <is>
          <t>BORLÄNGE</t>
        </is>
      </c>
      <c r="H335" t="inlineStr">
        <is>
          <t>Bergvik skog väst AB</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1723-2025</t>
        </is>
      </c>
      <c r="B336" t="inlineStr">
        <is>
          <t>avverkningsanmälan</t>
        </is>
      </c>
      <c r="C336" t="inlineStr">
        <is>
          <t>Föryngringsavverkning</t>
        </is>
      </c>
      <c r="D336" s="1" t="n">
        <v>45671</v>
      </c>
      <c r="E336" s="1" t="n">
        <v>46218</v>
      </c>
      <c r="F336" t="inlineStr">
        <is>
          <t>DALARNAS LÄN</t>
        </is>
      </c>
      <c r="G336" t="inlineStr">
        <is>
          <t>BORLÄNGE</t>
        </is>
      </c>
      <c r="I336" t="n">
        <v>24.5</v>
      </c>
      <c r="J336" t="n">
        <v>0</v>
      </c>
      <c r="K336" t="n">
        <v>0</v>
      </c>
      <c r="L336" t="n">
        <v>0</v>
      </c>
      <c r="M336" t="n">
        <v>0</v>
      </c>
      <c r="N336" t="n">
        <v>0</v>
      </c>
      <c r="O336" t="n">
        <v>0</v>
      </c>
      <c r="P336" t="n">
        <v>0</v>
      </c>
      <c r="Q336" t="n">
        <v>0</v>
      </c>
      <c r="R336" t="n">
        <v>0</v>
      </c>
      <c r="S336" t="n">
        <v>0</v>
      </c>
      <c r="T336" t="n">
        <v>0</v>
      </c>
      <c r="U336" s="2" t="inlineStr"/>
    </row>
    <row r="337" ht="15" customHeight="1">
      <c r="A337" t="inlineStr">
        <is>
          <t>A 60518-2023</t>
        </is>
      </c>
      <c r="B337" t="inlineStr">
        <is>
          <t>avverkningsanmälan</t>
        </is>
      </c>
      <c r="C337" t="inlineStr">
        <is>
          <t>Föryngringsavverkning</t>
        </is>
      </c>
      <c r="D337" s="1" t="n">
        <v>45259</v>
      </c>
      <c r="E337" s="1" t="n">
        <v>46218</v>
      </c>
      <c r="F337" t="inlineStr">
        <is>
          <t>DALARNAS LÄN</t>
        </is>
      </c>
      <c r="G337" t="inlineStr">
        <is>
          <t>BORLÄNGE</t>
        </is>
      </c>
      <c r="H337" t="inlineStr">
        <is>
          <t>Bergvik skog väst AB</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713-2026</t>
        </is>
      </c>
      <c r="B338" t="inlineStr">
        <is>
          <t>avverkningsanmälan</t>
        </is>
      </c>
      <c r="C338" t="inlineStr">
        <is>
          <t>Föryngringsavverkning</t>
        </is>
      </c>
      <c r="D338" s="1" t="n">
        <v>46029</v>
      </c>
      <c r="E338" s="1" t="n">
        <v>46218</v>
      </c>
      <c r="F338" t="inlineStr">
        <is>
          <t>DALARNAS LÄN</t>
        </is>
      </c>
      <c r="G338" t="inlineStr">
        <is>
          <t>BORLÄNGE</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35816-2025</t>
        </is>
      </c>
      <c r="B339" t="inlineStr">
        <is>
          <t>avverkningsanmälan</t>
        </is>
      </c>
      <c r="C339" t="inlineStr">
        <is>
          <t>Föryngringsavverkning</t>
        </is>
      </c>
      <c r="D339" s="1" t="n">
        <v>45861</v>
      </c>
      <c r="E339" s="1" t="n">
        <v>46218</v>
      </c>
      <c r="F339" t="inlineStr">
        <is>
          <t>DALARNAS LÄN</t>
        </is>
      </c>
      <c r="G339" t="inlineStr">
        <is>
          <t>BORLÄNGE</t>
        </is>
      </c>
      <c r="I339" t="n">
        <v>2.8</v>
      </c>
      <c r="J339" t="n">
        <v>0</v>
      </c>
      <c r="K339" t="n">
        <v>0</v>
      </c>
      <c r="L339" t="n">
        <v>0</v>
      </c>
      <c r="M339" t="n">
        <v>0</v>
      </c>
      <c r="N339" t="n">
        <v>0</v>
      </c>
      <c r="O339" t="n">
        <v>0</v>
      </c>
      <c r="P339" t="n">
        <v>0</v>
      </c>
      <c r="Q339" t="n">
        <v>0</v>
      </c>
      <c r="R339" t="n">
        <v>0</v>
      </c>
      <c r="S339" t="n">
        <v>0</v>
      </c>
      <c r="T339" t="n">
        <v>0</v>
      </c>
      <c r="U339" s="2" t="inlineStr"/>
    </row>
    <row r="340" ht="15" customHeight="1">
      <c r="A340" t="inlineStr">
        <is>
          <t>A 16883-2024</t>
        </is>
      </c>
      <c r="B340" t="inlineStr">
        <is>
          <t>avverkningsanmälan</t>
        </is>
      </c>
      <c r="C340" t="inlineStr">
        <is>
          <t>Föryngringsavverkning</t>
        </is>
      </c>
      <c r="D340" s="1" t="n">
        <v>45411</v>
      </c>
      <c r="E340" s="1" t="n">
        <v>46218</v>
      </c>
      <c r="F340" t="inlineStr">
        <is>
          <t>DALARNAS LÄN</t>
        </is>
      </c>
      <c r="G340" t="inlineStr">
        <is>
          <t>BORLÄNGE</t>
        </is>
      </c>
      <c r="I340" t="n">
        <v>0.4</v>
      </c>
      <c r="J340" t="n">
        <v>0</v>
      </c>
      <c r="K340" t="n">
        <v>0</v>
      </c>
      <c r="L340" t="n">
        <v>0</v>
      </c>
      <c r="M340" t="n">
        <v>0</v>
      </c>
      <c r="N340" t="n">
        <v>0</v>
      </c>
      <c r="O340" t="n">
        <v>0</v>
      </c>
      <c r="P340" t="n">
        <v>0</v>
      </c>
      <c r="Q340" t="n">
        <v>0</v>
      </c>
      <c r="R340" t="n">
        <v>0</v>
      </c>
      <c r="S340" t="n">
        <v>0</v>
      </c>
      <c r="T340" t="n">
        <v>0</v>
      </c>
      <c r="U340" s="2" t="inlineStr"/>
    </row>
    <row r="341" ht="15" customHeight="1">
      <c r="A341" t="inlineStr">
        <is>
          <t>A 13571-2026</t>
        </is>
      </c>
      <c r="B341" t="inlineStr">
        <is>
          <t>avverkningsanmälan</t>
        </is>
      </c>
      <c r="C341" t="inlineStr">
        <is>
          <t>Föryngringsavverkning</t>
        </is>
      </c>
      <c r="D341" s="1" t="n">
        <v>46095</v>
      </c>
      <c r="E341" s="1" t="n">
        <v>46218</v>
      </c>
      <c r="F341" t="inlineStr">
        <is>
          <t>DALARNAS LÄN</t>
        </is>
      </c>
      <c r="G341" t="inlineStr">
        <is>
          <t>BORLÄNGE</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36696-2025</t>
        </is>
      </c>
      <c r="B342" t="inlineStr">
        <is>
          <t>avverkningsanmälan</t>
        </is>
      </c>
      <c r="C342" t="inlineStr">
        <is>
          <t>Föryngringsavverkning</t>
        </is>
      </c>
      <c r="D342" s="1" t="n">
        <v>45873</v>
      </c>
      <c r="E342" s="1" t="n">
        <v>46218</v>
      </c>
      <c r="F342" t="inlineStr">
        <is>
          <t>DALARNAS LÄN</t>
        </is>
      </c>
      <c r="G342" t="inlineStr">
        <is>
          <t>BORLÄNGE</t>
        </is>
      </c>
      <c r="I342" t="n">
        <v>6</v>
      </c>
      <c r="J342" t="n">
        <v>0</v>
      </c>
      <c r="K342" t="n">
        <v>0</v>
      </c>
      <c r="L342" t="n">
        <v>0</v>
      </c>
      <c r="M342" t="n">
        <v>0</v>
      </c>
      <c r="N342" t="n">
        <v>0</v>
      </c>
      <c r="O342" t="n">
        <v>0</v>
      </c>
      <c r="P342" t="n">
        <v>0</v>
      </c>
      <c r="Q342" t="n">
        <v>0</v>
      </c>
      <c r="R342" t="n">
        <v>0</v>
      </c>
      <c r="S342" t="n">
        <v>0</v>
      </c>
      <c r="T342" t="n">
        <v>0</v>
      </c>
      <c r="U342" s="2" t="inlineStr"/>
    </row>
    <row r="343" ht="15" customHeight="1">
      <c r="A343" t="inlineStr">
        <is>
          <t>A 4129-2026</t>
        </is>
      </c>
      <c r="B343" t="inlineStr">
        <is>
          <t>avverkningsanmälan</t>
        </is>
      </c>
      <c r="C343" t="inlineStr">
        <is>
          <t>Föryngringsavverkning</t>
        </is>
      </c>
      <c r="D343" s="1" t="n">
        <v>46044</v>
      </c>
      <c r="E343" s="1" t="n">
        <v>46218</v>
      </c>
      <c r="F343" t="inlineStr">
        <is>
          <t>DALARNAS LÄN</t>
        </is>
      </c>
      <c r="G343" t="inlineStr">
        <is>
          <t>BORLÄNGE</t>
        </is>
      </c>
      <c r="H343" t="inlineStr">
        <is>
          <t>Bergvik skog väst AB</t>
        </is>
      </c>
      <c r="I343" t="n">
        <v>23.9</v>
      </c>
      <c r="J343" t="n">
        <v>0</v>
      </c>
      <c r="K343" t="n">
        <v>0</v>
      </c>
      <c r="L343" t="n">
        <v>0</v>
      </c>
      <c r="M343" t="n">
        <v>0</v>
      </c>
      <c r="N343" t="n">
        <v>0</v>
      </c>
      <c r="O343" t="n">
        <v>0</v>
      </c>
      <c r="P343" t="n">
        <v>0</v>
      </c>
      <c r="Q343" t="n">
        <v>0</v>
      </c>
      <c r="R343" t="n">
        <v>0</v>
      </c>
      <c r="S343" t="n">
        <v>0</v>
      </c>
      <c r="T343" t="n">
        <v>0</v>
      </c>
      <c r="U343" s="2" t="inlineStr"/>
    </row>
    <row r="344" ht="15" customHeight="1">
      <c r="A344" t="inlineStr">
        <is>
          <t>A 45083-2021</t>
        </is>
      </c>
      <c r="B344" t="inlineStr">
        <is>
          <t>avverkningsanmälan</t>
        </is>
      </c>
      <c r="C344" t="inlineStr">
        <is>
          <t>Föryngringsavverkning</t>
        </is>
      </c>
      <c r="D344" s="1" t="n">
        <v>44438</v>
      </c>
      <c r="E344" s="1" t="n">
        <v>46218</v>
      </c>
      <c r="F344" t="inlineStr">
        <is>
          <t>DALARNAS LÄN</t>
        </is>
      </c>
      <c r="G344" t="inlineStr">
        <is>
          <t>BORLÄNGE</t>
        </is>
      </c>
      <c r="H344" t="inlineStr">
        <is>
          <t>Bergvik skog väst AB</t>
        </is>
      </c>
      <c r="I344" t="n">
        <v>3.2</v>
      </c>
      <c r="J344" t="n">
        <v>0</v>
      </c>
      <c r="K344" t="n">
        <v>0</v>
      </c>
      <c r="L344" t="n">
        <v>0</v>
      </c>
      <c r="M344" t="n">
        <v>0</v>
      </c>
      <c r="N344" t="n">
        <v>0</v>
      </c>
      <c r="O344" t="n">
        <v>0</v>
      </c>
      <c r="P344" t="n">
        <v>0</v>
      </c>
      <c r="Q344" t="n">
        <v>0</v>
      </c>
      <c r="R344" t="n">
        <v>0</v>
      </c>
      <c r="S344" t="n">
        <v>0</v>
      </c>
      <c r="T344" t="n">
        <v>0</v>
      </c>
      <c r="U344" s="2" t="inlineStr"/>
    </row>
    <row r="345" ht="15" customHeight="1">
      <c r="A345" t="inlineStr">
        <is>
          <t>A 59633-2021</t>
        </is>
      </c>
      <c r="B345" t="inlineStr">
        <is>
          <t>avverkningsanmälan</t>
        </is>
      </c>
      <c r="C345" t="inlineStr">
        <is>
          <t>Föryngringsavverkning</t>
        </is>
      </c>
      <c r="D345" s="1" t="n">
        <v>44493</v>
      </c>
      <c r="E345" s="1" t="n">
        <v>46218</v>
      </c>
      <c r="F345" t="inlineStr">
        <is>
          <t>DALARNAS LÄN</t>
        </is>
      </c>
      <c r="G345" t="inlineStr">
        <is>
          <t>BORLÄNGE</t>
        </is>
      </c>
      <c r="I345" t="n">
        <v>3.6</v>
      </c>
      <c r="J345" t="n">
        <v>0</v>
      </c>
      <c r="K345" t="n">
        <v>0</v>
      </c>
      <c r="L345" t="n">
        <v>0</v>
      </c>
      <c r="M345" t="n">
        <v>0</v>
      </c>
      <c r="N345" t="n">
        <v>0</v>
      </c>
      <c r="O345" t="n">
        <v>0</v>
      </c>
      <c r="P345" t="n">
        <v>0</v>
      </c>
      <c r="Q345" t="n">
        <v>0</v>
      </c>
      <c r="R345" t="n">
        <v>0</v>
      </c>
      <c r="S345" t="n">
        <v>0</v>
      </c>
      <c r="T345" t="n">
        <v>0</v>
      </c>
      <c r="U345" s="2" t="inlineStr"/>
    </row>
    <row r="346" ht="15" customHeight="1">
      <c r="A346" t="inlineStr">
        <is>
          <t>A 7194-2025</t>
        </is>
      </c>
      <c r="B346" t="inlineStr">
        <is>
          <t>avverkningsanmälan</t>
        </is>
      </c>
      <c r="C346" t="inlineStr">
        <is>
          <t>Föryngringsavverkning</t>
        </is>
      </c>
      <c r="D346" s="1" t="n">
        <v>45702</v>
      </c>
      <c r="E346" s="1" t="n">
        <v>46218</v>
      </c>
      <c r="F346" t="inlineStr">
        <is>
          <t>DALARNAS LÄN</t>
        </is>
      </c>
      <c r="G346" t="inlineStr">
        <is>
          <t>BORLÄNGE</t>
        </is>
      </c>
      <c r="I346" t="n">
        <v>3.5</v>
      </c>
      <c r="J346" t="n">
        <v>0</v>
      </c>
      <c r="K346" t="n">
        <v>0</v>
      </c>
      <c r="L346" t="n">
        <v>0</v>
      </c>
      <c r="M346" t="n">
        <v>0</v>
      </c>
      <c r="N346" t="n">
        <v>0</v>
      </c>
      <c r="O346" t="n">
        <v>0</v>
      </c>
      <c r="P346" t="n">
        <v>0</v>
      </c>
      <c r="Q346" t="n">
        <v>0</v>
      </c>
      <c r="R346" t="n">
        <v>0</v>
      </c>
      <c r="S346" t="n">
        <v>0</v>
      </c>
      <c r="T346" t="n">
        <v>0</v>
      </c>
      <c r="U346" s="2" t="inlineStr"/>
    </row>
    <row r="347" ht="15" customHeight="1">
      <c r="A347" t="inlineStr">
        <is>
          <t>A 37034-2025</t>
        </is>
      </c>
      <c r="B347" t="inlineStr">
        <is>
          <t>avverkningsanmälan</t>
        </is>
      </c>
      <c r="C347" t="inlineStr">
        <is>
          <t>Avverkning för annat ändamål</t>
        </is>
      </c>
      <c r="D347" s="1" t="n">
        <v>45874</v>
      </c>
      <c r="E347" s="1" t="n">
        <v>46218</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61396-2021</t>
        </is>
      </c>
      <c r="B348" t="inlineStr">
        <is>
          <t>avverkningsanmälan</t>
        </is>
      </c>
      <c r="C348" t="inlineStr">
        <is>
          <t>Föryngringsavverkning</t>
        </is>
      </c>
      <c r="D348" s="1" t="n">
        <v>44500</v>
      </c>
      <c r="E348" s="1" t="n">
        <v>46218</v>
      </c>
      <c r="F348" t="inlineStr">
        <is>
          <t>DALARNAS LÄN</t>
        </is>
      </c>
      <c r="G348" t="inlineStr">
        <is>
          <t>BORLÄNGE</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37221-2025</t>
        </is>
      </c>
      <c r="B349" t="inlineStr">
        <is>
          <t>avverkningsanmälan</t>
        </is>
      </c>
      <c r="C349" t="inlineStr">
        <is>
          <t>Föryngringsavverkning</t>
        </is>
      </c>
      <c r="D349" s="1" t="n">
        <v>45875</v>
      </c>
      <c r="E349" s="1" t="n">
        <v>46218</v>
      </c>
      <c r="F349" t="inlineStr">
        <is>
          <t>DALARNAS LÄN</t>
        </is>
      </c>
      <c r="G349" t="inlineStr">
        <is>
          <t>BORLÄNGE</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37223-2025</t>
        </is>
      </c>
      <c r="B350" t="inlineStr">
        <is>
          <t>avverkningsanmälan</t>
        </is>
      </c>
      <c r="C350" t="inlineStr">
        <is>
          <t>Föryngringsavverkning</t>
        </is>
      </c>
      <c r="D350" s="1" t="n">
        <v>45875</v>
      </c>
      <c r="E350" s="1" t="n">
        <v>46218</v>
      </c>
      <c r="F350" t="inlineStr">
        <is>
          <t>DALARNAS LÄN</t>
        </is>
      </c>
      <c r="G350" t="inlineStr">
        <is>
          <t>BORLÄNGE</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26341-2026</t>
        </is>
      </c>
      <c r="B351" t="inlineStr">
        <is>
          <t>avverkningsanmälan</t>
        </is>
      </c>
      <c r="C351" t="inlineStr">
        <is>
          <t>Föryngringsavverkning</t>
        </is>
      </c>
      <c r="D351" s="1" t="n">
        <v>46182</v>
      </c>
      <c r="E351" s="1" t="n">
        <v>46218</v>
      </c>
      <c r="F351" t="inlineStr">
        <is>
          <t>DALARNAS LÄN</t>
        </is>
      </c>
      <c r="G351" t="inlineStr">
        <is>
          <t>BORLÄNGE</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3506-2026</t>
        </is>
      </c>
      <c r="B352" t="inlineStr">
        <is>
          <t>avverkningsanmälan</t>
        </is>
      </c>
      <c r="C352" t="inlineStr">
        <is>
          <t>Föryngringsavverkning</t>
        </is>
      </c>
      <c r="D352" s="1" t="n">
        <v>46042</v>
      </c>
      <c r="E352" s="1" t="n">
        <v>46218</v>
      </c>
      <c r="F352" t="inlineStr">
        <is>
          <t>DALARNAS LÄN</t>
        </is>
      </c>
      <c r="G352" t="inlineStr">
        <is>
          <t>BORLÄNGE</t>
        </is>
      </c>
      <c r="I352" t="n">
        <v>9.199999999999999</v>
      </c>
      <c r="J352" t="n">
        <v>0</v>
      </c>
      <c r="K352" t="n">
        <v>0</v>
      </c>
      <c r="L352" t="n">
        <v>0</v>
      </c>
      <c r="M352" t="n">
        <v>0</v>
      </c>
      <c r="N352" t="n">
        <v>0</v>
      </c>
      <c r="O352" t="n">
        <v>0</v>
      </c>
      <c r="P352" t="n">
        <v>0</v>
      </c>
      <c r="Q352" t="n">
        <v>0</v>
      </c>
      <c r="R352" t="n">
        <v>0</v>
      </c>
      <c r="S352" t="n">
        <v>0</v>
      </c>
      <c r="T352" t="n">
        <v>0</v>
      </c>
      <c r="U352" s="2" t="inlineStr"/>
    </row>
    <row r="353" ht="15" customHeight="1">
      <c r="A353" t="inlineStr">
        <is>
          <t>A 9430-2026</t>
        </is>
      </c>
      <c r="B353" t="inlineStr">
        <is>
          <t>avverkningsanmälan</t>
        </is>
      </c>
      <c r="C353" t="inlineStr">
        <is>
          <t>Föryngringsavverkning</t>
        </is>
      </c>
      <c r="D353" s="1" t="n">
        <v>46071</v>
      </c>
      <c r="E353" s="1" t="n">
        <v>46218</v>
      </c>
      <c r="F353" t="inlineStr">
        <is>
          <t>DALARNAS LÄN</t>
        </is>
      </c>
      <c r="G353" t="inlineStr">
        <is>
          <t>BORLÄNGE</t>
        </is>
      </c>
      <c r="H353" t="inlineStr">
        <is>
          <t>Kommuner</t>
        </is>
      </c>
      <c r="I353" t="n">
        <v>5.6</v>
      </c>
      <c r="J353" t="n">
        <v>0</v>
      </c>
      <c r="K353" t="n">
        <v>0</v>
      </c>
      <c r="L353" t="n">
        <v>0</v>
      </c>
      <c r="M353" t="n">
        <v>0</v>
      </c>
      <c r="N353" t="n">
        <v>0</v>
      </c>
      <c r="O353" t="n">
        <v>0</v>
      </c>
      <c r="P353" t="n">
        <v>0</v>
      </c>
      <c r="Q353" t="n">
        <v>0</v>
      </c>
      <c r="R353" t="n">
        <v>0</v>
      </c>
      <c r="S353" t="n">
        <v>0</v>
      </c>
      <c r="T353" t="n">
        <v>0</v>
      </c>
      <c r="U353" s="2" t="inlineStr"/>
    </row>
    <row r="354" ht="15" customHeight="1">
      <c r="A354" t="inlineStr">
        <is>
          <t>A 37743-2025</t>
        </is>
      </c>
      <c r="B354" t="inlineStr">
        <is>
          <t>avverkningsanmälan</t>
        </is>
      </c>
      <c r="C354" t="inlineStr">
        <is>
          <t>Föryngringsavverkning</t>
        </is>
      </c>
      <c r="D354" s="1" t="n">
        <v>45880</v>
      </c>
      <c r="E354" s="1" t="n">
        <v>46218</v>
      </c>
      <c r="F354" t="inlineStr">
        <is>
          <t>DALARNAS LÄN</t>
        </is>
      </c>
      <c r="G354" t="inlineStr">
        <is>
          <t>BORLÄNGE</t>
        </is>
      </c>
      <c r="H354" t="inlineStr">
        <is>
          <t>Kommuner</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37741-2025</t>
        </is>
      </c>
      <c r="B355" t="inlineStr">
        <is>
          <t>avverkningsanmälan</t>
        </is>
      </c>
      <c r="C355" t="inlineStr">
        <is>
          <t>Föryngringsavverkning</t>
        </is>
      </c>
      <c r="D355" s="1" t="n">
        <v>45880</v>
      </c>
      <c r="E355" s="1" t="n">
        <v>46218</v>
      </c>
      <c r="F355" t="inlineStr">
        <is>
          <t>DALARNAS LÄN</t>
        </is>
      </c>
      <c r="G355" t="inlineStr">
        <is>
          <t>BORLÄNGE</t>
        </is>
      </c>
      <c r="H355" t="inlineStr">
        <is>
          <t>Kommuner</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58237-2021</t>
        </is>
      </c>
      <c r="B356" t="inlineStr">
        <is>
          <t>avverkningsanmälan</t>
        </is>
      </c>
      <c r="C356" t="inlineStr">
        <is>
          <t>Avverkning för annat ändamål</t>
        </is>
      </c>
      <c r="D356" s="1" t="n">
        <v>44487</v>
      </c>
      <c r="E356" s="1" t="n">
        <v>46218</v>
      </c>
      <c r="F356" t="inlineStr">
        <is>
          <t>DALARNAS LÄN</t>
        </is>
      </c>
      <c r="G356" t="inlineStr">
        <is>
          <t>BORLÄNGE</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40570-2021</t>
        </is>
      </c>
      <c r="B357" t="inlineStr">
        <is>
          <t>avverkningsanmälan</t>
        </is>
      </c>
      <c r="C357" t="inlineStr">
        <is>
          <t>Avverkning för annat ändamål</t>
        </is>
      </c>
      <c r="D357" s="1" t="n">
        <v>44420</v>
      </c>
      <c r="E357" s="1" t="n">
        <v>46218</v>
      </c>
      <c r="F357" t="inlineStr">
        <is>
          <t>DALARNAS LÄN</t>
        </is>
      </c>
      <c r="G357" t="inlineStr">
        <is>
          <t>BORLÄNGE</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2831-2026</t>
        </is>
      </c>
      <c r="B358" t="inlineStr">
        <is>
          <t>avverkningsanmälan</t>
        </is>
      </c>
      <c r="C358" t="inlineStr">
        <is>
          <t>Föryngringsavverkning</t>
        </is>
      </c>
      <c r="D358" s="1" t="n">
        <v>46038</v>
      </c>
      <c r="E358" s="1" t="n">
        <v>46218</v>
      </c>
      <c r="F358" t="inlineStr">
        <is>
          <t>DALARNAS LÄN</t>
        </is>
      </c>
      <c r="G358" t="inlineStr">
        <is>
          <t>BORLÄNGE</t>
        </is>
      </c>
      <c r="I358" t="n">
        <v>11.5</v>
      </c>
      <c r="J358" t="n">
        <v>0</v>
      </c>
      <c r="K358" t="n">
        <v>0</v>
      </c>
      <c r="L358" t="n">
        <v>0</v>
      </c>
      <c r="M358" t="n">
        <v>0</v>
      </c>
      <c r="N358" t="n">
        <v>0</v>
      </c>
      <c r="O358" t="n">
        <v>0</v>
      </c>
      <c r="P358" t="n">
        <v>0</v>
      </c>
      <c r="Q358" t="n">
        <v>0</v>
      </c>
      <c r="R358" t="n">
        <v>0</v>
      </c>
      <c r="S358" t="n">
        <v>0</v>
      </c>
      <c r="T358" t="n">
        <v>0</v>
      </c>
      <c r="U358" s="2" t="inlineStr"/>
    </row>
    <row r="359" ht="15" customHeight="1">
      <c r="A359" t="inlineStr">
        <is>
          <t>A 37739-2025</t>
        </is>
      </c>
      <c r="B359" t="inlineStr">
        <is>
          <t>avverkningsanmälan</t>
        </is>
      </c>
      <c r="C359" t="inlineStr">
        <is>
          <t>Föryngringsavverkning</t>
        </is>
      </c>
      <c r="D359" s="1" t="n">
        <v>45880</v>
      </c>
      <c r="E359" s="1" t="n">
        <v>46218</v>
      </c>
      <c r="F359" t="inlineStr">
        <is>
          <t>DALARNAS LÄN</t>
        </is>
      </c>
      <c r="G359" t="inlineStr">
        <is>
          <t>BORLÄNGE</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38375-2025</t>
        </is>
      </c>
      <c r="B360" t="inlineStr">
        <is>
          <t>avverkningsanmälan</t>
        </is>
      </c>
      <c r="C360" t="inlineStr">
        <is>
          <t>Föryngringsavverkning</t>
        </is>
      </c>
      <c r="D360" s="1" t="n">
        <v>45883</v>
      </c>
      <c r="E360" s="1" t="n">
        <v>46218</v>
      </c>
      <c r="F360" t="inlineStr">
        <is>
          <t>DALARNAS LÄN</t>
        </is>
      </c>
      <c r="G360" t="inlineStr">
        <is>
          <t>BORLÄNGE</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35593-2022</t>
        </is>
      </c>
      <c r="B361" t="inlineStr">
        <is>
          <t>avverkningsanmälan</t>
        </is>
      </c>
      <c r="C361" t="inlineStr">
        <is>
          <t>Föryngringsavverkning</t>
        </is>
      </c>
      <c r="D361" s="1" t="n">
        <v>44799</v>
      </c>
      <c r="E361" s="1" t="n">
        <v>46218</v>
      </c>
      <c r="F361" t="inlineStr">
        <is>
          <t>DALARNAS LÄN</t>
        </is>
      </c>
      <c r="G361" t="inlineStr">
        <is>
          <t>BORLÄNGE</t>
        </is>
      </c>
      <c r="H361" t="inlineStr">
        <is>
          <t>Bergvik skog väst AB</t>
        </is>
      </c>
      <c r="I361" t="n">
        <v>5.1</v>
      </c>
      <c r="J361" t="n">
        <v>0</v>
      </c>
      <c r="K361" t="n">
        <v>0</v>
      </c>
      <c r="L361" t="n">
        <v>0</v>
      </c>
      <c r="M361" t="n">
        <v>0</v>
      </c>
      <c r="N361" t="n">
        <v>0</v>
      </c>
      <c r="O361" t="n">
        <v>0</v>
      </c>
      <c r="P361" t="n">
        <v>0</v>
      </c>
      <c r="Q361" t="n">
        <v>0</v>
      </c>
      <c r="R361" t="n">
        <v>0</v>
      </c>
      <c r="S361" t="n">
        <v>0</v>
      </c>
      <c r="T361" t="n">
        <v>0</v>
      </c>
      <c r="U361" s="2" t="inlineStr"/>
    </row>
    <row r="362" ht="15" customHeight="1">
      <c r="A362" t="inlineStr">
        <is>
          <t>A 38137-2025</t>
        </is>
      </c>
      <c r="B362" t="inlineStr">
        <is>
          <t>avverkningsanmälan</t>
        </is>
      </c>
      <c r="C362" t="inlineStr">
        <is>
          <t>Föryngringsavverkning</t>
        </is>
      </c>
      <c r="D362" s="1" t="n">
        <v>45882</v>
      </c>
      <c r="E362" s="1" t="n">
        <v>46218</v>
      </c>
      <c r="F362" t="inlineStr">
        <is>
          <t>DALARNAS LÄN</t>
        </is>
      </c>
      <c r="G362" t="inlineStr">
        <is>
          <t>BORLÄNGE</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26934-2026</t>
        </is>
      </c>
      <c r="B363" t="inlineStr">
        <is>
          <t>avverkningsanmälan</t>
        </is>
      </c>
      <c r="C363" t="inlineStr">
        <is>
          <t>Föryngringsavverkning</t>
        </is>
      </c>
      <c r="D363" s="1" t="n">
        <v>46185</v>
      </c>
      <c r="E363" s="1" t="n">
        <v>46218</v>
      </c>
      <c r="F363" t="inlineStr">
        <is>
          <t>DALARNAS LÄN</t>
        </is>
      </c>
      <c r="G363" t="inlineStr">
        <is>
          <t>BORLÄNGE</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61751-2025</t>
        </is>
      </c>
      <c r="B364" t="inlineStr">
        <is>
          <t>avverkningsanmälan</t>
        </is>
      </c>
      <c r="C364" t="inlineStr">
        <is>
          <t>Föryngringsavverkning</t>
        </is>
      </c>
      <c r="D364" s="1" t="n">
        <v>46002</v>
      </c>
      <c r="E364" s="1" t="n">
        <v>46218</v>
      </c>
      <c r="F364" t="inlineStr">
        <is>
          <t>DALARNAS LÄN</t>
        </is>
      </c>
      <c r="G364" t="inlineStr">
        <is>
          <t>BORLÄNGE</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57898-2024</t>
        </is>
      </c>
      <c r="B365" t="inlineStr">
        <is>
          <t>avverkningsanmälan</t>
        </is>
      </c>
      <c r="C365" t="inlineStr">
        <is>
          <t>Föryngringsavverkning</t>
        </is>
      </c>
      <c r="D365" s="1" t="n">
        <v>45631</v>
      </c>
      <c r="E365" s="1" t="n">
        <v>46218</v>
      </c>
      <c r="F365" t="inlineStr">
        <is>
          <t>DALARNAS LÄN</t>
        </is>
      </c>
      <c r="G365" t="inlineStr">
        <is>
          <t>BORLÄNGE</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6436-2022</t>
        </is>
      </c>
      <c r="B366" t="inlineStr">
        <is>
          <t>avverkningsanmälan</t>
        </is>
      </c>
      <c r="C366" t="inlineStr">
        <is>
          <t>Föryngringsavverkning</t>
        </is>
      </c>
      <c r="D366" s="1" t="n">
        <v>44601</v>
      </c>
      <c r="E366" s="1" t="n">
        <v>46218</v>
      </c>
      <c r="F366" t="inlineStr">
        <is>
          <t>DALARNAS LÄN</t>
        </is>
      </c>
      <c r="G366" t="inlineStr">
        <is>
          <t>BORLÄNGE</t>
        </is>
      </c>
      <c r="I366" t="n">
        <v>4.2</v>
      </c>
      <c r="J366" t="n">
        <v>0</v>
      </c>
      <c r="K366" t="n">
        <v>0</v>
      </c>
      <c r="L366" t="n">
        <v>0</v>
      </c>
      <c r="M366" t="n">
        <v>0</v>
      </c>
      <c r="N366" t="n">
        <v>0</v>
      </c>
      <c r="O366" t="n">
        <v>0</v>
      </c>
      <c r="P366" t="n">
        <v>0</v>
      </c>
      <c r="Q366" t="n">
        <v>0</v>
      </c>
      <c r="R366" t="n">
        <v>0</v>
      </c>
      <c r="S366" t="n">
        <v>0</v>
      </c>
      <c r="T366" t="n">
        <v>0</v>
      </c>
      <c r="U366" s="2" t="inlineStr"/>
    </row>
    <row r="367" ht="15" customHeight="1">
      <c r="A367" t="inlineStr">
        <is>
          <t>A 21992-2023</t>
        </is>
      </c>
      <c r="B367" t="inlineStr">
        <is>
          <t>avverkningsanmälan</t>
        </is>
      </c>
      <c r="C367" t="inlineStr">
        <is>
          <t>Föryngringsavverkning</t>
        </is>
      </c>
      <c r="D367" s="1" t="n">
        <v>45068</v>
      </c>
      <c r="E367" s="1" t="n">
        <v>46218</v>
      </c>
      <c r="F367" t="inlineStr">
        <is>
          <t>DALARNAS LÄN</t>
        </is>
      </c>
      <c r="G367" t="inlineStr">
        <is>
          <t>BORLÄNGE</t>
        </is>
      </c>
      <c r="I367" t="n">
        <v>4.4</v>
      </c>
      <c r="J367" t="n">
        <v>0</v>
      </c>
      <c r="K367" t="n">
        <v>0</v>
      </c>
      <c r="L367" t="n">
        <v>0</v>
      </c>
      <c r="M367" t="n">
        <v>0</v>
      </c>
      <c r="N367" t="n">
        <v>0</v>
      </c>
      <c r="O367" t="n">
        <v>0</v>
      </c>
      <c r="P367" t="n">
        <v>0</v>
      </c>
      <c r="Q367" t="n">
        <v>0</v>
      </c>
      <c r="R367" t="n">
        <v>0</v>
      </c>
      <c r="S367" t="n">
        <v>0</v>
      </c>
      <c r="T367" t="n">
        <v>0</v>
      </c>
      <c r="U367" s="2" t="inlineStr"/>
    </row>
    <row r="368" ht="15" customHeight="1">
      <c r="A368" t="inlineStr">
        <is>
          <t>A 6324-2026</t>
        </is>
      </c>
      <c r="B368" t="inlineStr">
        <is>
          <t>avverkningsanmälan</t>
        </is>
      </c>
      <c r="C368" t="inlineStr">
        <is>
          <t>Föryngringsavverkning</t>
        </is>
      </c>
      <c r="D368" s="1" t="n">
        <v>46055</v>
      </c>
      <c r="E368" s="1" t="n">
        <v>46218</v>
      </c>
      <c r="F368" t="inlineStr">
        <is>
          <t>DALARNAS LÄN</t>
        </is>
      </c>
      <c r="G368" t="inlineStr">
        <is>
          <t>BORLÄNGE</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8488-2026</t>
        </is>
      </c>
      <c r="B369" t="inlineStr">
        <is>
          <t>avverkningsanmälan</t>
        </is>
      </c>
      <c r="C369" t="inlineStr">
        <is>
          <t>Föryngringsavverkning</t>
        </is>
      </c>
      <c r="D369" s="1" t="n">
        <v>46065</v>
      </c>
      <c r="E369" s="1" t="n">
        <v>46218</v>
      </c>
      <c r="F369" t="inlineStr">
        <is>
          <t>DALARNAS LÄN</t>
        </is>
      </c>
      <c r="G369" t="inlineStr">
        <is>
          <t>BORLÄNGE</t>
        </is>
      </c>
      <c r="H369" t="inlineStr">
        <is>
          <t>Bergvik skog väst AB</t>
        </is>
      </c>
      <c r="I369" t="n">
        <v>3.6</v>
      </c>
      <c r="J369" t="n">
        <v>0</v>
      </c>
      <c r="K369" t="n">
        <v>0</v>
      </c>
      <c r="L369" t="n">
        <v>0</v>
      </c>
      <c r="M369" t="n">
        <v>0</v>
      </c>
      <c r="N369" t="n">
        <v>0</v>
      </c>
      <c r="O369" t="n">
        <v>0</v>
      </c>
      <c r="P369" t="n">
        <v>0</v>
      </c>
      <c r="Q369" t="n">
        <v>0</v>
      </c>
      <c r="R369" t="n">
        <v>0</v>
      </c>
      <c r="S369" t="n">
        <v>0</v>
      </c>
      <c r="T369" t="n">
        <v>0</v>
      </c>
      <c r="U369" s="2" t="inlineStr"/>
    </row>
    <row r="370" ht="15" customHeight="1">
      <c r="A370" t="inlineStr">
        <is>
          <t>A 28324-2024</t>
        </is>
      </c>
      <c r="B370" t="inlineStr">
        <is>
          <t>avverkningsanmälan</t>
        </is>
      </c>
      <c r="C370" t="inlineStr">
        <is>
          <t>Föryngringsavverkning</t>
        </is>
      </c>
      <c r="D370" s="1" t="n">
        <v>45477</v>
      </c>
      <c r="E370" s="1" t="n">
        <v>46218</v>
      </c>
      <c r="F370" t="inlineStr">
        <is>
          <t>DALARNAS LÄN</t>
        </is>
      </c>
      <c r="G370" t="inlineStr">
        <is>
          <t>BORLÄNGE</t>
        </is>
      </c>
      <c r="I370" t="n">
        <v>1.2</v>
      </c>
      <c r="J370" t="n">
        <v>0</v>
      </c>
      <c r="K370" t="n">
        <v>0</v>
      </c>
      <c r="L370" t="n">
        <v>0</v>
      </c>
      <c r="M370" t="n">
        <v>0</v>
      </c>
      <c r="N370" t="n">
        <v>0</v>
      </c>
      <c r="O370" t="n">
        <v>0</v>
      </c>
      <c r="P370" t="n">
        <v>0</v>
      </c>
      <c r="Q370" t="n">
        <v>0</v>
      </c>
      <c r="R370" t="n">
        <v>0</v>
      </c>
      <c r="S370" t="n">
        <v>0</v>
      </c>
      <c r="T370" t="n">
        <v>0</v>
      </c>
      <c r="U370" s="2" t="inlineStr"/>
    </row>
    <row r="371" ht="15" customHeight="1">
      <c r="A371" t="inlineStr">
        <is>
          <t>A 5127-2026</t>
        </is>
      </c>
      <c r="B371" t="inlineStr">
        <is>
          <t>avverkningsanmälan</t>
        </is>
      </c>
      <c r="C371" t="inlineStr">
        <is>
          <t>Föryngringsavverkning</t>
        </is>
      </c>
      <c r="D371" s="1" t="n">
        <v>46049</v>
      </c>
      <c r="E371" s="1" t="n">
        <v>46218</v>
      </c>
      <c r="F371" t="inlineStr">
        <is>
          <t>DALARNAS LÄN</t>
        </is>
      </c>
      <c r="G371" t="inlineStr">
        <is>
          <t>BORLÄNGE</t>
        </is>
      </c>
      <c r="H371" t="inlineStr">
        <is>
          <t>Bergvik skog väst AB</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11212-2026</t>
        </is>
      </c>
      <c r="B372" t="inlineStr">
        <is>
          <t>avverkningsanmälan</t>
        </is>
      </c>
      <c r="C372" t="inlineStr">
        <is>
          <t>Föryngringsavverkning</t>
        </is>
      </c>
      <c r="D372" s="1" t="n">
        <v>46080</v>
      </c>
      <c r="E372" s="1" t="n">
        <v>46218</v>
      </c>
      <c r="F372" t="inlineStr">
        <is>
          <t>DALARNAS LÄN</t>
        </is>
      </c>
      <c r="G372" t="inlineStr">
        <is>
          <t>BORLÄNGE</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29810-2022</t>
        </is>
      </c>
      <c r="B373" t="inlineStr">
        <is>
          <t>avverkningsanmälan</t>
        </is>
      </c>
      <c r="C373" t="inlineStr">
        <is>
          <t>Avverkning för annat ändamål</t>
        </is>
      </c>
      <c r="D373" s="1" t="n">
        <v>44755</v>
      </c>
      <c r="E373" s="1" t="n">
        <v>46218</v>
      </c>
      <c r="F373" t="inlineStr">
        <is>
          <t>DALARNAS LÄN</t>
        </is>
      </c>
      <c r="G373" t="inlineStr">
        <is>
          <t>BORLÄNGE</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10156-2025</t>
        </is>
      </c>
      <c r="B374" t="inlineStr">
        <is>
          <t>avverkningsanmälan</t>
        </is>
      </c>
      <c r="C374" t="inlineStr">
        <is>
          <t>Föryngringsavverkning</t>
        </is>
      </c>
      <c r="D374" s="1" t="n">
        <v>45719</v>
      </c>
      <c r="E374" s="1" t="n">
        <v>46218</v>
      </c>
      <c r="F374" t="inlineStr">
        <is>
          <t>DALARNAS LÄN</t>
        </is>
      </c>
      <c r="G374" t="inlineStr">
        <is>
          <t>BORLÄNGE</t>
        </is>
      </c>
      <c r="I374" t="n">
        <v>4.4</v>
      </c>
      <c r="J374" t="n">
        <v>0</v>
      </c>
      <c r="K374" t="n">
        <v>0</v>
      </c>
      <c r="L374" t="n">
        <v>0</v>
      </c>
      <c r="M374" t="n">
        <v>0</v>
      </c>
      <c r="N374" t="n">
        <v>0</v>
      </c>
      <c r="O374" t="n">
        <v>0</v>
      </c>
      <c r="P374" t="n">
        <v>0</v>
      </c>
      <c r="Q374" t="n">
        <v>0</v>
      </c>
      <c r="R374" t="n">
        <v>0</v>
      </c>
      <c r="S374" t="n">
        <v>0</v>
      </c>
      <c r="T374" t="n">
        <v>0</v>
      </c>
      <c r="U374" s="2" t="inlineStr"/>
    </row>
    <row r="375" ht="15" customHeight="1">
      <c r="A375" t="inlineStr">
        <is>
          <t>A 63869-2025</t>
        </is>
      </c>
      <c r="B375" t="inlineStr">
        <is>
          <t>avverkningsanmälan</t>
        </is>
      </c>
      <c r="C375" t="inlineStr">
        <is>
          <t>Föryngringsavverkning</t>
        </is>
      </c>
      <c r="D375" s="1" t="n">
        <v>46020</v>
      </c>
      <c r="E375" s="1" t="n">
        <v>46218</v>
      </c>
      <c r="F375" t="inlineStr">
        <is>
          <t>DALARNAS LÄN</t>
        </is>
      </c>
      <c r="G375" t="inlineStr">
        <is>
          <t>BORLÄNGE</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349-2026</t>
        </is>
      </c>
      <c r="B376" t="inlineStr">
        <is>
          <t>avverkningsanmälan</t>
        </is>
      </c>
      <c r="C376" t="inlineStr">
        <is>
          <t>Föryngringsavverkning</t>
        </is>
      </c>
      <c r="D376" s="1" t="n">
        <v>46027</v>
      </c>
      <c r="E376" s="1" t="n">
        <v>46218</v>
      </c>
      <c r="F376" t="inlineStr">
        <is>
          <t>DALARNAS LÄN</t>
        </is>
      </c>
      <c r="G376" t="inlineStr">
        <is>
          <t>BORLÄNGE</t>
        </is>
      </c>
      <c r="I376" t="n">
        <v>17.3</v>
      </c>
      <c r="J376" t="n">
        <v>0</v>
      </c>
      <c r="K376" t="n">
        <v>0</v>
      </c>
      <c r="L376" t="n">
        <v>0</v>
      </c>
      <c r="M376" t="n">
        <v>0</v>
      </c>
      <c r="N376" t="n">
        <v>0</v>
      </c>
      <c r="O376" t="n">
        <v>0</v>
      </c>
      <c r="P376" t="n">
        <v>0</v>
      </c>
      <c r="Q376" t="n">
        <v>0</v>
      </c>
      <c r="R376" t="n">
        <v>0</v>
      </c>
      <c r="S376" t="n">
        <v>0</v>
      </c>
      <c r="T376" t="n">
        <v>0</v>
      </c>
      <c r="U376" s="2" t="inlineStr"/>
    </row>
    <row r="377" ht="15" customHeight="1">
      <c r="A377" t="inlineStr">
        <is>
          <t>A 21998-2026</t>
        </is>
      </c>
      <c r="B377" t="inlineStr">
        <is>
          <t>avverkningsanmälan</t>
        </is>
      </c>
      <c r="C377" t="inlineStr">
        <is>
          <t>Föryngringsavverkning</t>
        </is>
      </c>
      <c r="D377" s="1" t="n">
        <v>46153</v>
      </c>
      <c r="E377" s="1" t="n">
        <v>46218</v>
      </c>
      <c r="F377" t="inlineStr">
        <is>
          <t>DALARNAS LÄN</t>
        </is>
      </c>
      <c r="G377" t="inlineStr">
        <is>
          <t>BORLÄNGE</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19472-2026</t>
        </is>
      </c>
      <c r="B378" t="inlineStr">
        <is>
          <t>avverkningsanmälan</t>
        </is>
      </c>
      <c r="C378" t="inlineStr">
        <is>
          <t>Avverkning för annat ändamål</t>
        </is>
      </c>
      <c r="D378" s="1" t="n">
        <v>46131</v>
      </c>
      <c r="E378" s="1" t="n">
        <v>46218</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470-2026</t>
        </is>
      </c>
      <c r="B379" t="inlineStr">
        <is>
          <t>avverkningsanmälan</t>
        </is>
      </c>
      <c r="C379" t="inlineStr">
        <is>
          <t>Föryngringsavverkning</t>
        </is>
      </c>
      <c r="D379" s="1" t="n">
        <v>46029</v>
      </c>
      <c r="E379" s="1" t="n">
        <v>46218</v>
      </c>
      <c r="F379" t="inlineStr">
        <is>
          <t>DALARNAS LÄN</t>
        </is>
      </c>
      <c r="G379" t="inlineStr">
        <is>
          <t>BORLÄNGE</t>
        </is>
      </c>
      <c r="H379" t="inlineStr">
        <is>
          <t>Bergvik skog väst AB</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1030-2026</t>
        </is>
      </c>
      <c r="B380" t="inlineStr">
        <is>
          <t>avverkningsanmälan</t>
        </is>
      </c>
      <c r="C380" t="inlineStr">
        <is>
          <t>Föryngringsavverkning</t>
        </is>
      </c>
      <c r="D380" s="1" t="n">
        <v>46030</v>
      </c>
      <c r="E380" s="1" t="n">
        <v>46218</v>
      </c>
      <c r="F380" t="inlineStr">
        <is>
          <t>DALARNAS LÄN</t>
        </is>
      </c>
      <c r="G380" t="inlineStr">
        <is>
          <t>BORLÄNGE</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26216-2023</t>
        </is>
      </c>
      <c r="B381" t="inlineStr">
        <is>
          <t>avverkningsanmälan</t>
        </is>
      </c>
      <c r="C381" t="inlineStr">
        <is>
          <t>Föryngringsavverkning</t>
        </is>
      </c>
      <c r="D381" s="1" t="n">
        <v>45091</v>
      </c>
      <c r="E381" s="1" t="n">
        <v>46218</v>
      </c>
      <c r="F381" t="inlineStr">
        <is>
          <t>DALARNAS LÄN</t>
        </is>
      </c>
      <c r="G381" t="inlineStr">
        <is>
          <t>BORLÄNGE</t>
        </is>
      </c>
      <c r="I381" t="n">
        <v>6.2</v>
      </c>
      <c r="J381" t="n">
        <v>0</v>
      </c>
      <c r="K381" t="n">
        <v>0</v>
      </c>
      <c r="L381" t="n">
        <v>0</v>
      </c>
      <c r="M381" t="n">
        <v>0</v>
      </c>
      <c r="N381" t="n">
        <v>0</v>
      </c>
      <c r="O381" t="n">
        <v>0</v>
      </c>
      <c r="P381" t="n">
        <v>0</v>
      </c>
      <c r="Q381" t="n">
        <v>0</v>
      </c>
      <c r="R381" t="n">
        <v>0</v>
      </c>
      <c r="S381" t="n">
        <v>0</v>
      </c>
      <c r="T381" t="n">
        <v>0</v>
      </c>
      <c r="U381" s="2" t="inlineStr"/>
    </row>
    <row r="382" ht="15" customHeight="1">
      <c r="A382" t="inlineStr">
        <is>
          <t>A 1023-2026</t>
        </is>
      </c>
      <c r="B382" t="inlineStr">
        <is>
          <t>avverkningsanmälan</t>
        </is>
      </c>
      <c r="C382" t="inlineStr">
        <is>
          <t>Föryngringsavverkning</t>
        </is>
      </c>
      <c r="D382" s="1" t="n">
        <v>46030</v>
      </c>
      <c r="E382" s="1" t="n">
        <v>46218</v>
      </c>
      <c r="F382" t="inlineStr">
        <is>
          <t>DALARNAS LÄN</t>
        </is>
      </c>
      <c r="G382" t="inlineStr">
        <is>
          <t>BORLÄNGE</t>
        </is>
      </c>
      <c r="I382" t="n">
        <v>2.5</v>
      </c>
      <c r="J382" t="n">
        <v>0</v>
      </c>
      <c r="K382" t="n">
        <v>0</v>
      </c>
      <c r="L382" t="n">
        <v>0</v>
      </c>
      <c r="M382" t="n">
        <v>0</v>
      </c>
      <c r="N382" t="n">
        <v>0</v>
      </c>
      <c r="O382" t="n">
        <v>0</v>
      </c>
      <c r="P382" t="n">
        <v>0</v>
      </c>
      <c r="Q382" t="n">
        <v>0</v>
      </c>
      <c r="R382" t="n">
        <v>0</v>
      </c>
      <c r="S382" t="n">
        <v>0</v>
      </c>
      <c r="T382" t="n">
        <v>0</v>
      </c>
      <c r="U382" s="2" t="inlineStr"/>
    </row>
    <row r="383" ht="15" customHeight="1">
      <c r="A383" t="inlineStr">
        <is>
          <t>A 1111-2026</t>
        </is>
      </c>
      <c r="B383" t="inlineStr">
        <is>
          <t>avverkningsanmälan</t>
        </is>
      </c>
      <c r="C383" t="inlineStr">
        <is>
          <t>Föryngringsavverkning</t>
        </is>
      </c>
      <c r="D383" s="1" t="n">
        <v>46030</v>
      </c>
      <c r="E383" s="1" t="n">
        <v>46218</v>
      </c>
      <c r="F383" t="inlineStr">
        <is>
          <t>DALARNAS LÄN</t>
        </is>
      </c>
      <c r="G383" t="inlineStr">
        <is>
          <t>BORLÄNGE</t>
        </is>
      </c>
      <c r="I383" t="n">
        <v>2.7</v>
      </c>
      <c r="J383" t="n">
        <v>0</v>
      </c>
      <c r="K383" t="n">
        <v>0</v>
      </c>
      <c r="L383" t="n">
        <v>0</v>
      </c>
      <c r="M383" t="n">
        <v>0</v>
      </c>
      <c r="N383" t="n">
        <v>0</v>
      </c>
      <c r="O383" t="n">
        <v>0</v>
      </c>
      <c r="P383" t="n">
        <v>0</v>
      </c>
      <c r="Q383" t="n">
        <v>0</v>
      </c>
      <c r="R383" t="n">
        <v>0</v>
      </c>
      <c r="S383" t="n">
        <v>0</v>
      </c>
      <c r="T383" t="n">
        <v>0</v>
      </c>
      <c r="U383" s="2" t="inlineStr"/>
    </row>
    <row r="384" ht="15" customHeight="1">
      <c r="A384" t="inlineStr">
        <is>
          <t>A 21946-2026</t>
        </is>
      </c>
      <c r="B384" t="inlineStr">
        <is>
          <t>avverkningsanmälan</t>
        </is>
      </c>
      <c r="C384" t="inlineStr">
        <is>
          <t>Föryngringsavverkning</t>
        </is>
      </c>
      <c r="D384" s="1" t="n">
        <v>46151</v>
      </c>
      <c r="E384" s="1" t="n">
        <v>46218</v>
      </c>
      <c r="F384" t="inlineStr">
        <is>
          <t>DALARNAS LÄN</t>
        </is>
      </c>
      <c r="G384" t="inlineStr">
        <is>
          <t>BORLÄNGE</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2469-2026</t>
        </is>
      </c>
      <c r="B385" t="inlineStr">
        <is>
          <t>avverkningsanmälan</t>
        </is>
      </c>
      <c r="C385" t="inlineStr">
        <is>
          <t>Föryngringsavverkning</t>
        </is>
      </c>
      <c r="D385" s="1" t="n">
        <v>46037</v>
      </c>
      <c r="E385" s="1" t="n">
        <v>46218</v>
      </c>
      <c r="F385" t="inlineStr">
        <is>
          <t>DALARNAS LÄN</t>
        </is>
      </c>
      <c r="G385" t="inlineStr">
        <is>
          <t>BORLÄNGE</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1831-2026</t>
        </is>
      </c>
      <c r="B386" t="inlineStr">
        <is>
          <t>avverkningsanmälan</t>
        </is>
      </c>
      <c r="C386" t="inlineStr">
        <is>
          <t>Föryngringsavverkning</t>
        </is>
      </c>
      <c r="D386" s="1" t="n">
        <v>46035</v>
      </c>
      <c r="E386" s="1" t="n">
        <v>46218</v>
      </c>
      <c r="F386" t="inlineStr">
        <is>
          <t>DALARNAS LÄN</t>
        </is>
      </c>
      <c r="G386" t="inlineStr">
        <is>
          <t>BORLÄNGE</t>
        </is>
      </c>
      <c r="H386" t="inlineStr">
        <is>
          <t>Övriga statliga verk och myndigheter</t>
        </is>
      </c>
      <c r="I386" t="n">
        <v>3.1</v>
      </c>
      <c r="J386" t="n">
        <v>0</v>
      </c>
      <c r="K386" t="n">
        <v>0</v>
      </c>
      <c r="L386" t="n">
        <v>0</v>
      </c>
      <c r="M386" t="n">
        <v>0</v>
      </c>
      <c r="N386" t="n">
        <v>0</v>
      </c>
      <c r="O386" t="n">
        <v>0</v>
      </c>
      <c r="P386" t="n">
        <v>0</v>
      </c>
      <c r="Q386" t="n">
        <v>0</v>
      </c>
      <c r="R386" t="n">
        <v>0</v>
      </c>
      <c r="S386" t="n">
        <v>0</v>
      </c>
      <c r="T386" t="n">
        <v>0</v>
      </c>
      <c r="U386" s="2" t="inlineStr"/>
    </row>
    <row r="387" ht="15" customHeight="1">
      <c r="A387" t="inlineStr">
        <is>
          <t>A 6896-2026</t>
        </is>
      </c>
      <c r="B387" t="inlineStr">
        <is>
          <t>avverkningsanmälan</t>
        </is>
      </c>
      <c r="C387" t="inlineStr">
        <is>
          <t>Föryngringsavverkning</t>
        </is>
      </c>
      <c r="D387" s="1" t="n">
        <v>46057</v>
      </c>
      <c r="E387" s="1" t="n">
        <v>46218</v>
      </c>
      <c r="F387" t="inlineStr">
        <is>
          <t>DALARNAS LÄN</t>
        </is>
      </c>
      <c r="G387" t="inlineStr">
        <is>
          <t>BORLÄNGE</t>
        </is>
      </c>
      <c r="I387" t="n">
        <v>14.4</v>
      </c>
      <c r="J387" t="n">
        <v>0</v>
      </c>
      <c r="K387" t="n">
        <v>0</v>
      </c>
      <c r="L387" t="n">
        <v>0</v>
      </c>
      <c r="M387" t="n">
        <v>0</v>
      </c>
      <c r="N387" t="n">
        <v>0</v>
      </c>
      <c r="O387" t="n">
        <v>0</v>
      </c>
      <c r="P387" t="n">
        <v>0</v>
      </c>
      <c r="Q387" t="n">
        <v>0</v>
      </c>
      <c r="R387" t="n">
        <v>0</v>
      </c>
      <c r="S387" t="n">
        <v>0</v>
      </c>
      <c r="T387" t="n">
        <v>0</v>
      </c>
      <c r="U387" s="2" t="inlineStr"/>
    </row>
    <row r="388" ht="15" customHeight="1">
      <c r="A388" t="inlineStr">
        <is>
          <t>A 2399-2026</t>
        </is>
      </c>
      <c r="B388" t="inlineStr">
        <is>
          <t>avverkningsanmälan</t>
        </is>
      </c>
      <c r="C388" t="inlineStr">
        <is>
          <t>Föryngringsavverkning</t>
        </is>
      </c>
      <c r="D388" s="1" t="n">
        <v>46036</v>
      </c>
      <c r="E388" s="1" t="n">
        <v>46218</v>
      </c>
      <c r="F388" t="inlineStr">
        <is>
          <t>DALARNAS LÄN</t>
        </is>
      </c>
      <c r="G388" t="inlineStr">
        <is>
          <t>BORLÄNGE</t>
        </is>
      </c>
      <c r="I388" t="n">
        <v>5</v>
      </c>
      <c r="J388" t="n">
        <v>0</v>
      </c>
      <c r="K388" t="n">
        <v>0</v>
      </c>
      <c r="L388" t="n">
        <v>0</v>
      </c>
      <c r="M388" t="n">
        <v>0</v>
      </c>
      <c r="N388" t="n">
        <v>0</v>
      </c>
      <c r="O388" t="n">
        <v>0</v>
      </c>
      <c r="P388" t="n">
        <v>0</v>
      </c>
      <c r="Q388" t="n">
        <v>0</v>
      </c>
      <c r="R388" t="n">
        <v>0</v>
      </c>
      <c r="S388" t="n">
        <v>0</v>
      </c>
      <c r="T388" t="n">
        <v>0</v>
      </c>
      <c r="U388" s="2" t="inlineStr"/>
    </row>
    <row r="389" ht="15" customHeight="1">
      <c r="A389" t="inlineStr">
        <is>
          <t>A 15495-2024</t>
        </is>
      </c>
      <c r="B389" t="inlineStr">
        <is>
          <t>avverkningsanmälan</t>
        </is>
      </c>
      <c r="C389" t="inlineStr">
        <is>
          <t>Föryngringsavverkning</t>
        </is>
      </c>
      <c r="D389" s="1" t="n">
        <v>45401</v>
      </c>
      <c r="E389" s="1" t="n">
        <v>46218</v>
      </c>
      <c r="F389" t="inlineStr">
        <is>
          <t>DALARNAS LÄN</t>
        </is>
      </c>
      <c r="G389" t="inlineStr">
        <is>
          <t>BORLÄNGE</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2244-2026</t>
        </is>
      </c>
      <c r="B390" t="inlineStr">
        <is>
          <t>avverkningsanmälan</t>
        </is>
      </c>
      <c r="C390" t="inlineStr">
        <is>
          <t>Föryngringsavverkning</t>
        </is>
      </c>
      <c r="D390" s="1" t="n">
        <v>46036</v>
      </c>
      <c r="E390" s="1" t="n">
        <v>46218</v>
      </c>
      <c r="F390" t="inlineStr">
        <is>
          <t>DALARNAS LÄN</t>
        </is>
      </c>
      <c r="G390" t="inlineStr">
        <is>
          <t>BORLÄNGE</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22429-2026</t>
        </is>
      </c>
      <c r="B391" t="inlineStr">
        <is>
          <t>avverkningsanmälan</t>
        </is>
      </c>
      <c r="C391" t="inlineStr">
        <is>
          <t>Föryngringsavverkning</t>
        </is>
      </c>
      <c r="D391" s="1" t="n">
        <v>46154</v>
      </c>
      <c r="E391" s="1" t="n">
        <v>46218</v>
      </c>
      <c r="F391" t="inlineStr">
        <is>
          <t>DALARNAS LÄN</t>
        </is>
      </c>
      <c r="G391" t="inlineStr">
        <is>
          <t>BORLÄNGE</t>
        </is>
      </c>
      <c r="I391" t="n">
        <v>8.4</v>
      </c>
      <c r="J391" t="n">
        <v>0</v>
      </c>
      <c r="K391" t="n">
        <v>0</v>
      </c>
      <c r="L391" t="n">
        <v>0</v>
      </c>
      <c r="M391" t="n">
        <v>0</v>
      </c>
      <c r="N391" t="n">
        <v>0</v>
      </c>
      <c r="O391" t="n">
        <v>0</v>
      </c>
      <c r="P391" t="n">
        <v>0</v>
      </c>
      <c r="Q391" t="n">
        <v>0</v>
      </c>
      <c r="R391" t="n">
        <v>0</v>
      </c>
      <c r="S391" t="n">
        <v>0</v>
      </c>
      <c r="T391" t="n">
        <v>0</v>
      </c>
      <c r="U391" s="2" t="inlineStr"/>
    </row>
    <row r="392" ht="15" customHeight="1">
      <c r="A392" t="inlineStr">
        <is>
          <t>A 63192-2023</t>
        </is>
      </c>
      <c r="B392" t="inlineStr">
        <is>
          <t>avverkningsanmälan</t>
        </is>
      </c>
      <c r="C392" t="inlineStr">
        <is>
          <t>Föryngringsavverkning</t>
        </is>
      </c>
      <c r="D392" s="1" t="n">
        <v>45273</v>
      </c>
      <c r="E392" s="1" t="n">
        <v>46218</v>
      </c>
      <c r="F392" t="inlineStr">
        <is>
          <t>DALARNAS LÄN</t>
        </is>
      </c>
      <c r="G392" t="inlineStr">
        <is>
          <t>BORLÄNGE</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2160-2026</t>
        </is>
      </c>
      <c r="B393" t="inlineStr">
        <is>
          <t>avverkningsanmälan</t>
        </is>
      </c>
      <c r="C393" t="inlineStr">
        <is>
          <t>Föryngringsavverkning</t>
        </is>
      </c>
      <c r="D393" s="1" t="n">
        <v>46036</v>
      </c>
      <c r="E393" s="1" t="n">
        <v>46218</v>
      </c>
      <c r="F393" t="inlineStr">
        <is>
          <t>DALARNAS LÄN</t>
        </is>
      </c>
      <c r="G393" t="inlineStr">
        <is>
          <t>BORLÄNGE</t>
        </is>
      </c>
      <c r="I393" t="n">
        <v>9.5</v>
      </c>
      <c r="J393" t="n">
        <v>0</v>
      </c>
      <c r="K393" t="n">
        <v>0</v>
      </c>
      <c r="L393" t="n">
        <v>0</v>
      </c>
      <c r="M393" t="n">
        <v>0</v>
      </c>
      <c r="N393" t="n">
        <v>0</v>
      </c>
      <c r="O393" t="n">
        <v>0</v>
      </c>
      <c r="P393" t="n">
        <v>0</v>
      </c>
      <c r="Q393" t="n">
        <v>0</v>
      </c>
      <c r="R393" t="n">
        <v>0</v>
      </c>
      <c r="S393" t="n">
        <v>0</v>
      </c>
      <c r="T393" t="n">
        <v>0</v>
      </c>
      <c r="U393" s="2" t="inlineStr"/>
    </row>
    <row r="394" ht="15" customHeight="1">
      <c r="A394" t="inlineStr">
        <is>
          <t>A 29861-2024</t>
        </is>
      </c>
      <c r="B394" t="inlineStr">
        <is>
          <t>avverkningsanmälan</t>
        </is>
      </c>
      <c r="C394" t="inlineStr">
        <is>
          <t>Föryngringsavverkning</t>
        </is>
      </c>
      <c r="D394" s="1" t="n">
        <v>45485</v>
      </c>
      <c r="E394" s="1" t="n">
        <v>46218</v>
      </c>
      <c r="F394" t="inlineStr">
        <is>
          <t>DALARNAS LÄN</t>
        </is>
      </c>
      <c r="G394" t="inlineStr">
        <is>
          <t>BORLÄNGE</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1599-2026</t>
        </is>
      </c>
      <c r="B395" t="inlineStr">
        <is>
          <t>avverkningsanmälan</t>
        </is>
      </c>
      <c r="C395" t="inlineStr">
        <is>
          <t>Föryngringsavverkning</t>
        </is>
      </c>
      <c r="D395" s="1" t="n">
        <v>46031</v>
      </c>
      <c r="E395" s="1" t="n">
        <v>46218</v>
      </c>
      <c r="F395" t="inlineStr">
        <is>
          <t>DALARNAS LÄN</t>
        </is>
      </c>
      <c r="G395" t="inlineStr">
        <is>
          <t>BORLÄNGE</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8489-2025</t>
        </is>
      </c>
      <c r="B396" t="inlineStr">
        <is>
          <t>avverkningsanmälan</t>
        </is>
      </c>
      <c r="C396" t="inlineStr">
        <is>
          <t>Föryngringsavverkning</t>
        </is>
      </c>
      <c r="D396" s="1" t="n">
        <v>45709</v>
      </c>
      <c r="E396" s="1" t="n">
        <v>46218</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1596-2026</t>
        </is>
      </c>
      <c r="B397" t="inlineStr">
        <is>
          <t>avverkningsanmälan</t>
        </is>
      </c>
      <c r="C397" t="inlineStr">
        <is>
          <t>Föryngringsavverkning</t>
        </is>
      </c>
      <c r="D397" s="1" t="n">
        <v>46031</v>
      </c>
      <c r="E397" s="1" t="n">
        <v>46218</v>
      </c>
      <c r="F397" t="inlineStr">
        <is>
          <t>DALARNAS LÄN</t>
        </is>
      </c>
      <c r="G397" t="inlineStr">
        <is>
          <t>BORLÄNGE</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5133-2026</t>
        </is>
      </c>
      <c r="B398" t="inlineStr">
        <is>
          <t>avverkningsanmälan</t>
        </is>
      </c>
      <c r="C398" t="inlineStr">
        <is>
          <t>Föryngringsavverkning</t>
        </is>
      </c>
      <c r="D398" s="1" t="n">
        <v>46049</v>
      </c>
      <c r="E398" s="1" t="n">
        <v>46218</v>
      </c>
      <c r="F398" t="inlineStr">
        <is>
          <t>DALARNAS LÄN</t>
        </is>
      </c>
      <c r="G398" t="inlineStr">
        <is>
          <t>BORLÄNGE</t>
        </is>
      </c>
      <c r="I398" t="n">
        <v>6.6</v>
      </c>
      <c r="J398" t="n">
        <v>0</v>
      </c>
      <c r="K398" t="n">
        <v>0</v>
      </c>
      <c r="L398" t="n">
        <v>0</v>
      </c>
      <c r="M398" t="n">
        <v>0</v>
      </c>
      <c r="N398" t="n">
        <v>0</v>
      </c>
      <c r="O398" t="n">
        <v>0</v>
      </c>
      <c r="P398" t="n">
        <v>0</v>
      </c>
      <c r="Q398" t="n">
        <v>0</v>
      </c>
      <c r="R398" t="n">
        <v>0</v>
      </c>
      <c r="S398" t="n">
        <v>0</v>
      </c>
      <c r="T398" t="n">
        <v>0</v>
      </c>
      <c r="U398" s="2" t="inlineStr"/>
    </row>
    <row r="399" ht="15" customHeight="1">
      <c r="A399" t="inlineStr">
        <is>
          <t>A 4567-2026</t>
        </is>
      </c>
      <c r="B399" t="inlineStr">
        <is>
          <t>avverkningsanmälan</t>
        </is>
      </c>
      <c r="C399" t="inlineStr">
        <is>
          <t>Föryngringsavverkning</t>
        </is>
      </c>
      <c r="D399" s="1" t="n">
        <v>46047</v>
      </c>
      <c r="E399" s="1" t="n">
        <v>46218</v>
      </c>
      <c r="F399" t="inlineStr">
        <is>
          <t>DALARNAS LÄN</t>
        </is>
      </c>
      <c r="G399" t="inlineStr">
        <is>
          <t>BORLÄNGE</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51858-2023</t>
        </is>
      </c>
      <c r="B400" t="inlineStr">
        <is>
          <t>avverkningsanmälan</t>
        </is>
      </c>
      <c r="C400" t="inlineStr">
        <is>
          <t>Föryngringsavverkning</t>
        </is>
      </c>
      <c r="D400" s="1" t="n">
        <v>45223</v>
      </c>
      <c r="E400" s="1" t="n">
        <v>46218</v>
      </c>
      <c r="F400" t="inlineStr">
        <is>
          <t>DALARNAS LÄN</t>
        </is>
      </c>
      <c r="G400" t="inlineStr">
        <is>
          <t>BORLÄNGE</t>
        </is>
      </c>
      <c r="I400" t="n">
        <v>3.8</v>
      </c>
      <c r="J400" t="n">
        <v>0</v>
      </c>
      <c r="K400" t="n">
        <v>0</v>
      </c>
      <c r="L400" t="n">
        <v>0</v>
      </c>
      <c r="M400" t="n">
        <v>0</v>
      </c>
      <c r="N400" t="n">
        <v>0</v>
      </c>
      <c r="O400" t="n">
        <v>0</v>
      </c>
      <c r="P400" t="n">
        <v>0</v>
      </c>
      <c r="Q400" t="n">
        <v>0</v>
      </c>
      <c r="R400" t="n">
        <v>0</v>
      </c>
      <c r="S400" t="n">
        <v>0</v>
      </c>
      <c r="T400" t="n">
        <v>0</v>
      </c>
      <c r="U400" s="2" t="inlineStr"/>
    </row>
    <row r="401" ht="15" customHeight="1">
      <c r="A401" t="inlineStr">
        <is>
          <t>A 50325-2021</t>
        </is>
      </c>
      <c r="B401" t="inlineStr">
        <is>
          <t>avverkningsanmälan</t>
        </is>
      </c>
      <c r="C401" t="inlineStr">
        <is>
          <t>Avverkning för annat ändamål</t>
        </is>
      </c>
      <c r="D401" s="1" t="n">
        <v>44438</v>
      </c>
      <c r="E401" s="1" t="n">
        <v>46218</v>
      </c>
      <c r="F401" t="inlineStr">
        <is>
          <t>DALARNAS LÄN</t>
        </is>
      </c>
      <c r="G401" t="inlineStr">
        <is>
          <t>BORLÄNGE</t>
        </is>
      </c>
      <c r="H401" t="inlineStr">
        <is>
          <t>Bergvik skog väst AB</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67422-2021</t>
        </is>
      </c>
      <c r="B402" t="inlineStr">
        <is>
          <t>avverkningsanmälan</t>
        </is>
      </c>
      <c r="C402" t="inlineStr">
        <is>
          <t>Föryngringsavverkning</t>
        </is>
      </c>
      <c r="D402" s="1" t="n">
        <v>44524</v>
      </c>
      <c r="E402" s="1" t="n">
        <v>46218</v>
      </c>
      <c r="F402" t="inlineStr">
        <is>
          <t>DALARNAS LÄN</t>
        </is>
      </c>
      <c r="G402" t="inlineStr">
        <is>
          <t>BORLÄNGE</t>
        </is>
      </c>
      <c r="H402" t="inlineStr">
        <is>
          <t>Bergvik skog väst AB</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22997-2026</t>
        </is>
      </c>
      <c r="B403" t="inlineStr">
        <is>
          <t>avverkningsanmälan</t>
        </is>
      </c>
      <c r="C403" t="inlineStr">
        <is>
          <t>Föryngringsavverkning</t>
        </is>
      </c>
      <c r="D403" s="1" t="n">
        <v>46160</v>
      </c>
      <c r="E403" s="1" t="n">
        <v>46218</v>
      </c>
      <c r="F403" t="inlineStr">
        <is>
          <t>DALARNAS LÄN</t>
        </is>
      </c>
      <c r="G403" t="inlineStr">
        <is>
          <t>BORLÄNGE</t>
        </is>
      </c>
      <c r="I403" t="n">
        <v>2.5</v>
      </c>
      <c r="J403" t="n">
        <v>0</v>
      </c>
      <c r="K403" t="n">
        <v>0</v>
      </c>
      <c r="L403" t="n">
        <v>0</v>
      </c>
      <c r="M403" t="n">
        <v>0</v>
      </c>
      <c r="N403" t="n">
        <v>0</v>
      </c>
      <c r="O403" t="n">
        <v>0</v>
      </c>
      <c r="P403" t="n">
        <v>0</v>
      </c>
      <c r="Q403" t="n">
        <v>0</v>
      </c>
      <c r="R403" t="n">
        <v>0</v>
      </c>
      <c r="S403" t="n">
        <v>0</v>
      </c>
      <c r="T403" t="n">
        <v>0</v>
      </c>
      <c r="U403" s="2" t="inlineStr"/>
    </row>
    <row r="404" ht="15" customHeight="1">
      <c r="A404" t="inlineStr">
        <is>
          <t>A 22805-2026</t>
        </is>
      </c>
      <c r="B404" t="inlineStr">
        <is>
          <t>avverkningsanmälan</t>
        </is>
      </c>
      <c r="C404" t="inlineStr">
        <is>
          <t>Föryngringsavverkning</t>
        </is>
      </c>
      <c r="D404" s="1" t="n">
        <v>46159</v>
      </c>
      <c r="E404" s="1" t="n">
        <v>46218</v>
      </c>
      <c r="F404" t="inlineStr">
        <is>
          <t>DALARNAS LÄN</t>
        </is>
      </c>
      <c r="G404" t="inlineStr">
        <is>
          <t>BORLÄNGE</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6331-2026</t>
        </is>
      </c>
      <c r="B405" t="inlineStr">
        <is>
          <t>avverkningsanmälan</t>
        </is>
      </c>
      <c r="C405" t="inlineStr">
        <is>
          <t>Föryngringsavverkning</t>
        </is>
      </c>
      <c r="D405" s="1" t="n">
        <v>46055</v>
      </c>
      <c r="E405" s="1" t="n">
        <v>46218</v>
      </c>
      <c r="F405" t="inlineStr">
        <is>
          <t>DALARNAS LÄN</t>
        </is>
      </c>
      <c r="G405" t="inlineStr">
        <is>
          <t>BORLÄNGE</t>
        </is>
      </c>
      <c r="I405" t="n">
        <v>4.9</v>
      </c>
      <c r="J405" t="n">
        <v>0</v>
      </c>
      <c r="K405" t="n">
        <v>0</v>
      </c>
      <c r="L405" t="n">
        <v>0</v>
      </c>
      <c r="M405" t="n">
        <v>0</v>
      </c>
      <c r="N405" t="n">
        <v>0</v>
      </c>
      <c r="O405" t="n">
        <v>0</v>
      </c>
      <c r="P405" t="n">
        <v>0</v>
      </c>
      <c r="Q405" t="n">
        <v>0</v>
      </c>
      <c r="R405" t="n">
        <v>0</v>
      </c>
      <c r="S405" t="n">
        <v>0</v>
      </c>
      <c r="T405" t="n">
        <v>0</v>
      </c>
      <c r="U405" s="2" t="inlineStr"/>
    </row>
    <row r="406" ht="15" customHeight="1">
      <c r="A406" t="inlineStr">
        <is>
          <t>A 7196-2026</t>
        </is>
      </c>
      <c r="B406" t="inlineStr">
        <is>
          <t>avverkningsanmälan</t>
        </is>
      </c>
      <c r="C406" t="inlineStr">
        <is>
          <t>Föryngringsavverkning</t>
        </is>
      </c>
      <c r="D406" s="1" t="n">
        <v>46058</v>
      </c>
      <c r="E406" s="1" t="n">
        <v>46218</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7198-2026</t>
        </is>
      </c>
      <c r="B407" t="inlineStr">
        <is>
          <t>avverkningsanmälan</t>
        </is>
      </c>
      <c r="C407" t="inlineStr">
        <is>
          <t>Föryngringsavverkning</t>
        </is>
      </c>
      <c r="D407" s="1" t="n">
        <v>46058</v>
      </c>
      <c r="E407" s="1" t="n">
        <v>46218</v>
      </c>
      <c r="F407" t="inlineStr">
        <is>
          <t>DALARNAS LÄN</t>
        </is>
      </c>
      <c r="G407" t="inlineStr">
        <is>
          <t>BORLÄNGE</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10498-2023</t>
        </is>
      </c>
      <c r="B408" t="inlineStr">
        <is>
          <t>avverkningsanmälan</t>
        </is>
      </c>
      <c r="C408" t="inlineStr">
        <is>
          <t>Föryngringsavverkning</t>
        </is>
      </c>
      <c r="D408" s="1" t="n">
        <v>44987</v>
      </c>
      <c r="E408" s="1" t="n">
        <v>46218</v>
      </c>
      <c r="F408" t="inlineStr">
        <is>
          <t>DALARNAS LÄN</t>
        </is>
      </c>
      <c r="G408" t="inlineStr">
        <is>
          <t>BORLÄNGE</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8283-2026</t>
        </is>
      </c>
      <c r="B409" t="inlineStr">
        <is>
          <t>avverkningsanmälan</t>
        </is>
      </c>
      <c r="C409" t="inlineStr">
        <is>
          <t>Föryngringsavverkning</t>
        </is>
      </c>
      <c r="D409" s="1" t="n">
        <v>46063</v>
      </c>
      <c r="E409" s="1" t="n">
        <v>46218</v>
      </c>
      <c r="F409" t="inlineStr">
        <is>
          <t>DALARNAS LÄN</t>
        </is>
      </c>
      <c r="G409" t="inlineStr">
        <is>
          <t>BORLÄNGE</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8116-2026</t>
        </is>
      </c>
      <c r="B410" t="inlineStr">
        <is>
          <t>avverkningsanmälan</t>
        </is>
      </c>
      <c r="C410" t="inlineStr">
        <is>
          <t>Föryngringsavverkning</t>
        </is>
      </c>
      <c r="D410" s="1" t="n">
        <v>46062</v>
      </c>
      <c r="E410" s="1" t="n">
        <v>46218</v>
      </c>
      <c r="F410" t="inlineStr">
        <is>
          <t>DALARNAS LÄN</t>
        </is>
      </c>
      <c r="G410" t="inlineStr">
        <is>
          <t>BORLÄNGE</t>
        </is>
      </c>
      <c r="I410" t="n">
        <v>3.4</v>
      </c>
      <c r="J410" t="n">
        <v>0</v>
      </c>
      <c r="K410" t="n">
        <v>0</v>
      </c>
      <c r="L410" t="n">
        <v>0</v>
      </c>
      <c r="M410" t="n">
        <v>0</v>
      </c>
      <c r="N410" t="n">
        <v>0</v>
      </c>
      <c r="O410" t="n">
        <v>0</v>
      </c>
      <c r="P410" t="n">
        <v>0</v>
      </c>
      <c r="Q410" t="n">
        <v>0</v>
      </c>
      <c r="R410" t="n">
        <v>0</v>
      </c>
      <c r="S410" t="n">
        <v>0</v>
      </c>
      <c r="T410" t="n">
        <v>0</v>
      </c>
      <c r="U410" s="2" t="inlineStr"/>
    </row>
    <row r="411" ht="15" customHeight="1">
      <c r="A411" t="inlineStr">
        <is>
          <t>A 3655-2026</t>
        </is>
      </c>
      <c r="B411" t="inlineStr">
        <is>
          <t>avverkningsanmälan</t>
        </is>
      </c>
      <c r="C411" t="inlineStr">
        <is>
          <t>Föryngringsavverkning</t>
        </is>
      </c>
      <c r="D411" s="1" t="n">
        <v>46043</v>
      </c>
      <c r="E411" s="1" t="n">
        <v>46218</v>
      </c>
      <c r="F411" t="inlineStr">
        <is>
          <t>DALARNAS LÄN</t>
        </is>
      </c>
      <c r="G411" t="inlineStr">
        <is>
          <t>BORLÄNGE</t>
        </is>
      </c>
      <c r="I411" t="n">
        <v>2.9</v>
      </c>
      <c r="J411" t="n">
        <v>0</v>
      </c>
      <c r="K411" t="n">
        <v>0</v>
      </c>
      <c r="L411" t="n">
        <v>0</v>
      </c>
      <c r="M411" t="n">
        <v>0</v>
      </c>
      <c r="N411" t="n">
        <v>0</v>
      </c>
      <c r="O411" t="n">
        <v>0</v>
      </c>
      <c r="P411" t="n">
        <v>0</v>
      </c>
      <c r="Q411" t="n">
        <v>0</v>
      </c>
      <c r="R411" t="n">
        <v>0</v>
      </c>
      <c r="S411" t="n">
        <v>0</v>
      </c>
      <c r="T411" t="n">
        <v>0</v>
      </c>
      <c r="U411" s="2" t="inlineStr"/>
    </row>
    <row r="412" ht="15" customHeight="1">
      <c r="A412" t="inlineStr">
        <is>
          <t>A 7997-2026</t>
        </is>
      </c>
      <c r="B412" t="inlineStr">
        <is>
          <t>avverkningsanmälan</t>
        </is>
      </c>
      <c r="C412" t="inlineStr">
        <is>
          <t>Föryngringsavverkning</t>
        </is>
      </c>
      <c r="D412" s="1" t="n">
        <v>46063</v>
      </c>
      <c r="E412" s="1" t="n">
        <v>46218</v>
      </c>
      <c r="F412" t="inlineStr">
        <is>
          <t>DALARNAS LÄN</t>
        </is>
      </c>
      <c r="G412" t="inlineStr">
        <is>
          <t>BORLÄNGE</t>
        </is>
      </c>
      <c r="H412" t="inlineStr">
        <is>
          <t>Övriga statliga verk och myndigheter</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8333-2026</t>
        </is>
      </c>
      <c r="B413" t="inlineStr">
        <is>
          <t>avverkningsanmälan</t>
        </is>
      </c>
      <c r="C413" t="inlineStr">
        <is>
          <t>Föryngringsavverkning</t>
        </is>
      </c>
      <c r="D413" s="1" t="n">
        <v>46064</v>
      </c>
      <c r="E413" s="1" t="n">
        <v>46218</v>
      </c>
      <c r="F413" t="inlineStr">
        <is>
          <t>DALARNAS LÄN</t>
        </is>
      </c>
      <c r="G413" t="inlineStr">
        <is>
          <t>BORLÄNGE</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8689-2026</t>
        </is>
      </c>
      <c r="B414" t="inlineStr">
        <is>
          <t>avverkningsanmälan</t>
        </is>
      </c>
      <c r="C414" t="inlineStr">
        <is>
          <t>Föryngringsavverkning</t>
        </is>
      </c>
      <c r="D414" s="1" t="n">
        <v>46066</v>
      </c>
      <c r="E414" s="1" t="n">
        <v>46218</v>
      </c>
      <c r="F414" t="inlineStr">
        <is>
          <t>DALARNAS LÄN</t>
        </is>
      </c>
      <c r="G414" t="inlineStr">
        <is>
          <t>BORLÄNGE</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40922-2021</t>
        </is>
      </c>
      <c r="B415" t="inlineStr">
        <is>
          <t>avverkningsanmälan</t>
        </is>
      </c>
      <c r="C415" t="inlineStr">
        <is>
          <t>Föryngringsavverkning</t>
        </is>
      </c>
      <c r="D415" s="1" t="n">
        <v>44421</v>
      </c>
      <c r="E415" s="1" t="n">
        <v>46218</v>
      </c>
      <c r="F415" t="inlineStr">
        <is>
          <t>DALARNAS LÄN</t>
        </is>
      </c>
      <c r="G415" t="inlineStr">
        <is>
          <t>BORLÄNGE</t>
        </is>
      </c>
      <c r="I415" t="n">
        <v>3.9</v>
      </c>
      <c r="J415" t="n">
        <v>0</v>
      </c>
      <c r="K415" t="n">
        <v>0</v>
      </c>
      <c r="L415" t="n">
        <v>0</v>
      </c>
      <c r="M415" t="n">
        <v>0</v>
      </c>
      <c r="N415" t="n">
        <v>0</v>
      </c>
      <c r="O415" t="n">
        <v>0</v>
      </c>
      <c r="P415" t="n">
        <v>0</v>
      </c>
      <c r="Q415" t="n">
        <v>0</v>
      </c>
      <c r="R415" t="n">
        <v>0</v>
      </c>
      <c r="S415" t="n">
        <v>0</v>
      </c>
      <c r="T415" t="n">
        <v>0</v>
      </c>
      <c r="U415" s="2" t="inlineStr"/>
    </row>
    <row r="416" ht="15" customHeight="1">
      <c r="A416" t="inlineStr">
        <is>
          <t>A 70621-2021</t>
        </is>
      </c>
      <c r="B416" t="inlineStr">
        <is>
          <t>avverkningsanmälan</t>
        </is>
      </c>
      <c r="C416" t="inlineStr">
        <is>
          <t>Föryngringsavverkning</t>
        </is>
      </c>
      <c r="D416" s="1" t="n">
        <v>44537</v>
      </c>
      <c r="E416" s="1" t="n">
        <v>46218</v>
      </c>
      <c r="F416" t="inlineStr">
        <is>
          <t>DALARNAS LÄN</t>
        </is>
      </c>
      <c r="G416" t="inlineStr">
        <is>
          <t>BORLÄNGE</t>
        </is>
      </c>
      <c r="I416" t="n">
        <v>3.5</v>
      </c>
      <c r="J416" t="n">
        <v>0</v>
      </c>
      <c r="K416" t="n">
        <v>0</v>
      </c>
      <c r="L416" t="n">
        <v>0</v>
      </c>
      <c r="M416" t="n">
        <v>0</v>
      </c>
      <c r="N416" t="n">
        <v>0</v>
      </c>
      <c r="O416" t="n">
        <v>0</v>
      </c>
      <c r="P416" t="n">
        <v>0</v>
      </c>
      <c r="Q416" t="n">
        <v>0</v>
      </c>
      <c r="R416" t="n">
        <v>0</v>
      </c>
      <c r="S416" t="n">
        <v>0</v>
      </c>
      <c r="T416" t="n">
        <v>0</v>
      </c>
      <c r="U416" s="2" t="inlineStr"/>
    </row>
    <row r="417" ht="15" customHeight="1">
      <c r="A417" t="inlineStr">
        <is>
          <t>A 8877-2026</t>
        </is>
      </c>
      <c r="B417" t="inlineStr">
        <is>
          <t>avverkningsanmälan</t>
        </is>
      </c>
      <c r="C417" t="inlineStr">
        <is>
          <t>Föryngringsavverkning</t>
        </is>
      </c>
      <c r="D417" s="1" t="n">
        <v>46067</v>
      </c>
      <c r="E417" s="1" t="n">
        <v>46218</v>
      </c>
      <c r="F417" t="inlineStr">
        <is>
          <t>DALARNAS LÄN</t>
        </is>
      </c>
      <c r="G417" t="inlineStr">
        <is>
          <t>BORLÄNGE</t>
        </is>
      </c>
      <c r="H417" t="inlineStr">
        <is>
          <t>Bergvik skog väst AB</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383-2022</t>
        </is>
      </c>
      <c r="B418" t="inlineStr">
        <is>
          <t>avverkningsanmälan</t>
        </is>
      </c>
      <c r="C418" t="inlineStr">
        <is>
          <t>Avverkning för annat ändamål</t>
        </is>
      </c>
      <c r="D418" s="1" t="n">
        <v>44565</v>
      </c>
      <c r="E418" s="1" t="n">
        <v>46218</v>
      </c>
      <c r="F418" t="inlineStr">
        <is>
          <t>DALARNAS LÄN</t>
        </is>
      </c>
      <c r="G418" t="inlineStr">
        <is>
          <t>BORLÄNGE</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23923-2026</t>
        </is>
      </c>
      <c r="B419" t="inlineStr">
        <is>
          <t>avverkningsanmälan</t>
        </is>
      </c>
      <c r="C419" t="inlineStr">
        <is>
          <t>Föryngringsavverkning</t>
        </is>
      </c>
      <c r="D419" s="1" t="n">
        <v>46167</v>
      </c>
      <c r="E419" s="1" t="n">
        <v>46218</v>
      </c>
      <c r="F419" t="inlineStr">
        <is>
          <t>DALARNAS LÄN</t>
        </is>
      </c>
      <c r="G419" t="inlineStr">
        <is>
          <t>BORLÄNGE</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30457-2026</t>
        </is>
      </c>
      <c r="B420" t="inlineStr">
        <is>
          <t>avverkningsanmälan</t>
        </is>
      </c>
      <c r="C420" t="inlineStr">
        <is>
          <t>Föryngringsavverkning</t>
        </is>
      </c>
      <c r="D420" s="1" t="n">
        <v>46209</v>
      </c>
      <c r="E420" s="1" t="n">
        <v>46218</v>
      </c>
      <c r="F420" t="inlineStr">
        <is>
          <t>DALARNAS LÄN</t>
        </is>
      </c>
      <c r="G420" t="inlineStr">
        <is>
          <t>BORLÄNGE</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4795-2026</t>
        </is>
      </c>
      <c r="B421" t="inlineStr">
        <is>
          <t>avverkningsanmälan</t>
        </is>
      </c>
      <c r="C421" t="inlineStr">
        <is>
          <t>Föryngringsavverkning</t>
        </is>
      </c>
      <c r="D421" s="1" t="n">
        <v>46048</v>
      </c>
      <c r="E421" s="1" t="n">
        <v>46218</v>
      </c>
      <c r="F421" t="inlineStr">
        <is>
          <t>DALARNAS LÄN</t>
        </is>
      </c>
      <c r="G421" t="inlineStr">
        <is>
          <t>BORLÄNGE</t>
        </is>
      </c>
      <c r="I421" t="n">
        <v>3.9</v>
      </c>
      <c r="J421" t="n">
        <v>0</v>
      </c>
      <c r="K421" t="n">
        <v>0</v>
      </c>
      <c r="L421" t="n">
        <v>0</v>
      </c>
      <c r="M421" t="n">
        <v>0</v>
      </c>
      <c r="N421" t="n">
        <v>0</v>
      </c>
      <c r="O421" t="n">
        <v>0</v>
      </c>
      <c r="P421" t="n">
        <v>0</v>
      </c>
      <c r="Q421" t="n">
        <v>0</v>
      </c>
      <c r="R421" t="n">
        <v>0</v>
      </c>
      <c r="S421" t="n">
        <v>0</v>
      </c>
      <c r="T421" t="n">
        <v>0</v>
      </c>
      <c r="U421" s="2" t="inlineStr"/>
    </row>
    <row r="422" ht="15" customHeight="1">
      <c r="A422" t="inlineStr">
        <is>
          <t>A 9436-2026</t>
        </is>
      </c>
      <c r="B422" t="inlineStr">
        <is>
          <t>avverkningsanmälan</t>
        </is>
      </c>
      <c r="C422" t="inlineStr">
        <is>
          <t>Föryngringsavverkning</t>
        </is>
      </c>
      <c r="D422" s="1" t="n">
        <v>46071</v>
      </c>
      <c r="E422" s="1" t="n">
        <v>46218</v>
      </c>
      <c r="F422" t="inlineStr">
        <is>
          <t>DALARNAS LÄN</t>
        </is>
      </c>
      <c r="G422" t="inlineStr">
        <is>
          <t>BORLÄNGE</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9442-2026</t>
        </is>
      </c>
      <c r="B423" t="inlineStr">
        <is>
          <t>avverkningsanmälan</t>
        </is>
      </c>
      <c r="C423" t="inlineStr">
        <is>
          <t>Föryngringsavverkning</t>
        </is>
      </c>
      <c r="D423" s="1" t="n">
        <v>46071</v>
      </c>
      <c r="E423" s="1" t="n">
        <v>46218</v>
      </c>
      <c r="F423" t="inlineStr">
        <is>
          <t>DALARNAS LÄN</t>
        </is>
      </c>
      <c r="G423" t="inlineStr">
        <is>
          <t>BORLÄNGE</t>
        </is>
      </c>
      <c r="I423" t="n">
        <v>5.6</v>
      </c>
      <c r="J423" t="n">
        <v>0</v>
      </c>
      <c r="K423" t="n">
        <v>0</v>
      </c>
      <c r="L423" t="n">
        <v>0</v>
      </c>
      <c r="M423" t="n">
        <v>0</v>
      </c>
      <c r="N423" t="n">
        <v>0</v>
      </c>
      <c r="O423" t="n">
        <v>0</v>
      </c>
      <c r="P423" t="n">
        <v>0</v>
      </c>
      <c r="Q423" t="n">
        <v>0</v>
      </c>
      <c r="R423" t="n">
        <v>0</v>
      </c>
      <c r="S423" t="n">
        <v>0</v>
      </c>
      <c r="T423" t="n">
        <v>0</v>
      </c>
      <c r="U423" s="2" t="inlineStr"/>
    </row>
    <row r="424" ht="15" customHeight="1">
      <c r="A424" t="inlineStr">
        <is>
          <t>A 9320-2026</t>
        </is>
      </c>
      <c r="B424" t="inlineStr">
        <is>
          <t>avverkningsanmälan</t>
        </is>
      </c>
      <c r="C424" t="inlineStr">
        <is>
          <t>Föryngringsavverkning</t>
        </is>
      </c>
      <c r="D424" s="1" t="n">
        <v>46070</v>
      </c>
      <c r="E424" s="1" t="n">
        <v>46218</v>
      </c>
      <c r="F424" t="inlineStr">
        <is>
          <t>DALARNAS LÄN</t>
        </is>
      </c>
      <c r="G424" t="inlineStr">
        <is>
          <t>BORLÄNGE</t>
        </is>
      </c>
      <c r="H424" t="inlineStr">
        <is>
          <t>Bergvik skog väst AB</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9481-2026</t>
        </is>
      </c>
      <c r="B425" t="inlineStr">
        <is>
          <t>avverkningsanmälan</t>
        </is>
      </c>
      <c r="C425" t="inlineStr">
        <is>
          <t>Föryngringsavverkning</t>
        </is>
      </c>
      <c r="D425" s="1" t="n">
        <v>46071</v>
      </c>
      <c r="E425" s="1" t="n">
        <v>46218</v>
      </c>
      <c r="F425" t="inlineStr">
        <is>
          <t>DALARNAS LÄN</t>
        </is>
      </c>
      <c r="G425" t="inlineStr">
        <is>
          <t>BORLÄNGE</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9896-2026</t>
        </is>
      </c>
      <c r="B426" t="inlineStr">
        <is>
          <t>avverkningsanmälan</t>
        </is>
      </c>
      <c r="C426" t="inlineStr">
        <is>
          <t>Föryngringsavverkning</t>
        </is>
      </c>
      <c r="D426" s="1" t="n">
        <v>46073</v>
      </c>
      <c r="E426" s="1" t="n">
        <v>46218</v>
      </c>
      <c r="F426" t="inlineStr">
        <is>
          <t>DALARNAS LÄN</t>
        </is>
      </c>
      <c r="G426" t="inlineStr">
        <is>
          <t>BORLÄNGE</t>
        </is>
      </c>
      <c r="H426" t="inlineStr">
        <is>
          <t>Bergvik skog väst AB</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9750-2026</t>
        </is>
      </c>
      <c r="B427" t="inlineStr">
        <is>
          <t>avverkningsanmälan</t>
        </is>
      </c>
      <c r="C427" t="inlineStr">
        <is>
          <t>Föryngringsavverkning</t>
        </is>
      </c>
      <c r="D427" s="1" t="n">
        <v>46072</v>
      </c>
      <c r="E427" s="1" t="n">
        <v>46218</v>
      </c>
      <c r="F427" t="inlineStr">
        <is>
          <t>DALARNAS LÄN</t>
        </is>
      </c>
      <c r="G427" t="inlineStr">
        <is>
          <t>BORLÄNGE</t>
        </is>
      </c>
      <c r="H427" t="inlineStr">
        <is>
          <t>Bergvik skog väst AB</t>
        </is>
      </c>
      <c r="I427" t="n">
        <v>4</v>
      </c>
      <c r="J427" t="n">
        <v>0</v>
      </c>
      <c r="K427" t="n">
        <v>0</v>
      </c>
      <c r="L427" t="n">
        <v>0</v>
      </c>
      <c r="M427" t="n">
        <v>0</v>
      </c>
      <c r="N427" t="n">
        <v>0</v>
      </c>
      <c r="O427" t="n">
        <v>0</v>
      </c>
      <c r="P427" t="n">
        <v>0</v>
      </c>
      <c r="Q427" t="n">
        <v>0</v>
      </c>
      <c r="R427" t="n">
        <v>0</v>
      </c>
      <c r="S427" t="n">
        <v>0</v>
      </c>
      <c r="T427" t="n">
        <v>0</v>
      </c>
      <c r="U427" s="2" t="inlineStr"/>
    </row>
    <row r="428" ht="15" customHeight="1">
      <c r="A428" t="inlineStr">
        <is>
          <t>A 10435-2026</t>
        </is>
      </c>
      <c r="B428" t="inlineStr">
        <is>
          <t>avverkningsanmälan</t>
        </is>
      </c>
      <c r="C428" t="inlineStr">
        <is>
          <t>Föryngringsavverkning</t>
        </is>
      </c>
      <c r="D428" s="1" t="n">
        <v>46077</v>
      </c>
      <c r="E428" s="1" t="n">
        <v>46218</v>
      </c>
      <c r="F428" t="inlineStr">
        <is>
          <t>DALARNAS LÄN</t>
        </is>
      </c>
      <c r="G428" t="inlineStr">
        <is>
          <t>BORLÄNGE</t>
        </is>
      </c>
      <c r="I428" t="n">
        <v>4.8</v>
      </c>
      <c r="J428" t="n">
        <v>0</v>
      </c>
      <c r="K428" t="n">
        <v>0</v>
      </c>
      <c r="L428" t="n">
        <v>0</v>
      </c>
      <c r="M428" t="n">
        <v>0</v>
      </c>
      <c r="N428" t="n">
        <v>0</v>
      </c>
      <c r="O428" t="n">
        <v>0</v>
      </c>
      <c r="P428" t="n">
        <v>0</v>
      </c>
      <c r="Q428" t="n">
        <v>0</v>
      </c>
      <c r="R428" t="n">
        <v>0</v>
      </c>
      <c r="S428" t="n">
        <v>0</v>
      </c>
      <c r="T428" t="n">
        <v>0</v>
      </c>
      <c r="U428" s="2" t="inlineStr"/>
    </row>
    <row r="429" ht="15" customHeight="1">
      <c r="A429" t="inlineStr">
        <is>
          <t>A 10331-2026</t>
        </is>
      </c>
      <c r="B429" t="inlineStr">
        <is>
          <t>avverkningsanmälan</t>
        </is>
      </c>
      <c r="C429" t="inlineStr">
        <is>
          <t>Föryngringsavverkning</t>
        </is>
      </c>
      <c r="D429" s="1" t="n">
        <v>46076</v>
      </c>
      <c r="E429" s="1" t="n">
        <v>46218</v>
      </c>
      <c r="F429" t="inlineStr">
        <is>
          <t>DALARNAS LÄN</t>
        </is>
      </c>
      <c r="G429" t="inlineStr">
        <is>
          <t>BORLÄNGE</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12364-2026</t>
        </is>
      </c>
      <c r="B430" t="inlineStr">
        <is>
          <t>avverkningsanmälan</t>
        </is>
      </c>
      <c r="C430" t="inlineStr">
        <is>
          <t>Föryngringsavverkning</t>
        </is>
      </c>
      <c r="D430" s="1" t="n">
        <v>46089</v>
      </c>
      <c r="E430" s="1" t="n">
        <v>46218</v>
      </c>
      <c r="F430" t="inlineStr">
        <is>
          <t>DALARNAS LÄN</t>
        </is>
      </c>
      <c r="G430" t="inlineStr">
        <is>
          <t>BORLÄNGE</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12244-2026</t>
        </is>
      </c>
      <c r="B431" t="inlineStr">
        <is>
          <t>avverkningsanmälan</t>
        </is>
      </c>
      <c r="C431" t="inlineStr">
        <is>
          <t>Föryngringsavverkning</t>
        </is>
      </c>
      <c r="D431" s="1" t="n">
        <v>46087</v>
      </c>
      <c r="E431" s="1" t="n">
        <v>46218</v>
      </c>
      <c r="F431" t="inlineStr">
        <is>
          <t>DALARNAS LÄN</t>
        </is>
      </c>
      <c r="G431" t="inlineStr">
        <is>
          <t>BORLÄNGE</t>
        </is>
      </c>
      <c r="H431" t="inlineStr">
        <is>
          <t>Bergvik skog väst AB</t>
        </is>
      </c>
      <c r="I431" t="n">
        <v>4</v>
      </c>
      <c r="J431" t="n">
        <v>0</v>
      </c>
      <c r="K431" t="n">
        <v>0</v>
      </c>
      <c r="L431" t="n">
        <v>0</v>
      </c>
      <c r="M431" t="n">
        <v>0</v>
      </c>
      <c r="N431" t="n">
        <v>0</v>
      </c>
      <c r="O431" t="n">
        <v>0</v>
      </c>
      <c r="P431" t="n">
        <v>0</v>
      </c>
      <c r="Q431" t="n">
        <v>0</v>
      </c>
      <c r="R431" t="n">
        <v>0</v>
      </c>
      <c r="S431" t="n">
        <v>0</v>
      </c>
      <c r="T431" t="n">
        <v>0</v>
      </c>
      <c r="U431" s="2" t="inlineStr"/>
    </row>
    <row r="432" ht="15" customHeight="1">
      <c r="A432" t="inlineStr">
        <is>
          <t>A 12238-2026</t>
        </is>
      </c>
      <c r="B432" t="inlineStr">
        <is>
          <t>avverkningsanmälan</t>
        </is>
      </c>
      <c r="C432" t="inlineStr">
        <is>
          <t>Föryngringsavverkning</t>
        </is>
      </c>
      <c r="D432" s="1" t="n">
        <v>46087</v>
      </c>
      <c r="E432" s="1" t="n">
        <v>46218</v>
      </c>
      <c r="F432" t="inlineStr">
        <is>
          <t>DALARNAS LÄN</t>
        </is>
      </c>
      <c r="G432" t="inlineStr">
        <is>
          <t>BORLÄNGE</t>
        </is>
      </c>
      <c r="I432" t="n">
        <v>4.9</v>
      </c>
      <c r="J432" t="n">
        <v>0</v>
      </c>
      <c r="K432" t="n">
        <v>0</v>
      </c>
      <c r="L432" t="n">
        <v>0</v>
      </c>
      <c r="M432" t="n">
        <v>0</v>
      </c>
      <c r="N432" t="n">
        <v>0</v>
      </c>
      <c r="O432" t="n">
        <v>0</v>
      </c>
      <c r="P432" t="n">
        <v>0</v>
      </c>
      <c r="Q432" t="n">
        <v>0</v>
      </c>
      <c r="R432" t="n">
        <v>0</v>
      </c>
      <c r="S432" t="n">
        <v>0</v>
      </c>
      <c r="T432" t="n">
        <v>0</v>
      </c>
      <c r="U432" s="2" t="inlineStr"/>
    </row>
    <row r="433" ht="15" customHeight="1">
      <c r="A433" t="inlineStr">
        <is>
          <t>A 24676-2026</t>
        </is>
      </c>
      <c r="B433" t="inlineStr">
        <is>
          <t>avverkningsanmälan</t>
        </is>
      </c>
      <c r="C433" t="inlineStr">
        <is>
          <t>Föryngringsavverkning</t>
        </is>
      </c>
      <c r="D433" s="1" t="n">
        <v>46171</v>
      </c>
      <c r="E433" s="1" t="n">
        <v>46218</v>
      </c>
      <c r="F433" t="inlineStr">
        <is>
          <t>DALARNAS LÄN</t>
        </is>
      </c>
      <c r="G433" t="inlineStr">
        <is>
          <t>BORLÄNGE</t>
        </is>
      </c>
      <c r="H433" t="inlineStr">
        <is>
          <t>Bergvik skog väst AB</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24664-2026</t>
        </is>
      </c>
      <c r="B434" t="inlineStr">
        <is>
          <t>avverkningsanmälan</t>
        </is>
      </c>
      <c r="C434" t="inlineStr">
        <is>
          <t>Föryngringsavverkning</t>
        </is>
      </c>
      <c r="D434" s="1" t="n">
        <v>46171</v>
      </c>
      <c r="E434" s="1" t="n">
        <v>46218</v>
      </c>
      <c r="F434" t="inlineStr">
        <is>
          <t>DALARNAS LÄN</t>
        </is>
      </c>
      <c r="G434" t="inlineStr">
        <is>
          <t>BORLÄNGE</t>
        </is>
      </c>
      <c r="H434" t="inlineStr">
        <is>
          <t>Bergvik skog väst AB</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14802-2026</t>
        </is>
      </c>
      <c r="B435" t="inlineStr">
        <is>
          <t>avverkningsanmälan</t>
        </is>
      </c>
      <c r="C435" t="inlineStr">
        <is>
          <t>Föryngringsavverkning</t>
        </is>
      </c>
      <c r="D435" s="1" t="n">
        <v>46103</v>
      </c>
      <c r="E435" s="1" t="n">
        <v>46218</v>
      </c>
      <c r="F435" t="inlineStr">
        <is>
          <t>DALARNAS LÄN</t>
        </is>
      </c>
      <c r="G435" t="inlineStr">
        <is>
          <t>BORLÄNGE</t>
        </is>
      </c>
      <c r="I435" t="n">
        <v>3.6</v>
      </c>
      <c r="J435" t="n">
        <v>0</v>
      </c>
      <c r="K435" t="n">
        <v>0</v>
      </c>
      <c r="L435" t="n">
        <v>0</v>
      </c>
      <c r="M435" t="n">
        <v>0</v>
      </c>
      <c r="N435" t="n">
        <v>0</v>
      </c>
      <c r="O435" t="n">
        <v>0</v>
      </c>
      <c r="P435" t="n">
        <v>0</v>
      </c>
      <c r="Q435" t="n">
        <v>0</v>
      </c>
      <c r="R435" t="n">
        <v>0</v>
      </c>
      <c r="S435" t="n">
        <v>0</v>
      </c>
      <c r="T435" t="n">
        <v>0</v>
      </c>
      <c r="U435" s="2" t="inlineStr"/>
    </row>
    <row r="436" ht="15" customHeight="1">
      <c r="A436" t="inlineStr">
        <is>
          <t>A 15041-2026</t>
        </is>
      </c>
      <c r="B436" t="inlineStr">
        <is>
          <t>avverkningsanmälan</t>
        </is>
      </c>
      <c r="C436" t="inlineStr">
        <is>
          <t>Föryngringsavverkning</t>
        </is>
      </c>
      <c r="D436" s="1" t="n">
        <v>46104</v>
      </c>
      <c r="E436" s="1" t="n">
        <v>46218</v>
      </c>
      <c r="F436" t="inlineStr">
        <is>
          <t>DALARNAS LÄN</t>
        </is>
      </c>
      <c r="G436" t="inlineStr">
        <is>
          <t>BORLÄNGE</t>
        </is>
      </c>
      <c r="I436" t="n">
        <v>4.9</v>
      </c>
      <c r="J436" t="n">
        <v>0</v>
      </c>
      <c r="K436" t="n">
        <v>0</v>
      </c>
      <c r="L436" t="n">
        <v>0</v>
      </c>
      <c r="M436" t="n">
        <v>0</v>
      </c>
      <c r="N436" t="n">
        <v>0</v>
      </c>
      <c r="O436" t="n">
        <v>0</v>
      </c>
      <c r="P436" t="n">
        <v>0</v>
      </c>
      <c r="Q436" t="n">
        <v>0</v>
      </c>
      <c r="R436" t="n">
        <v>0</v>
      </c>
      <c r="S436" t="n">
        <v>0</v>
      </c>
      <c r="T436" t="n">
        <v>0</v>
      </c>
      <c r="U436" s="2" t="inlineStr"/>
    </row>
    <row r="437" ht="15" customHeight="1">
      <c r="A437" t="inlineStr">
        <is>
          <t>A 14801-2026</t>
        </is>
      </c>
      <c r="B437" t="inlineStr">
        <is>
          <t>avverkningsanmälan</t>
        </is>
      </c>
      <c r="C437" t="inlineStr">
        <is>
          <t>Föryngringsavverkning</t>
        </is>
      </c>
      <c r="D437" s="1" t="n">
        <v>46103</v>
      </c>
      <c r="E437" s="1" t="n">
        <v>46218</v>
      </c>
      <c r="F437" t="inlineStr">
        <is>
          <t>DALARNAS LÄN</t>
        </is>
      </c>
      <c r="G437" t="inlineStr">
        <is>
          <t>BORLÄNGE</t>
        </is>
      </c>
      <c r="I437" t="n">
        <v>5.7</v>
      </c>
      <c r="J437" t="n">
        <v>0</v>
      </c>
      <c r="K437" t="n">
        <v>0</v>
      </c>
      <c r="L437" t="n">
        <v>0</v>
      </c>
      <c r="M437" t="n">
        <v>0</v>
      </c>
      <c r="N437" t="n">
        <v>0</v>
      </c>
      <c r="O437" t="n">
        <v>0</v>
      </c>
      <c r="P437" t="n">
        <v>0</v>
      </c>
      <c r="Q437" t="n">
        <v>0</v>
      </c>
      <c r="R437" t="n">
        <v>0</v>
      </c>
      <c r="S437" t="n">
        <v>0</v>
      </c>
      <c r="T437" t="n">
        <v>0</v>
      </c>
      <c r="U437" s="2" t="inlineStr"/>
    </row>
    <row r="438" ht="15" customHeight="1">
      <c r="A438" t="inlineStr">
        <is>
          <t>A 16191-2026</t>
        </is>
      </c>
      <c r="B438" t="inlineStr">
        <is>
          <t>avverkningsanmälan</t>
        </is>
      </c>
      <c r="C438" t="inlineStr">
        <is>
          <t>Föryngringsavverkning</t>
        </is>
      </c>
      <c r="D438" s="1" t="n">
        <v>46111</v>
      </c>
      <c r="E438" s="1" t="n">
        <v>46218</v>
      </c>
      <c r="F438" t="inlineStr">
        <is>
          <t>DALARNAS LÄN</t>
        </is>
      </c>
      <c r="G438" t="inlineStr">
        <is>
          <t>BORLÄNGE</t>
        </is>
      </c>
      <c r="I438" t="n">
        <v>5.5</v>
      </c>
      <c r="J438" t="n">
        <v>0</v>
      </c>
      <c r="K438" t="n">
        <v>0</v>
      </c>
      <c r="L438" t="n">
        <v>0</v>
      </c>
      <c r="M438" t="n">
        <v>0</v>
      </c>
      <c r="N438" t="n">
        <v>0</v>
      </c>
      <c r="O438" t="n">
        <v>0</v>
      </c>
      <c r="P438" t="n">
        <v>0</v>
      </c>
      <c r="Q438" t="n">
        <v>0</v>
      </c>
      <c r="R438" t="n">
        <v>0</v>
      </c>
      <c r="S438" t="n">
        <v>0</v>
      </c>
      <c r="T438" t="n">
        <v>0</v>
      </c>
      <c r="U438" s="2" t="inlineStr"/>
    </row>
    <row r="439" ht="15" customHeight="1">
      <c r="A439" t="inlineStr">
        <is>
          <t>A 16928-2026</t>
        </is>
      </c>
      <c r="B439" t="inlineStr">
        <is>
          <t>avverkningsanmälan</t>
        </is>
      </c>
      <c r="C439" t="inlineStr">
        <is>
          <t>Föryngringsavverkning</t>
        </is>
      </c>
      <c r="D439" s="1" t="n">
        <v>46113</v>
      </c>
      <c r="E439" s="1" t="n">
        <v>46218</v>
      </c>
      <c r="F439" t="inlineStr">
        <is>
          <t>DALARNAS LÄN</t>
        </is>
      </c>
      <c r="G439" t="inlineStr">
        <is>
          <t>BORLÄNGE</t>
        </is>
      </c>
      <c r="H439" t="inlineStr">
        <is>
          <t>Bergvik skog väst AB</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17168-2026</t>
        </is>
      </c>
      <c r="B440" t="inlineStr">
        <is>
          <t>avverkningsanmälan</t>
        </is>
      </c>
      <c r="C440" t="inlineStr">
        <is>
          <t>Föryngringsavverkning</t>
        </is>
      </c>
      <c r="D440" s="1" t="n">
        <v>46115</v>
      </c>
      <c r="E440" s="1" t="n">
        <v>46218</v>
      </c>
      <c r="F440" t="inlineStr">
        <is>
          <t>DALARNAS LÄN</t>
        </is>
      </c>
      <c r="G440" t="inlineStr">
        <is>
          <t>BORLÄNGE</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17167-2026</t>
        </is>
      </c>
      <c r="B441" t="inlineStr">
        <is>
          <t>avverkningsanmälan</t>
        </is>
      </c>
      <c r="C441" t="inlineStr">
        <is>
          <t>Föryngringsavverkning</t>
        </is>
      </c>
      <c r="D441" s="1" t="n">
        <v>46115</v>
      </c>
      <c r="E441" s="1" t="n">
        <v>46218</v>
      </c>
      <c r="F441" t="inlineStr">
        <is>
          <t>DALARNAS LÄN</t>
        </is>
      </c>
      <c r="G441" t="inlineStr">
        <is>
          <t>BORLÄNGE</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17266-2026</t>
        </is>
      </c>
      <c r="B442" t="inlineStr">
        <is>
          <t>avverkningsanmälan</t>
        </is>
      </c>
      <c r="C442" t="inlineStr">
        <is>
          <t>Föryngringsavverkning</t>
        </is>
      </c>
      <c r="D442" s="1" t="n">
        <v>46119</v>
      </c>
      <c r="E442" s="1" t="n">
        <v>46218</v>
      </c>
      <c r="F442" t="inlineStr">
        <is>
          <t>DALARNAS LÄN</t>
        </is>
      </c>
      <c r="G442" t="inlineStr">
        <is>
          <t>BORLÄNGE</t>
        </is>
      </c>
      <c r="I442" t="n">
        <v>1.5</v>
      </c>
      <c r="J442" t="n">
        <v>0</v>
      </c>
      <c r="K442" t="n">
        <v>0</v>
      </c>
      <c r="L442" t="n">
        <v>0</v>
      </c>
      <c r="M442" t="n">
        <v>0</v>
      </c>
      <c r="N442" t="n">
        <v>0</v>
      </c>
      <c r="O442" t="n">
        <v>0</v>
      </c>
      <c r="P442" t="n">
        <v>0</v>
      </c>
      <c r="Q442" t="n">
        <v>0</v>
      </c>
      <c r="R442" t="n">
        <v>0</v>
      </c>
      <c r="S442" t="n">
        <v>0</v>
      </c>
      <c r="T442" t="n">
        <v>0</v>
      </c>
      <c r="U442" s="2" t="inlineStr"/>
    </row>
    <row r="443" ht="15" customHeight="1">
      <c r="A443" t="inlineStr">
        <is>
          <t>A 13570-2026</t>
        </is>
      </c>
      <c r="B443" t="inlineStr">
        <is>
          <t>avverkningsanmälan</t>
        </is>
      </c>
      <c r="C443" t="inlineStr">
        <is>
          <t>Föryngringsavverkning</t>
        </is>
      </c>
      <c r="D443" s="1" t="n">
        <v>46095</v>
      </c>
      <c r="E443" s="1" t="n">
        <v>46218</v>
      </c>
      <c r="F443" t="inlineStr">
        <is>
          <t>DALARNAS LÄN</t>
        </is>
      </c>
      <c r="G443" t="inlineStr">
        <is>
          <t>BORLÄNGE</t>
        </is>
      </c>
      <c r="I443" t="n">
        <v>22.7</v>
      </c>
      <c r="J443" t="n">
        <v>0</v>
      </c>
      <c r="K443" t="n">
        <v>0</v>
      </c>
      <c r="L443" t="n">
        <v>0</v>
      </c>
      <c r="M443" t="n">
        <v>0</v>
      </c>
      <c r="N443" t="n">
        <v>0</v>
      </c>
      <c r="O443" t="n">
        <v>0</v>
      </c>
      <c r="P443" t="n">
        <v>0</v>
      </c>
      <c r="Q443" t="n">
        <v>0</v>
      </c>
      <c r="R443" t="n">
        <v>0</v>
      </c>
      <c r="S443" t="n">
        <v>0</v>
      </c>
      <c r="T443" t="n">
        <v>0</v>
      </c>
      <c r="U443" s="2" t="inlineStr"/>
    </row>
    <row r="444" ht="15" customHeight="1">
      <c r="A444" t="inlineStr">
        <is>
          <t>A 13569-2026</t>
        </is>
      </c>
      <c r="B444" t="inlineStr">
        <is>
          <t>avverkningsanmälan</t>
        </is>
      </c>
      <c r="C444" t="inlineStr">
        <is>
          <t>Föryngringsavverkning</t>
        </is>
      </c>
      <c r="D444" s="1" t="n">
        <v>46095</v>
      </c>
      <c r="E444" s="1" t="n">
        <v>46218</v>
      </c>
      <c r="F444" t="inlineStr">
        <is>
          <t>DALARNAS LÄN</t>
        </is>
      </c>
      <c r="G444" t="inlineStr">
        <is>
          <t>BORLÄNGE</t>
        </is>
      </c>
      <c r="I444" t="n">
        <v>16.9</v>
      </c>
      <c r="J444" t="n">
        <v>0</v>
      </c>
      <c r="K444" t="n">
        <v>0</v>
      </c>
      <c r="L444" t="n">
        <v>0</v>
      </c>
      <c r="M444" t="n">
        <v>0</v>
      </c>
      <c r="N444" t="n">
        <v>0</v>
      </c>
      <c r="O444" t="n">
        <v>0</v>
      </c>
      <c r="P444" t="n">
        <v>0</v>
      </c>
      <c r="Q444" t="n">
        <v>0</v>
      </c>
      <c r="R444" t="n">
        <v>0</v>
      </c>
      <c r="S444" t="n">
        <v>0</v>
      </c>
      <c r="T444" t="n">
        <v>0</v>
      </c>
      <c r="U444" s="2" t="inlineStr"/>
    </row>
    <row r="445" ht="15" customHeight="1">
      <c r="A445" t="inlineStr">
        <is>
          <t>A 13572-2026</t>
        </is>
      </c>
      <c r="B445" t="inlineStr">
        <is>
          <t>avverkningsanmälan</t>
        </is>
      </c>
      <c r="C445" t="inlineStr">
        <is>
          <t>Föryngringsavverkning</t>
        </is>
      </c>
      <c r="D445" s="1" t="n">
        <v>46095</v>
      </c>
      <c r="E445" s="1" t="n">
        <v>46218</v>
      </c>
      <c r="F445" t="inlineStr">
        <is>
          <t>DALARNAS LÄN</t>
        </is>
      </c>
      <c r="G445" t="inlineStr">
        <is>
          <t>BORLÄNGE</t>
        </is>
      </c>
      <c r="I445" t="n">
        <v>3.2</v>
      </c>
      <c r="J445" t="n">
        <v>0</v>
      </c>
      <c r="K445" t="n">
        <v>0</v>
      </c>
      <c r="L445" t="n">
        <v>0</v>
      </c>
      <c r="M445" t="n">
        <v>0</v>
      </c>
      <c r="N445" t="n">
        <v>0</v>
      </c>
      <c r="O445" t="n">
        <v>0</v>
      </c>
      <c r="P445" t="n">
        <v>0</v>
      </c>
      <c r="Q445" t="n">
        <v>0</v>
      </c>
      <c r="R445" t="n">
        <v>0</v>
      </c>
      <c r="S445" t="n">
        <v>0</v>
      </c>
      <c r="T445" t="n">
        <v>0</v>
      </c>
      <c r="U445" s="2" t="inlineStr"/>
    </row>
    <row r="446" ht="15" customHeight="1">
      <c r="A446" t="inlineStr">
        <is>
          <t>A 25305-2026</t>
        </is>
      </c>
      <c r="B446" t="inlineStr">
        <is>
          <t>avverkningsanmälan</t>
        </is>
      </c>
      <c r="C446" t="inlineStr">
        <is>
          <t>Föryngringsavverkning</t>
        </is>
      </c>
      <c r="D446" s="1" t="n">
        <v>46176</v>
      </c>
      <c r="E446" s="1" t="n">
        <v>46218</v>
      </c>
      <c r="F446" t="inlineStr">
        <is>
          <t>DALARNAS LÄN</t>
        </is>
      </c>
      <c r="G446" t="inlineStr">
        <is>
          <t>BORLÄNGE</t>
        </is>
      </c>
      <c r="I446" t="n">
        <v>2</v>
      </c>
      <c r="J446" t="n">
        <v>0</v>
      </c>
      <c r="K446" t="n">
        <v>0</v>
      </c>
      <c r="L446" t="n">
        <v>0</v>
      </c>
      <c r="M446" t="n">
        <v>0</v>
      </c>
      <c r="N446" t="n">
        <v>0</v>
      </c>
      <c r="O446" t="n">
        <v>0</v>
      </c>
      <c r="P446" t="n">
        <v>0</v>
      </c>
      <c r="Q446" t="n">
        <v>0</v>
      </c>
      <c r="R446" t="n">
        <v>0</v>
      </c>
      <c r="S446" t="n">
        <v>0</v>
      </c>
      <c r="T446" t="n">
        <v>0</v>
      </c>
      <c r="U446" s="2" t="inlineStr"/>
    </row>
    <row r="447" ht="15" customHeight="1">
      <c r="A447" t="inlineStr">
        <is>
          <t>A 25308-2026</t>
        </is>
      </c>
      <c r="B447" t="inlineStr">
        <is>
          <t>avverkningsanmälan</t>
        </is>
      </c>
      <c r="C447" t="inlineStr">
        <is>
          <t>Föryngringsavverkning</t>
        </is>
      </c>
      <c r="D447" s="1" t="n">
        <v>46176</v>
      </c>
      <c r="E447" s="1" t="n">
        <v>46218</v>
      </c>
      <c r="F447" t="inlineStr">
        <is>
          <t>DALARNAS LÄN</t>
        </is>
      </c>
      <c r="G447" t="inlineStr">
        <is>
          <t>BORLÄNGE</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1598-2026</t>
        </is>
      </c>
      <c r="B448" t="inlineStr">
        <is>
          <t>avverkningsanmälan</t>
        </is>
      </c>
      <c r="C448" t="inlineStr">
        <is>
          <t>Föryngringsavverkning</t>
        </is>
      </c>
      <c r="D448" s="1" t="n">
        <v>46034</v>
      </c>
      <c r="E448" s="1" t="n">
        <v>46218</v>
      </c>
      <c r="F448" t="inlineStr">
        <is>
          <t>DALARNAS LÄN</t>
        </is>
      </c>
      <c r="G448" t="inlineStr">
        <is>
          <t>BORLÄNGE</t>
        </is>
      </c>
      <c r="I448" t="n">
        <v>5.2</v>
      </c>
      <c r="J448" t="n">
        <v>0</v>
      </c>
      <c r="K448" t="n">
        <v>0</v>
      </c>
      <c r="L448" t="n">
        <v>0</v>
      </c>
      <c r="M448" t="n">
        <v>0</v>
      </c>
      <c r="N448" t="n">
        <v>0</v>
      </c>
      <c r="O448" t="n">
        <v>0</v>
      </c>
      <c r="P448" t="n">
        <v>0</v>
      </c>
      <c r="Q448" t="n">
        <v>0</v>
      </c>
      <c r="R448" t="n">
        <v>0</v>
      </c>
      <c r="S448" t="n">
        <v>0</v>
      </c>
      <c r="T448" t="n">
        <v>0</v>
      </c>
      <c r="U448" s="2" t="inlineStr"/>
    </row>
    <row r="449" ht="15" customHeight="1">
      <c r="A449" t="inlineStr">
        <is>
          <t>S 1052-2023</t>
        </is>
      </c>
      <c r="B449" t="inlineStr">
        <is>
          <t>samrådsanmälan</t>
        </is>
      </c>
      <c r="C449" t="inlineStr">
        <is>
          <t>Askåterföring</t>
        </is>
      </c>
      <c r="D449" s="1" t="n">
        <v>45009</v>
      </c>
      <c r="E449" s="1" t="n">
        <v>46218</v>
      </c>
      <c r="F449" t="inlineStr">
        <is>
          <t>DALARNAS LÄN</t>
        </is>
      </c>
      <c r="G449" t="inlineStr">
        <is>
          <t>BORLÄNGE</t>
        </is>
      </c>
      <c r="I449" t="n">
        <v>25.6</v>
      </c>
      <c r="J449" t="n">
        <v>0</v>
      </c>
      <c r="K449" t="n">
        <v>0</v>
      </c>
      <c r="L449" t="n">
        <v>0</v>
      </c>
      <c r="M449" t="n">
        <v>0</v>
      </c>
      <c r="N449" t="n">
        <v>0</v>
      </c>
      <c r="O449" t="n">
        <v>0</v>
      </c>
      <c r="P449" t="n">
        <v>0</v>
      </c>
      <c r="Q449" t="n">
        <v>0</v>
      </c>
      <c r="R449" t="n">
        <v>0</v>
      </c>
      <c r="S449" t="n">
        <v>0</v>
      </c>
      <c r="T449" t="n">
        <v>0</v>
      </c>
      <c r="U449" s="2" t="inlineStr"/>
    </row>
    <row r="450" ht="15" customHeight="1">
      <c r="A450" t="inlineStr">
        <is>
          <t>S 2346-2022</t>
        </is>
      </c>
      <c r="B450" t="inlineStr">
        <is>
          <t>samrådsanmälan</t>
        </is>
      </c>
      <c r="C450" t="inlineStr">
        <is>
          <t>Annan skogsbruksåtgärd</t>
        </is>
      </c>
      <c r="D450" s="1" t="n">
        <v>44686</v>
      </c>
      <c r="E450" s="1" t="n">
        <v>46218</v>
      </c>
      <c r="F450" t="inlineStr">
        <is>
          <t>DALARNAS LÄN</t>
        </is>
      </c>
      <c r="G450" t="inlineStr">
        <is>
          <t>BORLÄNGE</t>
        </is>
      </c>
      <c r="H450" t="inlineStr">
        <is>
          <t>Kommuner</t>
        </is>
      </c>
      <c r="I450" t="n">
        <v>0.1</v>
      </c>
      <c r="J450" t="n">
        <v>0</v>
      </c>
      <c r="K450" t="n">
        <v>0</v>
      </c>
      <c r="L450" t="n">
        <v>0</v>
      </c>
      <c r="M450" t="n">
        <v>0</v>
      </c>
      <c r="N450" t="n">
        <v>0</v>
      </c>
      <c r="O450" t="n">
        <v>0</v>
      </c>
      <c r="P450" t="n">
        <v>0</v>
      </c>
      <c r="Q450" t="n">
        <v>0</v>
      </c>
      <c r="R450" t="n">
        <v>0</v>
      </c>
      <c r="S450" t="n">
        <v>0</v>
      </c>
      <c r="T450" t="n">
        <v>0</v>
      </c>
      <c r="U450" s="2" t="inlineStr"/>
    </row>
    <row r="451" ht="15" customHeight="1">
      <c r="A451" t="inlineStr">
        <is>
          <t>S 1048-2023</t>
        </is>
      </c>
      <c r="B451" t="inlineStr">
        <is>
          <t>samrådsanmälan</t>
        </is>
      </c>
      <c r="C451" t="inlineStr">
        <is>
          <t>Askåterföring</t>
        </is>
      </c>
      <c r="D451" s="1" t="n">
        <v>45009</v>
      </c>
      <c r="E451" s="1" t="n">
        <v>46218</v>
      </c>
      <c r="F451" t="inlineStr">
        <is>
          <t>DALARNAS LÄN</t>
        </is>
      </c>
      <c r="G451" t="inlineStr">
        <is>
          <t>BORLÄNGE</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S 1050-2023</t>
        </is>
      </c>
      <c r="B452" t="inlineStr">
        <is>
          <t>samrådsanmälan</t>
        </is>
      </c>
      <c r="C452" t="inlineStr">
        <is>
          <t>Askåterföring</t>
        </is>
      </c>
      <c r="D452" s="1" t="n">
        <v>45009</v>
      </c>
      <c r="E452" s="1" t="n">
        <v>46218</v>
      </c>
      <c r="F452" t="inlineStr">
        <is>
          <t>DALARNAS LÄN</t>
        </is>
      </c>
      <c r="G452" t="inlineStr">
        <is>
          <t>BORLÄNGE</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S 1051-2023</t>
        </is>
      </c>
      <c r="B453" t="inlineStr">
        <is>
          <t>samrådsanmälan</t>
        </is>
      </c>
      <c r="C453" t="inlineStr">
        <is>
          <t>Askåterföring</t>
        </is>
      </c>
      <c r="D453" s="1" t="n">
        <v>45009</v>
      </c>
      <c r="E453" s="1" t="n">
        <v>46218</v>
      </c>
      <c r="F453" t="inlineStr">
        <is>
          <t>DALARNAS LÄN</t>
        </is>
      </c>
      <c r="G453" t="inlineStr">
        <is>
          <t>BORLÄNGE</t>
        </is>
      </c>
      <c r="I453" t="n">
        <v>3.6</v>
      </c>
      <c r="J453" t="n">
        <v>0</v>
      </c>
      <c r="K453" t="n">
        <v>0</v>
      </c>
      <c r="L453" t="n">
        <v>0</v>
      </c>
      <c r="M453" t="n">
        <v>0</v>
      </c>
      <c r="N453" t="n">
        <v>0</v>
      </c>
      <c r="O453" t="n">
        <v>0</v>
      </c>
      <c r="P453" t="n">
        <v>0</v>
      </c>
      <c r="Q453" t="n">
        <v>0</v>
      </c>
      <c r="R453" t="n">
        <v>0</v>
      </c>
      <c r="S453" t="n">
        <v>0</v>
      </c>
      <c r="T453" t="n">
        <v>0</v>
      </c>
      <c r="U453" s="2" t="inlineStr"/>
    </row>
    <row r="454" ht="15" customHeight="1">
      <c r="A454" t="inlineStr">
        <is>
          <t>S 5034-2024</t>
        </is>
      </c>
      <c r="B454" t="inlineStr">
        <is>
          <t>samrådsanmälan</t>
        </is>
      </c>
      <c r="C454" t="inlineStr">
        <is>
          <t>Annan skogsbruksåtgärd</t>
        </is>
      </c>
      <c r="D454" s="1" t="n">
        <v>45636</v>
      </c>
      <c r="E454" s="1" t="n">
        <v>46218</v>
      </c>
      <c r="F454" t="inlineStr">
        <is>
          <t>DALARNAS LÄN</t>
        </is>
      </c>
      <c r="G454" t="inlineStr">
        <is>
          <t>BORLÄNGE</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S 2960-2023</t>
        </is>
      </c>
      <c r="B455" t="inlineStr">
        <is>
          <t>samrådsanmälan</t>
        </is>
      </c>
      <c r="C455" t="inlineStr">
        <is>
          <t>Askåterföring</t>
        </is>
      </c>
      <c r="D455" s="1" t="n">
        <v>45173</v>
      </c>
      <c r="E455" s="1" t="n">
        <v>46218</v>
      </c>
      <c r="F455" t="inlineStr">
        <is>
          <t>DALARNAS LÄN</t>
        </is>
      </c>
      <c r="G455" t="inlineStr">
        <is>
          <t>BORLÄNGE</t>
        </is>
      </c>
      <c r="I455" t="n">
        <v>2.7</v>
      </c>
      <c r="J455" t="n">
        <v>0</v>
      </c>
      <c r="K455" t="n">
        <v>0</v>
      </c>
      <c r="L455" t="n">
        <v>0</v>
      </c>
      <c r="M455" t="n">
        <v>0</v>
      </c>
      <c r="N455" t="n">
        <v>0</v>
      </c>
      <c r="O455" t="n">
        <v>0</v>
      </c>
      <c r="P455" t="n">
        <v>0</v>
      </c>
      <c r="Q455" t="n">
        <v>0</v>
      </c>
      <c r="R455" t="n">
        <v>0</v>
      </c>
      <c r="S455" t="n">
        <v>0</v>
      </c>
      <c r="T455" t="n">
        <v>0</v>
      </c>
      <c r="U455" s="2" t="inlineStr"/>
    </row>
    <row r="456" ht="15" customHeight="1">
      <c r="A456" t="inlineStr">
        <is>
          <t>S 922-2024</t>
        </is>
      </c>
      <c r="B456" t="inlineStr">
        <is>
          <t>samrådsanmälan</t>
        </is>
      </c>
      <c r="C456" t="inlineStr">
        <is>
          <t>Skogsgödsling</t>
        </is>
      </c>
      <c r="D456" s="1" t="n">
        <v>45378</v>
      </c>
      <c r="E456" s="1" t="n">
        <v>46218</v>
      </c>
      <c r="F456" t="inlineStr">
        <is>
          <t>DALARNAS LÄN</t>
        </is>
      </c>
      <c r="G456" t="inlineStr">
        <is>
          <t>BORLÄNGE</t>
        </is>
      </c>
      <c r="I456" t="n">
        <v>37.5</v>
      </c>
      <c r="J456" t="n">
        <v>0</v>
      </c>
      <c r="K456" t="n">
        <v>0</v>
      </c>
      <c r="L456" t="n">
        <v>0</v>
      </c>
      <c r="M456" t="n">
        <v>0</v>
      </c>
      <c r="N456" t="n">
        <v>0</v>
      </c>
      <c r="O456" t="n">
        <v>0</v>
      </c>
      <c r="P456" t="n">
        <v>0</v>
      </c>
      <c r="Q456" t="n">
        <v>0</v>
      </c>
      <c r="R456" t="n">
        <v>0</v>
      </c>
      <c r="S456" t="n">
        <v>0</v>
      </c>
      <c r="T456" t="n">
        <v>0</v>
      </c>
      <c r="U456" s="2" t="inlineStr"/>
    </row>
    <row r="457" ht="15" customHeight="1">
      <c r="A457" t="inlineStr">
        <is>
          <t>S 2968-2024</t>
        </is>
      </c>
      <c r="B457" t="inlineStr">
        <is>
          <t>samrådsanmälan</t>
        </is>
      </c>
      <c r="C457" t="inlineStr">
        <is>
          <t>Annan skogsbruksåtgärd</t>
        </is>
      </c>
      <c r="D457" s="1" t="n">
        <v>45509</v>
      </c>
      <c r="E457" s="1" t="n">
        <v>46218</v>
      </c>
      <c r="F457" t="inlineStr">
        <is>
          <t>DALARNAS LÄN</t>
        </is>
      </c>
      <c r="G457" t="inlineStr">
        <is>
          <t>BORLÄNGE</t>
        </is>
      </c>
      <c r="H457" t="inlineStr">
        <is>
          <t>Bergvik skog väst AB</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S 2957-2023</t>
        </is>
      </c>
      <c r="B458" t="inlineStr">
        <is>
          <t>samrådsanmälan</t>
        </is>
      </c>
      <c r="C458" t="inlineStr">
        <is>
          <t>Askåterföring</t>
        </is>
      </c>
      <c r="D458" s="1" t="n">
        <v>45173</v>
      </c>
      <c r="E458" s="1" t="n">
        <v>46218</v>
      </c>
      <c r="F458" t="inlineStr">
        <is>
          <t>DALARNAS LÄN</t>
        </is>
      </c>
      <c r="G458" t="inlineStr">
        <is>
          <t>BORLÄNGE</t>
        </is>
      </c>
      <c r="I458" t="n">
        <v>6.9</v>
      </c>
      <c r="J458" t="n">
        <v>0</v>
      </c>
      <c r="K458" t="n">
        <v>0</v>
      </c>
      <c r="L458" t="n">
        <v>0</v>
      </c>
      <c r="M458" t="n">
        <v>0</v>
      </c>
      <c r="N458" t="n">
        <v>0</v>
      </c>
      <c r="O458" t="n">
        <v>0</v>
      </c>
      <c r="P458" t="n">
        <v>0</v>
      </c>
      <c r="Q458" t="n">
        <v>0</v>
      </c>
      <c r="R458" t="n">
        <v>0</v>
      </c>
      <c r="S458" t="n">
        <v>0</v>
      </c>
      <c r="T458" t="n">
        <v>0</v>
      </c>
      <c r="U458" s="2" t="inlineStr"/>
    </row>
    <row r="459" ht="15" customHeight="1">
      <c r="A459" t="inlineStr">
        <is>
          <t>S 1510-2022</t>
        </is>
      </c>
      <c r="B459" t="inlineStr">
        <is>
          <t>samrådsanmälan</t>
        </is>
      </c>
      <c r="C459" t="inlineStr">
        <is>
          <t>Skogsbilväg</t>
        </is>
      </c>
      <c r="D459" s="1" t="n">
        <v>44638</v>
      </c>
      <c r="E459" s="1" t="n">
        <v>46218</v>
      </c>
      <c r="F459" t="inlineStr">
        <is>
          <t>DALARNAS LÄN</t>
        </is>
      </c>
      <c r="G459" t="inlineStr">
        <is>
          <t>BORLÄNGE</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S 1806-2025</t>
        </is>
      </c>
      <c r="B460" t="inlineStr">
        <is>
          <t>samrådsanmälan</t>
        </is>
      </c>
      <c r="C460" t="inlineStr">
        <is>
          <t>Annan skogsbruksåtgärd</t>
        </is>
      </c>
      <c r="D460" s="1" t="n">
        <v>45817</v>
      </c>
      <c r="E460" s="1" t="n">
        <v>46218</v>
      </c>
      <c r="F460" t="inlineStr">
        <is>
          <t>DALARNAS LÄN</t>
        </is>
      </c>
      <c r="G460" t="inlineStr">
        <is>
          <t>BORLÄNGE</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S 495-2023</t>
        </is>
      </c>
      <c r="B461" t="inlineStr">
        <is>
          <t>samrådsanmälan</t>
        </is>
      </c>
      <c r="C461" t="inlineStr">
        <is>
          <t>Askåterföring</t>
        </is>
      </c>
      <c r="D461" s="1" t="n">
        <v>44963</v>
      </c>
      <c r="E461" s="1" t="n">
        <v>46218</v>
      </c>
      <c r="F461" t="inlineStr">
        <is>
          <t>DALARNAS LÄN</t>
        </is>
      </c>
      <c r="G461" t="inlineStr">
        <is>
          <t>BORLÄNGE</t>
        </is>
      </c>
      <c r="H461" t="inlineStr">
        <is>
          <t>Bergvik skog väst AB</t>
        </is>
      </c>
      <c r="I461" t="n">
        <v>8.4</v>
      </c>
      <c r="J461" t="n">
        <v>0</v>
      </c>
      <c r="K461" t="n">
        <v>0</v>
      </c>
      <c r="L461" t="n">
        <v>0</v>
      </c>
      <c r="M461" t="n">
        <v>0</v>
      </c>
      <c r="N461" t="n">
        <v>0</v>
      </c>
      <c r="O461" t="n">
        <v>0</v>
      </c>
      <c r="P461" t="n">
        <v>0</v>
      </c>
      <c r="Q461" t="n">
        <v>0</v>
      </c>
      <c r="R461" t="n">
        <v>0</v>
      </c>
      <c r="S461" t="n">
        <v>0</v>
      </c>
      <c r="T461" t="n">
        <v>0</v>
      </c>
      <c r="U461" s="2" t="inlineStr"/>
    </row>
    <row r="462" ht="15" customHeight="1">
      <c r="A462" t="inlineStr">
        <is>
          <t>S 496-2023</t>
        </is>
      </c>
      <c r="B462" t="inlineStr">
        <is>
          <t>samrådsanmälan</t>
        </is>
      </c>
      <c r="C462" t="inlineStr">
        <is>
          <t>Askåterföring</t>
        </is>
      </c>
      <c r="D462" s="1" t="n">
        <v>44963</v>
      </c>
      <c r="E462" s="1" t="n">
        <v>46218</v>
      </c>
      <c r="F462" t="inlineStr">
        <is>
          <t>DALARNAS LÄN</t>
        </is>
      </c>
      <c r="G462" t="inlineStr">
        <is>
          <t>BORLÄNGE</t>
        </is>
      </c>
      <c r="I462" t="n">
        <v>6.5</v>
      </c>
      <c r="J462" t="n">
        <v>0</v>
      </c>
      <c r="K462" t="n">
        <v>0</v>
      </c>
      <c r="L462" t="n">
        <v>0</v>
      </c>
      <c r="M462" t="n">
        <v>0</v>
      </c>
      <c r="N462" t="n">
        <v>0</v>
      </c>
      <c r="O462" t="n">
        <v>0</v>
      </c>
      <c r="P462" t="n">
        <v>0</v>
      </c>
      <c r="Q462" t="n">
        <v>0</v>
      </c>
      <c r="R462" t="n">
        <v>0</v>
      </c>
      <c r="S462" t="n">
        <v>0</v>
      </c>
      <c r="T462" t="n">
        <v>0</v>
      </c>
      <c r="U462" s="2" t="inlineStr"/>
    </row>
    <row r="463" ht="15" customHeight="1">
      <c r="A463" t="inlineStr">
        <is>
          <t>S 1658-2022</t>
        </is>
      </c>
      <c r="B463" t="inlineStr">
        <is>
          <t>samrådsanmälan</t>
        </is>
      </c>
      <c r="C463" t="inlineStr">
        <is>
          <t>Askåterföring</t>
        </is>
      </c>
      <c r="D463" s="1" t="n">
        <v>44649</v>
      </c>
      <c r="E463" s="1" t="n">
        <v>46218</v>
      </c>
      <c r="F463" t="inlineStr">
        <is>
          <t>DALARNAS LÄN</t>
        </is>
      </c>
      <c r="G463" t="inlineStr">
        <is>
          <t>BORLÄNGE</t>
        </is>
      </c>
      <c r="I463" t="n">
        <v>9.699999999999999</v>
      </c>
      <c r="J463" t="n">
        <v>0</v>
      </c>
      <c r="K463" t="n">
        <v>0</v>
      </c>
      <c r="L463" t="n">
        <v>0</v>
      </c>
      <c r="M463" t="n">
        <v>0</v>
      </c>
      <c r="N463" t="n">
        <v>0</v>
      </c>
      <c r="O463" t="n">
        <v>0</v>
      </c>
      <c r="P463" t="n">
        <v>0</v>
      </c>
      <c r="Q463" t="n">
        <v>0</v>
      </c>
      <c r="R463" t="n">
        <v>0</v>
      </c>
      <c r="S463" t="n">
        <v>0</v>
      </c>
      <c r="T463" t="n">
        <v>0</v>
      </c>
      <c r="U463" s="2" t="inlineStr"/>
    </row>
    <row r="464" ht="15" customHeight="1">
      <c r="A464" t="inlineStr">
        <is>
          <t>S 1116-2022</t>
        </is>
      </c>
      <c r="B464" t="inlineStr">
        <is>
          <t>samrådsanmälan</t>
        </is>
      </c>
      <c r="C464" t="inlineStr">
        <is>
          <t>Annan skogsbruksåtgärd</t>
        </is>
      </c>
      <c r="D464" s="1" t="n">
        <v>44615</v>
      </c>
      <c r="E464" s="1" t="n">
        <v>46218</v>
      </c>
      <c r="F464" t="inlineStr">
        <is>
          <t>DALARNAS LÄN</t>
        </is>
      </c>
      <c r="G464" t="inlineStr">
        <is>
          <t>BORLÄNGE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S 722-2026</t>
        </is>
      </c>
      <c r="B465" t="inlineStr">
        <is>
          <t>samrådsanmälan</t>
        </is>
      </c>
      <c r="C465" t="inlineStr">
        <is>
          <t>Annan skogsbruksåtgärd</t>
        </is>
      </c>
      <c r="D465" s="1" t="n">
        <v>46093</v>
      </c>
      <c r="E465" s="1" t="n">
        <v>46218</v>
      </c>
      <c r="F465" t="inlineStr">
        <is>
          <t>DALARNAS LÄN</t>
        </is>
      </c>
      <c r="G465" t="inlineStr">
        <is>
          <t>BORLÄNGE</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S 910-2026</t>
        </is>
      </c>
      <c r="B466" t="inlineStr">
        <is>
          <t>samrådsanmälan</t>
        </is>
      </c>
      <c r="C466" t="inlineStr">
        <is>
          <t>Annan skogsbruksåtgärd</t>
        </is>
      </c>
      <c r="D466" s="1" t="n">
        <v>46110</v>
      </c>
      <c r="E466" s="1" t="n">
        <v>46218</v>
      </c>
      <c r="F466" t="inlineStr">
        <is>
          <t>DALARNAS LÄN</t>
        </is>
      </c>
      <c r="G466" t="inlineStr">
        <is>
          <t>BORLÄNGE</t>
        </is>
      </c>
      <c r="H466" t="inlineStr">
        <is>
          <t>Bergvik skog väst AB</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S 1109-2026</t>
        </is>
      </c>
      <c r="B467" t="inlineStr">
        <is>
          <t>samrådsanmälan</t>
        </is>
      </c>
      <c r="C467" t="inlineStr">
        <is>
          <t>Annan skogsbruksåtgärd</t>
        </is>
      </c>
      <c r="D467" s="1" t="n">
        <v>46131</v>
      </c>
      <c r="E467" s="1" t="n">
        <v>46218</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s="2" t="inlineStr"/>
    </row>
    <row r="468">
      <c r="A468" t="inlineStr">
        <is>
          <t>S 1202-2026</t>
        </is>
      </c>
      <c r="B468" t="inlineStr">
        <is>
          <t>samrådsanmälan</t>
        </is>
      </c>
      <c r="C468" t="inlineStr">
        <is>
          <t>Annan skogsbruksåtgärd</t>
        </is>
      </c>
      <c r="D468" s="1" t="n">
        <v>46136</v>
      </c>
      <c r="E468" s="1" t="n">
        <v>46218</v>
      </c>
      <c r="F468" t="inlineStr">
        <is>
          <t>DALARNAS LÄN</t>
        </is>
      </c>
      <c r="G468" t="inlineStr">
        <is>
          <t>BORLÄNGE</t>
        </is>
      </c>
      <c r="I468" t="n">
        <v>0.2</v>
      </c>
      <c r="J468" t="n">
        <v>0</v>
      </c>
      <c r="K468" t="n">
        <v>0</v>
      </c>
      <c r="L468" t="n">
        <v>0</v>
      </c>
      <c r="M468" t="n">
        <v>0</v>
      </c>
      <c r="N468" t="n">
        <v>0</v>
      </c>
      <c r="O468" t="n">
        <v>0</v>
      </c>
      <c r="P468" t="n">
        <v>0</v>
      </c>
      <c r="Q468" t="n">
        <v>0</v>
      </c>
      <c r="R468" t="n">
        <v>0</v>
      </c>
      <c r="S468" t="n">
        <v>0</v>
      </c>
      <c r="T468" t="n">
        <v>0</v>
      </c>
      <c r="U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2026-07-15T01:26:30Z</dcterms:created>
  <dcterms:modified xmlns:dcterms="http://purl.org/dc/terms/" xmlns:xsi="http://www.w3.org/2001/XMLSchema-instance" xsi:type="dcterms:W3CDTF">2026-07-15T01:26:31Z</dcterms:modified>
</cp:coreProperties>
</file>