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45733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45733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45733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45733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45733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45733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45733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45733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45733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45733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45733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45733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45733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45733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45733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45733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45733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45733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45733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45733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45733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45733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67989-2019</t>
        </is>
      </c>
      <c r="B35" s="1" t="n">
        <v>43811</v>
      </c>
      <c r="C35" s="1" t="n">
        <v>45733</v>
      </c>
      <c r="D35" t="inlineStr">
        <is>
          <t>DALARNAS LÄN</t>
        </is>
      </c>
      <c r="E35" t="inlineStr">
        <is>
          <t>BORLÄNGE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 taggsvamp
Blåsippa</t>
        </is>
      </c>
      <c r="S35">
        <f>HYPERLINK("https://klasma.github.io/Logging_2081/artfynd/A 67989-2019 artfynd.xlsx", "A 67989-2019")</f>
        <v/>
      </c>
      <c r="T35">
        <f>HYPERLINK("https://klasma.github.io/Logging_2081/kartor/A 67989-2019 karta.png", "A 67989-2019")</f>
        <v/>
      </c>
      <c r="V35">
        <f>HYPERLINK("https://klasma.github.io/Logging_2081/klagomål/A 67989-2019 FSC-klagomål.docx", "A 67989-2019")</f>
        <v/>
      </c>
      <c r="W35">
        <f>HYPERLINK("https://klasma.github.io/Logging_2081/klagomålsmail/A 67989-2019 FSC-klagomål mail.docx", "A 67989-2019")</f>
        <v/>
      </c>
      <c r="X35">
        <f>HYPERLINK("https://klasma.github.io/Logging_2081/tillsyn/A 67989-2019 tillsynsbegäran.docx", "A 67989-2019")</f>
        <v/>
      </c>
      <c r="Y35">
        <f>HYPERLINK("https://klasma.github.io/Logging_2081/tillsynsmail/A 67989-2019 tillsynsbegäran mail.docx", "A 67989-2019")</f>
        <v/>
      </c>
    </row>
    <row r="36" ht="15" customHeight="1">
      <c r="A36" t="inlineStr">
        <is>
          <t>A 29908-2021</t>
        </is>
      </c>
      <c r="B36" s="1" t="n">
        <v>44362</v>
      </c>
      <c r="C36" s="1" t="n">
        <v>45733</v>
      </c>
      <c r="D36" t="inlineStr">
        <is>
          <t>DALARNAS LÄN</t>
        </is>
      </c>
      <c r="E36" t="inlineStr">
        <is>
          <t>BORLÄNGE</t>
        </is>
      </c>
      <c r="G36" t="n">
        <v>4.6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Violettgrå tagellav
Dropptaggsvamp</t>
        </is>
      </c>
      <c r="S36">
        <f>HYPERLINK("https://klasma.github.io/Logging_2081/artfynd/A 29908-2021 artfynd.xlsx", "A 29908-2021")</f>
        <v/>
      </c>
      <c r="T36">
        <f>HYPERLINK("https://klasma.github.io/Logging_2081/kartor/A 29908-2021 karta.png", "A 29908-2021")</f>
        <v/>
      </c>
      <c r="V36">
        <f>HYPERLINK("https://klasma.github.io/Logging_2081/klagomål/A 29908-2021 FSC-klagomål.docx", "A 29908-2021")</f>
        <v/>
      </c>
      <c r="W36">
        <f>HYPERLINK("https://klasma.github.io/Logging_2081/klagomålsmail/A 29908-2021 FSC-klagomål mail.docx", "A 29908-2021")</f>
        <v/>
      </c>
      <c r="X36">
        <f>HYPERLINK("https://klasma.github.io/Logging_2081/tillsyn/A 29908-2021 tillsynsbegäran.docx", "A 29908-2021")</f>
        <v/>
      </c>
      <c r="Y36">
        <f>HYPERLINK("https://klasma.github.io/Logging_2081/tillsynsmail/A 29908-2021 tillsynsbegäran mail.docx", "A 29908-2021")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45733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45733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51992-2021</t>
        </is>
      </c>
      <c r="B39" s="1" t="n">
        <v>44463</v>
      </c>
      <c r="C39" s="1" t="n">
        <v>45733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Rödgul trumpetsvamp</t>
        </is>
      </c>
      <c r="S39">
        <f>HYPERLINK("https://klasma.github.io/Logging_2081/artfynd/A 51992-2021 artfynd.xlsx", "A 51992-2021")</f>
        <v/>
      </c>
      <c r="T39">
        <f>HYPERLINK("https://klasma.github.io/Logging_2081/kartor/A 51992-2021 karta.png", "A 51992-2021")</f>
        <v/>
      </c>
      <c r="V39">
        <f>HYPERLINK("https://klasma.github.io/Logging_2081/klagomål/A 51992-2021 FSC-klagomål.docx", "A 51992-2021")</f>
        <v/>
      </c>
      <c r="W39">
        <f>HYPERLINK("https://klasma.github.io/Logging_2081/klagomålsmail/A 51992-2021 FSC-klagomål mail.docx", "A 51992-2021")</f>
        <v/>
      </c>
      <c r="X39">
        <f>HYPERLINK("https://klasma.github.io/Logging_2081/tillsyn/A 51992-2021 tillsynsbegäran.docx", "A 51992-2021")</f>
        <v/>
      </c>
      <c r="Y39">
        <f>HYPERLINK("https://klasma.github.io/Logging_2081/tillsynsmail/A 51992-2021 tillsynsbegäran mail.docx", "A 51992-2021")</f>
        <v/>
      </c>
    </row>
    <row r="40" ht="15" customHeight="1">
      <c r="A40" t="inlineStr">
        <is>
          <t>A 58556-2021</t>
        </is>
      </c>
      <c r="B40" s="1" t="n">
        <v>44488</v>
      </c>
      <c r="C40" s="1" t="n">
        <v>45733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Gulsparv
Rödvingetrast</t>
        </is>
      </c>
      <c r="S40">
        <f>HYPERLINK("https://klasma.github.io/Logging_2081/artfynd/A 58556-2021 artfynd.xlsx", "A 58556-2021")</f>
        <v/>
      </c>
      <c r="T40">
        <f>HYPERLINK("https://klasma.github.io/Logging_2081/kartor/A 58556-2021 karta.png", "A 58556-2021")</f>
        <v/>
      </c>
      <c r="V40">
        <f>HYPERLINK("https://klasma.github.io/Logging_2081/klagomål/A 58556-2021 FSC-klagomål.docx", "A 58556-2021")</f>
        <v/>
      </c>
      <c r="W40">
        <f>HYPERLINK("https://klasma.github.io/Logging_2081/klagomålsmail/A 58556-2021 FSC-klagomål mail.docx", "A 58556-2021")</f>
        <v/>
      </c>
      <c r="X40">
        <f>HYPERLINK("https://klasma.github.io/Logging_2081/tillsyn/A 58556-2021 tillsynsbegäran.docx", "A 58556-2021")</f>
        <v/>
      </c>
      <c r="Y40">
        <f>HYPERLINK("https://klasma.github.io/Logging_2081/tillsynsmail/A 58556-2021 tillsynsbegäran mail.docx", "A 58556-2021")</f>
        <v/>
      </c>
      <c r="Z40">
        <f>HYPERLINK("https://klasma.github.io/Logging_2081/fåglar/A 58556-2021 prioriterade fågelarter.docx", "A 58556-2021")</f>
        <v/>
      </c>
    </row>
    <row r="41" ht="15" customHeight="1">
      <c r="A41" t="inlineStr">
        <is>
          <t>A 59701-2021</t>
        </is>
      </c>
      <c r="B41" s="1" t="n">
        <v>44494</v>
      </c>
      <c r="C41" s="1" t="n">
        <v>45733</v>
      </c>
      <c r="D41" t="inlineStr">
        <is>
          <t>DALARNAS LÄN</t>
        </is>
      </c>
      <c r="E41" t="inlineStr">
        <is>
          <t>BORLÄNGE</t>
        </is>
      </c>
      <c r="G41" t="n">
        <v>3.9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Svavelriska</t>
        </is>
      </c>
      <c r="S41">
        <f>HYPERLINK("https://klasma.github.io/Logging_2081/artfynd/A 59701-2021 artfynd.xlsx", "A 59701-2021")</f>
        <v/>
      </c>
      <c r="T41">
        <f>HYPERLINK("https://klasma.github.io/Logging_2081/kartor/A 59701-2021 karta.png", "A 59701-2021")</f>
        <v/>
      </c>
      <c r="V41">
        <f>HYPERLINK("https://klasma.github.io/Logging_2081/klagomål/A 59701-2021 FSC-klagomål.docx", "A 59701-2021")</f>
        <v/>
      </c>
      <c r="W41">
        <f>HYPERLINK("https://klasma.github.io/Logging_2081/klagomålsmail/A 59701-2021 FSC-klagomål mail.docx", "A 59701-2021")</f>
        <v/>
      </c>
      <c r="X41">
        <f>HYPERLINK("https://klasma.github.io/Logging_2081/tillsyn/A 59701-2021 tillsynsbegäran.docx", "A 59701-2021")</f>
        <v/>
      </c>
      <c r="Y41">
        <f>HYPERLINK("https://klasma.github.io/Logging_2081/tillsynsmail/A 59701-2021 tillsynsbegäran mail.docx", "A 59701-2021")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45733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45733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12314-2023</t>
        </is>
      </c>
      <c r="B44" s="1" t="n">
        <v>44996</v>
      </c>
      <c r="C44" s="1" t="n">
        <v>45733</v>
      </c>
      <c r="D44" t="inlineStr">
        <is>
          <t>DALARNAS LÄN</t>
        </is>
      </c>
      <c r="E44" t="inlineStr">
        <is>
          <t>BORLÄNGE</t>
        </is>
      </c>
      <c r="G44" t="n">
        <v>22.7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Skrovlig taggsvamp
Dropptaggsvamp</t>
        </is>
      </c>
      <c r="S44">
        <f>HYPERLINK("https://klasma.github.io/Logging_2081/artfynd/A 12314-2023 artfynd.xlsx", "A 12314-2023")</f>
        <v/>
      </c>
      <c r="T44">
        <f>HYPERLINK("https://klasma.github.io/Logging_2081/kartor/A 12314-2023 karta.png", "A 12314-2023")</f>
        <v/>
      </c>
      <c r="U44">
        <f>HYPERLINK("https://klasma.github.io/Logging_2081/knärot/A 12314-2023 karta knärot.png", "A 12314-2023")</f>
        <v/>
      </c>
      <c r="V44">
        <f>HYPERLINK("https://klasma.github.io/Logging_2081/klagomål/A 12314-2023 FSC-klagomål.docx", "A 12314-2023")</f>
        <v/>
      </c>
      <c r="W44">
        <f>HYPERLINK("https://klasma.github.io/Logging_2081/klagomålsmail/A 12314-2023 FSC-klagomål mail.docx", "A 12314-2023")</f>
        <v/>
      </c>
      <c r="X44">
        <f>HYPERLINK("https://klasma.github.io/Logging_2081/tillsyn/A 12314-2023 tillsynsbegäran.docx", "A 12314-2023")</f>
        <v/>
      </c>
      <c r="Y44">
        <f>HYPERLINK("https://klasma.github.io/Logging_2081/tillsynsmail/A 12314-2023 tillsynsbegäran mail.docx", "A 12314-2023")</f>
        <v/>
      </c>
    </row>
    <row r="45" ht="15" customHeight="1">
      <c r="A45" t="inlineStr">
        <is>
          <t>A 12444-2023</t>
        </is>
      </c>
      <c r="B45" s="1" t="n">
        <v>44999</v>
      </c>
      <c r="C45" s="1" t="n">
        <v>45733</v>
      </c>
      <c r="D45" t="inlineStr">
        <is>
          <t>DALARNAS LÄN</t>
        </is>
      </c>
      <c r="E45" t="inlineStr">
        <is>
          <t>BORLÄNGE</t>
        </is>
      </c>
      <c r="G45" t="n">
        <v>7.5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Dofttaggsvamp
Talltita</t>
        </is>
      </c>
      <c r="S45">
        <f>HYPERLINK("https://klasma.github.io/Logging_2081/artfynd/A 12444-2023 artfynd.xlsx", "A 12444-2023")</f>
        <v/>
      </c>
      <c r="T45">
        <f>HYPERLINK("https://klasma.github.io/Logging_2081/kartor/A 12444-2023 karta.png", "A 12444-2023")</f>
        <v/>
      </c>
      <c r="V45">
        <f>HYPERLINK("https://klasma.github.io/Logging_2081/klagomål/A 12444-2023 FSC-klagomål.docx", "A 12444-2023")</f>
        <v/>
      </c>
      <c r="W45">
        <f>HYPERLINK("https://klasma.github.io/Logging_2081/klagomålsmail/A 12444-2023 FSC-klagomål mail.docx", "A 12444-2023")</f>
        <v/>
      </c>
      <c r="X45">
        <f>HYPERLINK("https://klasma.github.io/Logging_2081/tillsyn/A 12444-2023 tillsynsbegäran.docx", "A 12444-2023")</f>
        <v/>
      </c>
      <c r="Y45">
        <f>HYPERLINK("https://klasma.github.io/Logging_2081/tillsynsmail/A 12444-2023 tillsynsbegäran mail.docx", "A 12444-2023")</f>
        <v/>
      </c>
      <c r="Z45">
        <f>HYPERLINK("https://klasma.github.io/Logging_2081/fåglar/A 12444-2023 prioriterade fågelarter.docx", "A 12444-2023")</f>
        <v/>
      </c>
    </row>
    <row r="46" ht="15" customHeight="1">
      <c r="A46" t="inlineStr">
        <is>
          <t>A 14651-2023</t>
        </is>
      </c>
      <c r="B46" s="1" t="n">
        <v>45013</v>
      </c>
      <c r="C46" s="1" t="n">
        <v>45733</v>
      </c>
      <c r="D46" t="inlineStr">
        <is>
          <t>DALARNAS LÄN</t>
        </is>
      </c>
      <c r="E46" t="inlineStr">
        <is>
          <t>BORLÄNGE</t>
        </is>
      </c>
      <c r="G46" t="n">
        <v>16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Tallticka</t>
        </is>
      </c>
      <c r="S46">
        <f>HYPERLINK("https://klasma.github.io/Logging_2081/artfynd/A 14651-2023 artfynd.xlsx", "A 14651-2023")</f>
        <v/>
      </c>
      <c r="T46">
        <f>HYPERLINK("https://klasma.github.io/Logging_2081/kartor/A 14651-2023 karta.png", "A 14651-2023")</f>
        <v/>
      </c>
      <c r="U46">
        <f>HYPERLINK("https://klasma.github.io/Logging_2081/knärot/A 14651-2023 karta knärot.png", "A 14651-2023")</f>
        <v/>
      </c>
      <c r="V46">
        <f>HYPERLINK("https://klasma.github.io/Logging_2081/klagomål/A 14651-2023 FSC-klagomål.docx", "A 14651-2023")</f>
        <v/>
      </c>
      <c r="W46">
        <f>HYPERLINK("https://klasma.github.io/Logging_2081/klagomålsmail/A 14651-2023 FSC-klagomål mail.docx", "A 14651-2023")</f>
        <v/>
      </c>
      <c r="X46">
        <f>HYPERLINK("https://klasma.github.io/Logging_2081/tillsyn/A 14651-2023 tillsynsbegäran.docx", "A 14651-2023")</f>
        <v/>
      </c>
      <c r="Y46">
        <f>HYPERLINK("https://klasma.github.io/Logging_2081/tillsynsmail/A 14651-2023 tillsynsbegäran mail.docx", "A 14651-2023")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45733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45733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31680-2023</t>
        </is>
      </c>
      <c r="B49" s="1" t="n">
        <v>45117</v>
      </c>
      <c r="C49" s="1" t="n">
        <v>45733</v>
      </c>
      <c r="D49" t="inlineStr">
        <is>
          <t>DALARNAS LÄN</t>
        </is>
      </c>
      <c r="E49" t="inlineStr">
        <is>
          <t>BORLÄNGE</t>
        </is>
      </c>
      <c r="G49" t="n">
        <v>2.8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Vågbandad barkbock
Blåsippa</t>
        </is>
      </c>
      <c r="S49">
        <f>HYPERLINK("https://klasma.github.io/Logging_2081/artfynd/A 31680-2023 artfynd.xlsx", "A 31680-2023")</f>
        <v/>
      </c>
      <c r="T49">
        <f>HYPERLINK("https://klasma.github.io/Logging_2081/kartor/A 31680-2023 karta.png", "A 31680-2023")</f>
        <v/>
      </c>
      <c r="U49">
        <f>HYPERLINK("https://klasma.github.io/Logging_2081/knärot/A 31680-2023 karta knärot.png", "A 31680-2023")</f>
        <v/>
      </c>
      <c r="V49">
        <f>HYPERLINK("https://klasma.github.io/Logging_2081/klagomål/A 31680-2023 FSC-klagomål.docx", "A 31680-2023")</f>
        <v/>
      </c>
      <c r="W49">
        <f>HYPERLINK("https://klasma.github.io/Logging_2081/klagomålsmail/A 31680-2023 FSC-klagomål mail.docx", "A 31680-2023")</f>
        <v/>
      </c>
      <c r="X49">
        <f>HYPERLINK("https://klasma.github.io/Logging_2081/tillsyn/A 31680-2023 tillsynsbegäran.docx", "A 31680-2023")</f>
        <v/>
      </c>
      <c r="Y49">
        <f>HYPERLINK("https://klasma.github.io/Logging_2081/tillsynsmail/A 31680-2023 tillsynsbegäran mail.docx", "A 31680-2023")</f>
        <v/>
      </c>
    </row>
    <row r="50" ht="15" customHeight="1">
      <c r="A50" t="inlineStr">
        <is>
          <t>A 54154-2023</t>
        </is>
      </c>
      <c r="B50" s="1" t="n">
        <v>45232</v>
      </c>
      <c r="C50" s="1" t="n">
        <v>45733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45733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1750-2024</t>
        </is>
      </c>
      <c r="B52" s="1" t="n">
        <v>45307</v>
      </c>
      <c r="C52" s="1" t="n">
        <v>45733</v>
      </c>
      <c r="D52" t="inlineStr">
        <is>
          <t>DALARNAS LÄN</t>
        </is>
      </c>
      <c r="E52" t="inlineStr">
        <is>
          <t>BORLÄNGE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HYPERLINK("https://klasma.github.io/Logging_2081/artfynd/A 1750-2024 artfynd.xlsx", "A 1750-2024")</f>
        <v/>
      </c>
      <c r="T52">
        <f>HYPERLINK("https://klasma.github.io/Logging_2081/kartor/A 1750-2024 karta.png", "A 1750-2024")</f>
        <v/>
      </c>
      <c r="V52">
        <f>HYPERLINK("https://klasma.github.io/Logging_2081/klagomål/A 1750-2024 FSC-klagomål.docx", "A 1750-2024")</f>
        <v/>
      </c>
      <c r="W52">
        <f>HYPERLINK("https://klasma.github.io/Logging_2081/klagomålsmail/A 1750-2024 FSC-klagomål mail.docx", "A 1750-2024")</f>
        <v/>
      </c>
      <c r="X52">
        <f>HYPERLINK("https://klasma.github.io/Logging_2081/tillsyn/A 1750-2024 tillsynsbegäran.docx", "A 1750-2024")</f>
        <v/>
      </c>
      <c r="Y52">
        <f>HYPERLINK("https://klasma.github.io/Logging_2081/tillsynsmail/A 1750-2024 tillsynsbegäran mail.docx", "A 1750-2024")</f>
        <v/>
      </c>
    </row>
    <row r="53" ht="15" customHeight="1">
      <c r="A53" t="inlineStr">
        <is>
          <t>A 10740-2024</t>
        </is>
      </c>
      <c r="B53" s="1" t="n">
        <v>45369</v>
      </c>
      <c r="C53" s="1" t="n">
        <v>45733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19650-2024</t>
        </is>
      </c>
      <c r="B54" s="1" t="n">
        <v>45432</v>
      </c>
      <c r="C54" s="1" t="n">
        <v>45733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Tretåig hackspett</t>
        </is>
      </c>
      <c r="S54">
        <f>HYPERLINK("https://klasma.github.io/Logging_2081/artfynd/A 19650-2024 artfynd.xlsx", "A 19650-2024")</f>
        <v/>
      </c>
      <c r="T54">
        <f>HYPERLINK("https://klasma.github.io/Logging_2081/kartor/A 19650-2024 karta.png", "A 19650-2024")</f>
        <v/>
      </c>
      <c r="U54">
        <f>HYPERLINK("https://klasma.github.io/Logging_2081/knärot/A 19650-2024 karta knärot.png", "A 19650-2024")</f>
        <v/>
      </c>
      <c r="V54">
        <f>HYPERLINK("https://klasma.github.io/Logging_2081/klagomål/A 19650-2024 FSC-klagomål.docx", "A 19650-2024")</f>
        <v/>
      </c>
      <c r="W54">
        <f>HYPERLINK("https://klasma.github.io/Logging_2081/klagomålsmail/A 19650-2024 FSC-klagomål mail.docx", "A 19650-2024")</f>
        <v/>
      </c>
      <c r="X54">
        <f>HYPERLINK("https://klasma.github.io/Logging_2081/tillsyn/A 19650-2024 tillsynsbegäran.docx", "A 19650-2024")</f>
        <v/>
      </c>
      <c r="Y54">
        <f>HYPERLINK("https://klasma.github.io/Logging_2081/tillsynsmail/A 19650-2024 tillsynsbegäran mail.docx", "A 19650-2024")</f>
        <v/>
      </c>
      <c r="Z54">
        <f>HYPERLINK("https://klasma.github.io/Logging_2081/fåglar/A 19650-2024 prioriterade fågelarter.docx", "A 19650-2024")</f>
        <v/>
      </c>
    </row>
    <row r="55" ht="15" customHeight="1">
      <c r="A55" t="inlineStr">
        <is>
          <t>A 37723-2024</t>
        </is>
      </c>
      <c r="B55" s="1" t="n">
        <v>45541</v>
      </c>
      <c r="C55" s="1" t="n">
        <v>45733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37723-2024 artfynd.xlsx", "A 37723-2024")</f>
        <v/>
      </c>
      <c r="T55">
        <f>HYPERLINK("https://klasma.github.io/Logging_2081/kartor/A 37723-2024 karta.png", "A 37723-2024")</f>
        <v/>
      </c>
      <c r="V55">
        <f>HYPERLINK("https://klasma.github.io/Logging_2081/klagomål/A 37723-2024 FSC-klagomål.docx", "A 37723-2024")</f>
        <v/>
      </c>
      <c r="W55">
        <f>HYPERLINK("https://klasma.github.io/Logging_2081/klagomålsmail/A 37723-2024 FSC-klagomål mail.docx", "A 37723-2024")</f>
        <v/>
      </c>
      <c r="X55">
        <f>HYPERLINK("https://klasma.github.io/Logging_2081/tillsyn/A 37723-2024 tillsynsbegäran.docx", "A 37723-2024")</f>
        <v/>
      </c>
      <c r="Y55">
        <f>HYPERLINK("https://klasma.github.io/Logging_2081/tillsynsmail/A 37723-2024 tillsynsbegäran mail.docx", "A 37723-2024")</f>
        <v/>
      </c>
    </row>
    <row r="56" ht="15" customHeight="1">
      <c r="A56" t="inlineStr">
        <is>
          <t>A 3067-2025</t>
        </is>
      </c>
      <c r="B56" s="1" t="n">
        <v>45678</v>
      </c>
      <c r="C56" s="1" t="n">
        <v>45733</v>
      </c>
      <c r="D56" t="inlineStr">
        <is>
          <t>DALARNAS LÄN</t>
        </is>
      </c>
      <c r="E56" t="inlineStr">
        <is>
          <t>BORLÄNGE</t>
        </is>
      </c>
      <c r="F56" t="inlineStr">
        <is>
          <t>Kommuner</t>
        </is>
      </c>
      <c r="G56" t="n">
        <v>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Vedticka</t>
        </is>
      </c>
      <c r="S56">
        <f>HYPERLINK("https://klasma.github.io/Logging_2081/artfynd/A 3067-2025 artfynd.xlsx", "A 3067-2025")</f>
        <v/>
      </c>
      <c r="T56">
        <f>HYPERLINK("https://klasma.github.io/Logging_2081/kartor/A 3067-2025 karta.png", "A 3067-2025")</f>
        <v/>
      </c>
      <c r="V56">
        <f>HYPERLINK("https://klasma.github.io/Logging_2081/klagomål/A 3067-2025 FSC-klagomål.docx", "A 3067-2025")</f>
        <v/>
      </c>
      <c r="W56">
        <f>HYPERLINK("https://klasma.github.io/Logging_2081/klagomålsmail/A 3067-2025 FSC-klagomål mail.docx", "A 3067-2025")</f>
        <v/>
      </c>
      <c r="X56">
        <f>HYPERLINK("https://klasma.github.io/Logging_2081/tillsyn/A 3067-2025 tillsynsbegäran.docx", "A 3067-2025")</f>
        <v/>
      </c>
      <c r="Y56">
        <f>HYPERLINK("https://klasma.github.io/Logging_2081/tillsynsmail/A 3067-2025 tillsynsbegäran mail.docx", "A 3067-2025")</f>
        <v/>
      </c>
    </row>
    <row r="57" ht="15" customHeight="1">
      <c r="A57" t="inlineStr">
        <is>
          <t>A 23553-2020</t>
        </is>
      </c>
      <c r="B57" s="1" t="n">
        <v>43969</v>
      </c>
      <c r="C57" s="1" t="n">
        <v>45733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23553-2020 artfynd.xlsx", "A 23553-2020")</f>
        <v/>
      </c>
      <c r="T57">
        <f>HYPERLINK("https://klasma.github.io/Logging_2081/kartor/A 23553-2020 karta.png", "A 23553-2020")</f>
        <v/>
      </c>
      <c r="V57">
        <f>HYPERLINK("https://klasma.github.io/Logging_2081/klagomål/A 23553-2020 FSC-klagomål.docx", "A 23553-2020")</f>
        <v/>
      </c>
      <c r="W57">
        <f>HYPERLINK("https://klasma.github.io/Logging_2081/klagomålsmail/A 23553-2020 FSC-klagomål mail.docx", "A 23553-2020")</f>
        <v/>
      </c>
      <c r="X57">
        <f>HYPERLINK("https://klasma.github.io/Logging_2081/tillsyn/A 23553-2020 tillsynsbegäran.docx", "A 23553-2020")</f>
        <v/>
      </c>
      <c r="Y57">
        <f>HYPERLINK("https://klasma.github.io/Logging_2081/tillsynsmail/A 23553-2020 tillsynsbegäran mail.docx", "A 23553-2020")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45733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41874-2021</t>
        </is>
      </c>
      <c r="B59" s="1" t="n">
        <v>44426</v>
      </c>
      <c r="C59" s="1" t="n">
        <v>45733</v>
      </c>
      <c r="D59" t="inlineStr">
        <is>
          <t>DALARNAS LÄN</t>
        </is>
      </c>
      <c r="E59" t="inlineStr">
        <is>
          <t>BORLÄNGE</t>
        </is>
      </c>
      <c r="G59" t="n">
        <v>13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HYPERLINK("https://klasma.github.io/Logging_2081/artfynd/A 41874-2021 artfynd.xlsx", "A 41874-2021")</f>
        <v/>
      </c>
      <c r="T59">
        <f>HYPERLINK("https://klasma.github.io/Logging_2081/kartor/A 41874-2021 karta.png", "A 41874-2021")</f>
        <v/>
      </c>
      <c r="V59">
        <f>HYPERLINK("https://klasma.github.io/Logging_2081/klagomål/A 41874-2021 FSC-klagomål.docx", "A 41874-2021")</f>
        <v/>
      </c>
      <c r="W59">
        <f>HYPERLINK("https://klasma.github.io/Logging_2081/klagomålsmail/A 41874-2021 FSC-klagomål mail.docx", "A 41874-2021")</f>
        <v/>
      </c>
      <c r="X59">
        <f>HYPERLINK("https://klasma.github.io/Logging_2081/tillsyn/A 41874-2021 tillsynsbegäran.docx", "A 41874-2021")</f>
        <v/>
      </c>
      <c r="Y59">
        <f>HYPERLINK("https://klasma.github.io/Logging_2081/tillsynsmail/A 41874-2021 tillsynsbegäran mail.docx", "A 41874-2021")</f>
        <v/>
      </c>
    </row>
    <row r="60" ht="15" customHeight="1">
      <c r="A60" t="inlineStr">
        <is>
          <t>A 49776-2021</t>
        </is>
      </c>
      <c r="B60" s="1" t="n">
        <v>44454</v>
      </c>
      <c r="C60" s="1" t="n">
        <v>45733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49776-2021 artfynd.xlsx", "A 49776-2021")</f>
        <v/>
      </c>
      <c r="T60">
        <f>HYPERLINK("https://klasma.github.io/Logging_2081/kartor/A 49776-2021 karta.png", "A 49776-2021")</f>
        <v/>
      </c>
      <c r="V60">
        <f>HYPERLINK("https://klasma.github.io/Logging_2081/klagomål/A 49776-2021 FSC-klagomål.docx", "A 49776-2021")</f>
        <v/>
      </c>
      <c r="W60">
        <f>HYPERLINK("https://klasma.github.io/Logging_2081/klagomålsmail/A 49776-2021 FSC-klagomål mail.docx", "A 49776-2021")</f>
        <v/>
      </c>
      <c r="X60">
        <f>HYPERLINK("https://klasma.github.io/Logging_2081/tillsyn/A 49776-2021 tillsynsbegäran.docx", "A 49776-2021")</f>
        <v/>
      </c>
      <c r="Y60">
        <f>HYPERLINK("https://klasma.github.io/Logging_2081/tillsynsmail/A 49776-2021 tillsynsbegäran mail.docx", "A 49776-2021")</f>
        <v/>
      </c>
    </row>
    <row r="61" ht="15" customHeight="1">
      <c r="A61" t="inlineStr">
        <is>
          <t>A 53580-2021</t>
        </is>
      </c>
      <c r="B61" s="1" t="n">
        <v>44469</v>
      </c>
      <c r="C61" s="1" t="n">
        <v>45733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HYPERLINK("https://klasma.github.io/Logging_2081/artfynd/A 53580-2021 artfynd.xlsx", "A 53580-2021")</f>
        <v/>
      </c>
      <c r="T61">
        <f>HYPERLINK("https://klasma.github.io/Logging_2081/kartor/A 53580-2021 karta.png", "A 53580-2021")</f>
        <v/>
      </c>
      <c r="V61">
        <f>HYPERLINK("https://klasma.github.io/Logging_2081/klagomål/A 53580-2021 FSC-klagomål.docx", "A 53580-2021")</f>
        <v/>
      </c>
      <c r="W61">
        <f>HYPERLINK("https://klasma.github.io/Logging_2081/klagomålsmail/A 53580-2021 FSC-klagomål mail.docx", "A 53580-2021")</f>
        <v/>
      </c>
      <c r="X61">
        <f>HYPERLINK("https://klasma.github.io/Logging_2081/tillsyn/A 53580-2021 tillsynsbegäran.docx", "A 53580-2021")</f>
        <v/>
      </c>
      <c r="Y61">
        <f>HYPERLINK("https://klasma.github.io/Logging_2081/tillsynsmail/A 53580-2021 tillsynsbegäran mail.docx", "A 53580-2021")</f>
        <v/>
      </c>
    </row>
    <row r="62" ht="15" customHeight="1">
      <c r="A62" t="inlineStr">
        <is>
          <t>A 54045-2021</t>
        </is>
      </c>
      <c r="B62" s="1" t="n">
        <v>44470</v>
      </c>
      <c r="C62" s="1" t="n">
        <v>45733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54045-2021 artfynd.xlsx", "A 54045-2021")</f>
        <v/>
      </c>
      <c r="T62">
        <f>HYPERLINK("https://klasma.github.io/Logging_2081/kartor/A 54045-2021 karta.png", "A 54045-2021")</f>
        <v/>
      </c>
      <c r="V62">
        <f>HYPERLINK("https://klasma.github.io/Logging_2081/klagomål/A 54045-2021 FSC-klagomål.docx", "A 54045-2021")</f>
        <v/>
      </c>
      <c r="W62">
        <f>HYPERLINK("https://klasma.github.io/Logging_2081/klagomålsmail/A 54045-2021 FSC-klagomål mail.docx", "A 54045-2021")</f>
        <v/>
      </c>
      <c r="X62">
        <f>HYPERLINK("https://klasma.github.io/Logging_2081/tillsyn/A 54045-2021 tillsynsbegäran.docx", "A 54045-2021")</f>
        <v/>
      </c>
      <c r="Y62">
        <f>HYPERLINK("https://klasma.github.io/Logging_2081/tillsynsmail/A 54045-2021 tillsynsbegäran mail.docx", "A 54045-2021")</f>
        <v/>
      </c>
    </row>
    <row r="63" ht="15" customHeight="1">
      <c r="A63" t="inlineStr">
        <is>
          <t>A 54699-2021</t>
        </is>
      </c>
      <c r="B63" s="1" t="n">
        <v>44473</v>
      </c>
      <c r="C63" s="1" t="n">
        <v>45733</v>
      </c>
      <c r="D63" t="inlineStr">
        <is>
          <t>DALARNAS LÄN</t>
        </is>
      </c>
      <c r="E63" t="inlineStr">
        <is>
          <t>BORLÄNGE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54699-2021 artfynd.xlsx", "A 54699-2021")</f>
        <v/>
      </c>
      <c r="T63">
        <f>HYPERLINK("https://klasma.github.io/Logging_2081/kartor/A 54699-2021 karta.png", "A 54699-2021")</f>
        <v/>
      </c>
      <c r="U63">
        <f>HYPERLINK("https://klasma.github.io/Logging_2081/knärot/A 54699-2021 karta knärot.png", "A 54699-2021")</f>
        <v/>
      </c>
      <c r="V63">
        <f>HYPERLINK("https://klasma.github.io/Logging_2081/klagomål/A 54699-2021 FSC-klagomål.docx", "A 54699-2021")</f>
        <v/>
      </c>
      <c r="W63">
        <f>HYPERLINK("https://klasma.github.io/Logging_2081/klagomålsmail/A 54699-2021 FSC-klagomål mail.docx", "A 54699-2021")</f>
        <v/>
      </c>
      <c r="X63">
        <f>HYPERLINK("https://klasma.github.io/Logging_2081/tillsyn/A 54699-2021 tillsynsbegäran.docx", "A 54699-2021")</f>
        <v/>
      </c>
      <c r="Y63">
        <f>HYPERLINK("https://klasma.github.io/Logging_2081/tillsynsmail/A 54699-2021 tillsynsbegäran mail.docx", "A 54699-2021")</f>
        <v/>
      </c>
    </row>
    <row r="64" ht="15" customHeight="1">
      <c r="A64" t="inlineStr">
        <is>
          <t>A 13779-2022</t>
        </is>
      </c>
      <c r="B64" s="1" t="n">
        <v>44649</v>
      </c>
      <c r="C64" s="1" t="n">
        <v>45733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Slaguggla</t>
        </is>
      </c>
      <c r="S64">
        <f>HYPERLINK("https://klasma.github.io/Logging_2081/artfynd/A 13779-2022 artfynd.xlsx", "A 13779-2022")</f>
        <v/>
      </c>
      <c r="T64">
        <f>HYPERLINK("https://klasma.github.io/Logging_2081/kartor/A 13779-2022 karta.png", "A 13779-2022")</f>
        <v/>
      </c>
      <c r="V64">
        <f>HYPERLINK("https://klasma.github.io/Logging_2081/klagomål/A 13779-2022 FSC-klagomål.docx", "A 13779-2022")</f>
        <v/>
      </c>
      <c r="W64">
        <f>HYPERLINK("https://klasma.github.io/Logging_2081/klagomålsmail/A 13779-2022 FSC-klagomål mail.docx", "A 13779-2022")</f>
        <v/>
      </c>
      <c r="X64">
        <f>HYPERLINK("https://klasma.github.io/Logging_2081/tillsyn/A 13779-2022 tillsynsbegäran.docx", "A 13779-2022")</f>
        <v/>
      </c>
      <c r="Y64">
        <f>HYPERLINK("https://klasma.github.io/Logging_2081/tillsynsmail/A 13779-2022 tillsynsbegäran mail.docx", "A 13779-2022")</f>
        <v/>
      </c>
      <c r="Z64">
        <f>HYPERLINK("https://klasma.github.io/Logging_2081/fåglar/A 13779-2022 prioriterade fågelarter.docx", "A 13779-2022")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45733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33694-2022</t>
        </is>
      </c>
      <c r="B66" s="1" t="n">
        <v>44789</v>
      </c>
      <c r="C66" s="1" t="n">
        <v>45733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35370-2022</t>
        </is>
      </c>
      <c r="B67" s="1" t="n">
        <v>44798</v>
      </c>
      <c r="C67" s="1" t="n">
        <v>45733</v>
      </c>
      <c r="D67" t="inlineStr">
        <is>
          <t>DALARNAS LÄN</t>
        </is>
      </c>
      <c r="E67" t="inlineStr">
        <is>
          <t>BORLÄNGE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35370-2022 artfynd.xlsx", "A 35370-2022")</f>
        <v/>
      </c>
      <c r="T67">
        <f>HYPERLINK("https://klasma.github.io/Logging_2081/kartor/A 35370-2022 karta.png", "A 35370-2022")</f>
        <v/>
      </c>
      <c r="V67">
        <f>HYPERLINK("https://klasma.github.io/Logging_2081/klagomål/A 35370-2022 FSC-klagomål.docx", "A 35370-2022")</f>
        <v/>
      </c>
      <c r="W67">
        <f>HYPERLINK("https://klasma.github.io/Logging_2081/klagomålsmail/A 35370-2022 FSC-klagomål mail.docx", "A 35370-2022")</f>
        <v/>
      </c>
      <c r="X67">
        <f>HYPERLINK("https://klasma.github.io/Logging_2081/tillsyn/A 35370-2022 tillsynsbegäran.docx", "A 35370-2022")</f>
        <v/>
      </c>
      <c r="Y67">
        <f>HYPERLINK("https://klasma.github.io/Logging_2081/tillsynsmail/A 35370-2022 tillsynsbegäran mail.docx", "A 35370-2022")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45733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43639-2022</t>
        </is>
      </c>
      <c r="B69" s="1" t="n">
        <v>44837</v>
      </c>
      <c r="C69" s="1" t="n">
        <v>45733</v>
      </c>
      <c r="D69" t="inlineStr">
        <is>
          <t>DALARNAS LÄN</t>
        </is>
      </c>
      <c r="E69" t="inlineStr">
        <is>
          <t>BORLÄNGE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HYPERLINK("https://klasma.github.io/Logging_2081/artfynd/A 43639-2022 artfynd.xlsx", "A 43639-2022")</f>
        <v/>
      </c>
      <c r="T69">
        <f>HYPERLINK("https://klasma.github.io/Logging_2081/kartor/A 43639-2022 karta.png", "A 43639-2022")</f>
        <v/>
      </c>
      <c r="V69">
        <f>HYPERLINK("https://klasma.github.io/Logging_2081/klagomål/A 43639-2022 FSC-klagomål.docx", "A 43639-2022")</f>
        <v/>
      </c>
      <c r="W69">
        <f>HYPERLINK("https://klasma.github.io/Logging_2081/klagomålsmail/A 43639-2022 FSC-klagomål mail.docx", "A 43639-2022")</f>
        <v/>
      </c>
      <c r="X69">
        <f>HYPERLINK("https://klasma.github.io/Logging_2081/tillsyn/A 43639-2022 tillsynsbegäran.docx", "A 43639-2022")</f>
        <v/>
      </c>
      <c r="Y69">
        <f>HYPERLINK("https://klasma.github.io/Logging_2081/tillsynsmail/A 43639-2022 tillsynsbegäran mail.docx", "A 43639-2022")</f>
        <v/>
      </c>
    </row>
    <row r="70" ht="15" customHeight="1">
      <c r="A70" t="inlineStr">
        <is>
          <t>A 52278-2022</t>
        </is>
      </c>
      <c r="B70" s="1" t="n">
        <v>44869</v>
      </c>
      <c r="C70" s="1" t="n">
        <v>45733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HYPERLINK("https://klasma.github.io/Logging_2081/artfynd/A 52278-2022 artfynd.xlsx", "A 52278-2022")</f>
        <v/>
      </c>
      <c r="T70">
        <f>HYPERLINK("https://klasma.github.io/Logging_2081/kartor/A 52278-2022 karta.png", "A 52278-2022")</f>
        <v/>
      </c>
      <c r="V70">
        <f>HYPERLINK("https://klasma.github.io/Logging_2081/klagomål/A 52278-2022 FSC-klagomål.docx", "A 52278-2022")</f>
        <v/>
      </c>
      <c r="W70">
        <f>HYPERLINK("https://klasma.github.io/Logging_2081/klagomålsmail/A 52278-2022 FSC-klagomål mail.docx", "A 52278-2022")</f>
        <v/>
      </c>
      <c r="X70">
        <f>HYPERLINK("https://klasma.github.io/Logging_2081/tillsyn/A 52278-2022 tillsynsbegäran.docx", "A 52278-2022")</f>
        <v/>
      </c>
      <c r="Y70">
        <f>HYPERLINK("https://klasma.github.io/Logging_2081/tillsynsmail/A 52278-2022 tillsynsbegäran mail.docx", "A 52278-2022")</f>
        <v/>
      </c>
    </row>
    <row r="71" ht="15" customHeight="1">
      <c r="A71" t="inlineStr">
        <is>
          <t>A 57693-2022</t>
        </is>
      </c>
      <c r="B71" s="1" t="n">
        <v>44897</v>
      </c>
      <c r="C71" s="1" t="n">
        <v>45733</v>
      </c>
      <c r="D71" t="inlineStr">
        <is>
          <t>DALARNAS LÄN</t>
        </is>
      </c>
      <c r="E71" t="inlineStr">
        <is>
          <t>BORLÄNGE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Nästlav</t>
        </is>
      </c>
      <c r="S71">
        <f>HYPERLINK("https://klasma.github.io/Logging_2081/artfynd/A 57693-2022 artfynd.xlsx", "A 57693-2022")</f>
        <v/>
      </c>
      <c r="T71">
        <f>HYPERLINK("https://klasma.github.io/Logging_2081/kartor/A 57693-2022 karta.png", "A 57693-2022")</f>
        <v/>
      </c>
      <c r="V71">
        <f>HYPERLINK("https://klasma.github.io/Logging_2081/klagomål/A 57693-2022 FSC-klagomål.docx", "A 57693-2022")</f>
        <v/>
      </c>
      <c r="W71">
        <f>HYPERLINK("https://klasma.github.io/Logging_2081/klagomålsmail/A 57693-2022 FSC-klagomål mail.docx", "A 57693-2022")</f>
        <v/>
      </c>
      <c r="X71">
        <f>HYPERLINK("https://klasma.github.io/Logging_2081/tillsyn/A 57693-2022 tillsynsbegäran.docx", "A 57693-2022")</f>
        <v/>
      </c>
      <c r="Y71">
        <f>HYPERLINK("https://klasma.github.io/Logging_2081/tillsynsmail/A 57693-2022 tillsynsbegäran mail.docx", "A 57693-2022")</f>
        <v/>
      </c>
    </row>
    <row r="72" ht="15" customHeight="1">
      <c r="A72" t="inlineStr">
        <is>
          <t>A 865-2023</t>
        </is>
      </c>
      <c r="B72" s="1" t="n">
        <v>44931</v>
      </c>
      <c r="C72" s="1" t="n">
        <v>45733</v>
      </c>
      <c r="D72" t="inlineStr">
        <is>
          <t>DALARNAS LÄN</t>
        </is>
      </c>
      <c r="E72" t="inlineStr">
        <is>
          <t>BORLÄNGE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865-2023 artfynd.xlsx", "A 865-2023")</f>
        <v/>
      </c>
      <c r="T72">
        <f>HYPERLINK("https://klasma.github.io/Logging_2081/kartor/A 865-2023 karta.png", "A 865-2023")</f>
        <v/>
      </c>
      <c r="U72">
        <f>HYPERLINK("https://klasma.github.io/Logging_2081/knärot/A 865-2023 karta knärot.png", "A 865-2023")</f>
        <v/>
      </c>
      <c r="V72">
        <f>HYPERLINK("https://klasma.github.io/Logging_2081/klagomål/A 865-2023 FSC-klagomål.docx", "A 865-2023")</f>
        <v/>
      </c>
      <c r="W72">
        <f>HYPERLINK("https://klasma.github.io/Logging_2081/klagomålsmail/A 865-2023 FSC-klagomål mail.docx", "A 865-2023")</f>
        <v/>
      </c>
      <c r="X72">
        <f>HYPERLINK("https://klasma.github.io/Logging_2081/tillsyn/A 865-2023 tillsynsbegäran.docx", "A 865-2023")</f>
        <v/>
      </c>
      <c r="Y72">
        <f>HYPERLINK("https://klasma.github.io/Logging_2081/tillsynsmail/A 865-2023 tillsynsbegäran mail.docx", "A 865-2023")</f>
        <v/>
      </c>
    </row>
    <row r="73" ht="15" customHeight="1">
      <c r="A73" t="inlineStr">
        <is>
          <t>A 11846-2023</t>
        </is>
      </c>
      <c r="B73" s="1" t="n">
        <v>44995</v>
      </c>
      <c r="C73" s="1" t="n">
        <v>45733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HYPERLINK("https://klasma.github.io/Logging_2081/artfynd/A 11846-2023 artfynd.xlsx", "A 11846-2023")</f>
        <v/>
      </c>
      <c r="T73">
        <f>HYPERLINK("https://klasma.github.io/Logging_2081/kartor/A 11846-2023 karta.png", "A 11846-2023")</f>
        <v/>
      </c>
      <c r="V73">
        <f>HYPERLINK("https://klasma.github.io/Logging_2081/klagomål/A 11846-2023 FSC-klagomål.docx", "A 11846-2023")</f>
        <v/>
      </c>
      <c r="W73">
        <f>HYPERLINK("https://klasma.github.io/Logging_2081/klagomålsmail/A 11846-2023 FSC-klagomål mail.docx", "A 11846-2023")</f>
        <v/>
      </c>
      <c r="X73">
        <f>HYPERLINK("https://klasma.github.io/Logging_2081/tillsyn/A 11846-2023 tillsynsbegäran.docx", "A 11846-2023")</f>
        <v/>
      </c>
      <c r="Y73">
        <f>HYPERLINK("https://klasma.github.io/Logging_2081/tillsynsmail/A 11846-2023 tillsynsbegäran mail.docx", "A 11846-2023")</f>
        <v/>
      </c>
    </row>
    <row r="74" ht="15" customHeight="1">
      <c r="A74" t="inlineStr">
        <is>
          <t>A 15196-2023</t>
        </is>
      </c>
      <c r="B74" s="1" t="n">
        <v>45016</v>
      </c>
      <c r="C74" s="1" t="n">
        <v>45733</v>
      </c>
      <c r="D74" t="inlineStr">
        <is>
          <t>DALARNAS LÄN</t>
        </is>
      </c>
      <c r="E74" t="inlineStr">
        <is>
          <t>BORLÄNGE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15196-2023 artfynd.xlsx", "A 15196-2023")</f>
        <v/>
      </c>
      <c r="T74">
        <f>HYPERLINK("https://klasma.github.io/Logging_2081/kartor/A 15196-2023 karta.png", "A 15196-2023")</f>
        <v/>
      </c>
      <c r="V74">
        <f>HYPERLINK("https://klasma.github.io/Logging_2081/klagomål/A 15196-2023 FSC-klagomål.docx", "A 15196-2023")</f>
        <v/>
      </c>
      <c r="W74">
        <f>HYPERLINK("https://klasma.github.io/Logging_2081/klagomålsmail/A 15196-2023 FSC-klagomål mail.docx", "A 15196-2023")</f>
        <v/>
      </c>
      <c r="X74">
        <f>HYPERLINK("https://klasma.github.io/Logging_2081/tillsyn/A 15196-2023 tillsynsbegäran.docx", "A 15196-2023")</f>
        <v/>
      </c>
      <c r="Y74">
        <f>HYPERLINK("https://klasma.github.io/Logging_2081/tillsynsmail/A 15196-2023 tillsynsbegäran mail.docx", "A 15196-2023")</f>
        <v/>
      </c>
    </row>
    <row r="75" ht="15" customHeight="1">
      <c r="A75" t="inlineStr">
        <is>
          <t>A 17576-2023</t>
        </is>
      </c>
      <c r="B75" s="1" t="n">
        <v>45036</v>
      </c>
      <c r="C75" s="1" t="n">
        <v>45733</v>
      </c>
      <c r="D75" t="inlineStr">
        <is>
          <t>DALARNAS LÄN</t>
        </is>
      </c>
      <c r="E75" t="inlineStr">
        <is>
          <t>BORLÄNGE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17576-2023 artfynd.xlsx", "A 17576-2023")</f>
        <v/>
      </c>
      <c r="T75">
        <f>HYPERLINK("https://klasma.github.io/Logging_2081/kartor/A 17576-2023 karta.png", "A 17576-2023")</f>
        <v/>
      </c>
      <c r="V75">
        <f>HYPERLINK("https://klasma.github.io/Logging_2081/klagomål/A 17576-2023 FSC-klagomål.docx", "A 17576-2023")</f>
        <v/>
      </c>
      <c r="W75">
        <f>HYPERLINK("https://klasma.github.io/Logging_2081/klagomålsmail/A 17576-2023 FSC-klagomål mail.docx", "A 17576-2023")</f>
        <v/>
      </c>
      <c r="X75">
        <f>HYPERLINK("https://klasma.github.io/Logging_2081/tillsyn/A 17576-2023 tillsynsbegäran.docx", "A 17576-2023")</f>
        <v/>
      </c>
      <c r="Y75">
        <f>HYPERLINK("https://klasma.github.io/Logging_2081/tillsynsmail/A 17576-2023 tillsynsbegäran mail.docx", "A 17576-2023")</f>
        <v/>
      </c>
      <c r="Z75">
        <f>HYPERLINK("https://klasma.github.io/Logging_2081/fåglar/A 17576-2023 prioriterade fågelarter.docx", "A 17576-2023")</f>
        <v/>
      </c>
    </row>
    <row r="76" ht="15" customHeight="1">
      <c r="A76" t="inlineStr">
        <is>
          <t>A 17571-2023</t>
        </is>
      </c>
      <c r="B76" s="1" t="n">
        <v>45036</v>
      </c>
      <c r="C76" s="1" t="n">
        <v>45733</v>
      </c>
      <c r="D76" t="inlineStr">
        <is>
          <t>DALARNAS LÄN</t>
        </is>
      </c>
      <c r="E76" t="inlineStr">
        <is>
          <t>BORLÄNGE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17571-2023 artfynd.xlsx", "A 17571-2023")</f>
        <v/>
      </c>
      <c r="T76">
        <f>HYPERLINK("https://klasma.github.io/Logging_2081/kartor/A 17571-2023 karta.png", "A 17571-2023")</f>
        <v/>
      </c>
      <c r="V76">
        <f>HYPERLINK("https://klasma.github.io/Logging_2081/klagomål/A 17571-2023 FSC-klagomål.docx", "A 17571-2023")</f>
        <v/>
      </c>
      <c r="W76">
        <f>HYPERLINK("https://klasma.github.io/Logging_2081/klagomålsmail/A 17571-2023 FSC-klagomål mail.docx", "A 17571-2023")</f>
        <v/>
      </c>
      <c r="X76">
        <f>HYPERLINK("https://klasma.github.io/Logging_2081/tillsyn/A 17571-2023 tillsynsbegäran.docx", "A 17571-2023")</f>
        <v/>
      </c>
      <c r="Y76">
        <f>HYPERLINK("https://klasma.github.io/Logging_2081/tillsynsmail/A 17571-2023 tillsynsbegäran mail.docx", "A 17571-2023")</f>
        <v/>
      </c>
      <c r="Z76">
        <f>HYPERLINK("https://klasma.github.io/Logging_2081/fåglar/A 17571-2023 prioriterade fågelarter.docx", "A 17571-2023")</f>
        <v/>
      </c>
    </row>
    <row r="77" ht="15" customHeight="1">
      <c r="A77" t="inlineStr">
        <is>
          <t>A 17913-2023</t>
        </is>
      </c>
      <c r="B77" s="1" t="n">
        <v>45040</v>
      </c>
      <c r="C77" s="1" t="n">
        <v>45733</v>
      </c>
      <c r="D77" t="inlineStr">
        <is>
          <t>DALARNAS LÄN</t>
        </is>
      </c>
      <c r="E77" t="inlineStr">
        <is>
          <t>BORLÄNGE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17913-2023 artfynd.xlsx", "A 17913-2023")</f>
        <v/>
      </c>
      <c r="T77">
        <f>HYPERLINK("https://klasma.github.io/Logging_2081/kartor/A 17913-2023 karta.png", "A 17913-2023")</f>
        <v/>
      </c>
      <c r="V77">
        <f>HYPERLINK("https://klasma.github.io/Logging_2081/klagomål/A 17913-2023 FSC-klagomål.docx", "A 17913-2023")</f>
        <v/>
      </c>
      <c r="W77">
        <f>HYPERLINK("https://klasma.github.io/Logging_2081/klagomålsmail/A 17913-2023 FSC-klagomål mail.docx", "A 17913-2023")</f>
        <v/>
      </c>
      <c r="X77">
        <f>HYPERLINK("https://klasma.github.io/Logging_2081/tillsyn/A 17913-2023 tillsynsbegäran.docx", "A 17913-2023")</f>
        <v/>
      </c>
      <c r="Y77">
        <f>HYPERLINK("https://klasma.github.io/Logging_2081/tillsynsmail/A 17913-2023 tillsynsbegäran mail.docx", "A 17913-2023")</f>
        <v/>
      </c>
    </row>
    <row r="78" ht="15" customHeight="1">
      <c r="A78" t="inlineStr">
        <is>
          <t>A 20925-2023</t>
        </is>
      </c>
      <c r="B78" s="1" t="n">
        <v>45061</v>
      </c>
      <c r="C78" s="1" t="n">
        <v>45733</v>
      </c>
      <c r="D78" t="inlineStr">
        <is>
          <t>DALARNAS LÄN</t>
        </is>
      </c>
      <c r="E78" t="inlineStr">
        <is>
          <t>BORLÄNGE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20925-2023 artfynd.xlsx", "A 20925-2023")</f>
        <v/>
      </c>
      <c r="T78">
        <f>HYPERLINK("https://klasma.github.io/Logging_2081/kartor/A 20925-2023 karta.png", "A 20925-2023")</f>
        <v/>
      </c>
      <c r="U78">
        <f>HYPERLINK("https://klasma.github.io/Logging_2081/knärot/A 20925-2023 karta knärot.png", "A 20925-2023")</f>
        <v/>
      </c>
      <c r="V78">
        <f>HYPERLINK("https://klasma.github.io/Logging_2081/klagomål/A 20925-2023 FSC-klagomål.docx", "A 20925-2023")</f>
        <v/>
      </c>
      <c r="W78">
        <f>HYPERLINK("https://klasma.github.io/Logging_2081/klagomålsmail/A 20925-2023 FSC-klagomål mail.docx", "A 20925-2023")</f>
        <v/>
      </c>
      <c r="X78">
        <f>HYPERLINK("https://klasma.github.io/Logging_2081/tillsyn/A 20925-2023 tillsynsbegäran.docx", "A 20925-2023")</f>
        <v/>
      </c>
      <c r="Y78">
        <f>HYPERLINK("https://klasma.github.io/Logging_2081/tillsynsmail/A 20925-2023 tillsynsbegäran mail.docx", "A 20925-2023")</f>
        <v/>
      </c>
    </row>
    <row r="79" ht="15" customHeight="1">
      <c r="A79" t="inlineStr">
        <is>
          <t>A 21131-2023</t>
        </is>
      </c>
      <c r="B79" s="1" t="n">
        <v>45062</v>
      </c>
      <c r="C79" s="1" t="n">
        <v>45733</v>
      </c>
      <c r="D79" t="inlineStr">
        <is>
          <t>DALARNAS LÄN</t>
        </is>
      </c>
      <c r="E79" t="inlineStr">
        <is>
          <t>BORLÄNGE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21131-2023 artfynd.xlsx", "A 21131-2023")</f>
        <v/>
      </c>
      <c r="T79">
        <f>HYPERLINK("https://klasma.github.io/Logging_2081/kartor/A 21131-2023 karta.png", "A 21131-2023")</f>
        <v/>
      </c>
      <c r="V79">
        <f>HYPERLINK("https://klasma.github.io/Logging_2081/klagomål/A 21131-2023 FSC-klagomål.docx", "A 21131-2023")</f>
        <v/>
      </c>
      <c r="W79">
        <f>HYPERLINK("https://klasma.github.io/Logging_2081/klagomålsmail/A 21131-2023 FSC-klagomål mail.docx", "A 21131-2023")</f>
        <v/>
      </c>
      <c r="X79">
        <f>HYPERLINK("https://klasma.github.io/Logging_2081/tillsyn/A 21131-2023 tillsynsbegäran.docx", "A 21131-2023")</f>
        <v/>
      </c>
      <c r="Y79">
        <f>HYPERLINK("https://klasma.github.io/Logging_2081/tillsynsmail/A 21131-2023 tillsynsbegäran mail.docx", "A 21131-2023")</f>
        <v/>
      </c>
    </row>
    <row r="80" ht="15" customHeight="1">
      <c r="A80" t="inlineStr">
        <is>
          <t>A 22900-2023</t>
        </is>
      </c>
      <c r="B80" s="1" t="n">
        <v>45072</v>
      </c>
      <c r="C80" s="1" t="n">
        <v>45733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 gräsfjäril</t>
        </is>
      </c>
      <c r="S80">
        <f>HYPERLINK("https://klasma.github.io/Logging_2081/artfynd/A 22900-2023 artfynd.xlsx", "A 22900-2023")</f>
        <v/>
      </c>
      <c r="T80">
        <f>HYPERLINK("https://klasma.github.io/Logging_2081/kartor/A 22900-2023 karta.png", "A 22900-2023")</f>
        <v/>
      </c>
      <c r="V80">
        <f>HYPERLINK("https://klasma.github.io/Logging_2081/klagomål/A 22900-2023 FSC-klagomål.docx", "A 22900-2023")</f>
        <v/>
      </c>
      <c r="W80">
        <f>HYPERLINK("https://klasma.github.io/Logging_2081/klagomålsmail/A 22900-2023 FSC-klagomål mail.docx", "A 22900-2023")</f>
        <v/>
      </c>
      <c r="X80">
        <f>HYPERLINK("https://klasma.github.io/Logging_2081/tillsyn/A 22900-2023 tillsynsbegäran.docx", "A 22900-2023")</f>
        <v/>
      </c>
      <c r="Y80">
        <f>HYPERLINK("https://klasma.github.io/Logging_2081/tillsynsmail/A 22900-2023 tillsynsbegäran mail.docx", "A 22900-2023")</f>
        <v/>
      </c>
    </row>
    <row r="81" ht="15" customHeight="1">
      <c r="A81" t="inlineStr">
        <is>
          <t>A 25763-2023</t>
        </is>
      </c>
      <c r="B81" s="1" t="n">
        <v>45090</v>
      </c>
      <c r="C81" s="1" t="n">
        <v>45733</v>
      </c>
      <c r="D81" t="inlineStr">
        <is>
          <t>DALARNAS LÄN</t>
        </is>
      </c>
      <c r="E81" t="inlineStr">
        <is>
          <t>BORLÄNGE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25763-2023 artfynd.xlsx", "A 25763-2023")</f>
        <v/>
      </c>
      <c r="T81">
        <f>HYPERLINK("https://klasma.github.io/Logging_2081/kartor/A 25763-2023 karta.png", "A 25763-2023")</f>
        <v/>
      </c>
      <c r="V81">
        <f>HYPERLINK("https://klasma.github.io/Logging_2081/klagomål/A 25763-2023 FSC-klagomål.docx", "A 25763-2023")</f>
        <v/>
      </c>
      <c r="W81">
        <f>HYPERLINK("https://klasma.github.io/Logging_2081/klagomålsmail/A 25763-2023 FSC-klagomål mail.docx", "A 25763-2023")</f>
        <v/>
      </c>
      <c r="X81">
        <f>HYPERLINK("https://klasma.github.io/Logging_2081/tillsyn/A 25763-2023 tillsynsbegäran.docx", "A 25763-2023")</f>
        <v/>
      </c>
      <c r="Y81">
        <f>HYPERLINK("https://klasma.github.io/Logging_2081/tillsynsmail/A 25763-2023 tillsynsbegäran mail.docx", "A 25763-2023")</f>
        <v/>
      </c>
    </row>
    <row r="82" ht="15" customHeight="1">
      <c r="A82" t="inlineStr">
        <is>
          <t>A 42040-2023</t>
        </is>
      </c>
      <c r="B82" s="1" t="n">
        <v>45177</v>
      </c>
      <c r="C82" s="1" t="n">
        <v>45733</v>
      </c>
      <c r="D82" t="inlineStr">
        <is>
          <t>DALARNAS LÄN</t>
        </is>
      </c>
      <c r="E82" t="inlineStr">
        <is>
          <t>BORLÄNGE</t>
        </is>
      </c>
      <c r="G82" t="n">
        <v>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HYPERLINK("https://klasma.github.io/Logging_2081/artfynd/A 42040-2023 artfynd.xlsx", "A 42040-2023")</f>
        <v/>
      </c>
      <c r="T82">
        <f>HYPERLINK("https://klasma.github.io/Logging_2081/kartor/A 42040-2023 karta.png", "A 42040-2023")</f>
        <v/>
      </c>
      <c r="U82">
        <f>HYPERLINK("https://klasma.github.io/Logging_2081/knärot/A 42040-2023 karta knärot.png", "A 42040-2023")</f>
        <v/>
      </c>
      <c r="V82">
        <f>HYPERLINK("https://klasma.github.io/Logging_2081/klagomål/A 42040-2023 FSC-klagomål.docx", "A 42040-2023")</f>
        <v/>
      </c>
      <c r="W82">
        <f>HYPERLINK("https://klasma.github.io/Logging_2081/klagomålsmail/A 42040-2023 FSC-klagomål mail.docx", "A 42040-2023")</f>
        <v/>
      </c>
      <c r="X82">
        <f>HYPERLINK("https://klasma.github.io/Logging_2081/tillsyn/A 42040-2023 tillsynsbegäran.docx", "A 42040-2023")</f>
        <v/>
      </c>
      <c r="Y82">
        <f>HYPERLINK("https://klasma.github.io/Logging_2081/tillsynsmail/A 42040-2023 tillsynsbegäran mail.docx", "A 42040-2023")</f>
        <v/>
      </c>
    </row>
    <row r="83" ht="15" customHeight="1">
      <c r="A83" t="inlineStr">
        <is>
          <t>A 47211-2023</t>
        </is>
      </c>
      <c r="B83" s="1" t="n">
        <v>45202</v>
      </c>
      <c r="C83" s="1" t="n">
        <v>45733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7.4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47211-2023 artfynd.xlsx", "A 47211-2023")</f>
        <v/>
      </c>
      <c r="T83">
        <f>HYPERLINK("https://klasma.github.io/Logging_2081/kartor/A 47211-2023 karta.png", "A 47211-2023")</f>
        <v/>
      </c>
      <c r="U83">
        <f>HYPERLINK("https://klasma.github.io/Logging_2081/knärot/A 47211-2023 karta knärot.png", "A 47211-2023")</f>
        <v/>
      </c>
      <c r="V83">
        <f>HYPERLINK("https://klasma.github.io/Logging_2081/klagomål/A 47211-2023 FSC-klagomål.docx", "A 47211-2023")</f>
        <v/>
      </c>
      <c r="W83">
        <f>HYPERLINK("https://klasma.github.io/Logging_2081/klagomålsmail/A 47211-2023 FSC-klagomål mail.docx", "A 47211-2023")</f>
        <v/>
      </c>
      <c r="X83">
        <f>HYPERLINK("https://klasma.github.io/Logging_2081/tillsyn/A 47211-2023 tillsynsbegäran.docx", "A 47211-2023")</f>
        <v/>
      </c>
      <c r="Y83">
        <f>HYPERLINK("https://klasma.github.io/Logging_2081/tillsynsmail/A 47211-2023 tillsynsbegäran mail.docx", "A 47211-2023")</f>
        <v/>
      </c>
    </row>
    <row r="84" ht="15" customHeight="1">
      <c r="A84" t="inlineStr">
        <is>
          <t>A 58609-2023</t>
        </is>
      </c>
      <c r="B84" s="1" t="n">
        <v>45251</v>
      </c>
      <c r="C84" s="1" t="n">
        <v>45733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58609-2023 artfynd.xlsx", "A 58609-2023")</f>
        <v/>
      </c>
      <c r="T84">
        <f>HYPERLINK("https://klasma.github.io/Logging_2081/kartor/A 58609-2023 karta.png", "A 58609-2023")</f>
        <v/>
      </c>
      <c r="V84">
        <f>HYPERLINK("https://klasma.github.io/Logging_2081/klagomål/A 58609-2023 FSC-klagomål.docx", "A 58609-2023")</f>
        <v/>
      </c>
      <c r="W84">
        <f>HYPERLINK("https://klasma.github.io/Logging_2081/klagomålsmail/A 58609-2023 FSC-klagomål mail.docx", "A 58609-2023")</f>
        <v/>
      </c>
      <c r="X84">
        <f>HYPERLINK("https://klasma.github.io/Logging_2081/tillsyn/A 58609-2023 tillsynsbegäran.docx", "A 58609-2023")</f>
        <v/>
      </c>
      <c r="Y84">
        <f>HYPERLINK("https://klasma.github.io/Logging_2081/tillsynsmail/A 58609-2023 tillsynsbegäran mail.docx", "A 58609-2023")</f>
        <v/>
      </c>
    </row>
    <row r="85" ht="15" customHeight="1">
      <c r="A85" t="inlineStr">
        <is>
          <t>A 60150-2023</t>
        </is>
      </c>
      <c r="B85" s="1" t="n">
        <v>45258</v>
      </c>
      <c r="C85" s="1" t="n">
        <v>45733</v>
      </c>
      <c r="D85" t="inlineStr">
        <is>
          <t>DALARNAS LÄN</t>
        </is>
      </c>
      <c r="E85" t="inlineStr">
        <is>
          <t>BORLÄNGE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Trådticka</t>
        </is>
      </c>
      <c r="S85">
        <f>HYPERLINK("https://klasma.github.io/Logging_2081/artfynd/A 60150-2023 artfynd.xlsx", "A 60150-2023")</f>
        <v/>
      </c>
      <c r="T85">
        <f>HYPERLINK("https://klasma.github.io/Logging_2081/kartor/A 60150-2023 karta.png", "A 60150-2023")</f>
        <v/>
      </c>
      <c r="V85">
        <f>HYPERLINK("https://klasma.github.io/Logging_2081/klagomål/A 60150-2023 FSC-klagomål.docx", "A 60150-2023")</f>
        <v/>
      </c>
      <c r="W85">
        <f>HYPERLINK("https://klasma.github.io/Logging_2081/klagomålsmail/A 60150-2023 FSC-klagomål mail.docx", "A 60150-2023")</f>
        <v/>
      </c>
      <c r="X85">
        <f>HYPERLINK("https://klasma.github.io/Logging_2081/tillsyn/A 60150-2023 tillsynsbegäran.docx", "A 60150-2023")</f>
        <v/>
      </c>
      <c r="Y85">
        <f>HYPERLINK("https://klasma.github.io/Logging_2081/tillsynsmail/A 60150-2023 tillsynsbegäran mail.docx", "A 60150-2023")</f>
        <v/>
      </c>
    </row>
    <row r="86" ht="15" customHeight="1">
      <c r="A86" t="inlineStr">
        <is>
          <t>A 1751-2024</t>
        </is>
      </c>
      <c r="B86" s="1" t="n">
        <v>45307</v>
      </c>
      <c r="C86" s="1" t="n">
        <v>45733</v>
      </c>
      <c r="D86" t="inlineStr">
        <is>
          <t>DALARNAS LÄN</t>
        </is>
      </c>
      <c r="E86" t="inlineStr">
        <is>
          <t>BORLÄNGE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1751-2024 artfynd.xlsx", "A 1751-2024")</f>
        <v/>
      </c>
      <c r="T86">
        <f>HYPERLINK("https://klasma.github.io/Logging_2081/kartor/A 1751-2024 karta.png", "A 1751-2024")</f>
        <v/>
      </c>
      <c r="V86">
        <f>HYPERLINK("https://klasma.github.io/Logging_2081/klagomål/A 1751-2024 FSC-klagomål.docx", "A 1751-2024")</f>
        <v/>
      </c>
      <c r="W86">
        <f>HYPERLINK("https://klasma.github.io/Logging_2081/klagomålsmail/A 1751-2024 FSC-klagomål mail.docx", "A 1751-2024")</f>
        <v/>
      </c>
      <c r="X86">
        <f>HYPERLINK("https://klasma.github.io/Logging_2081/tillsyn/A 1751-2024 tillsynsbegäran.docx", "A 1751-2024")</f>
        <v/>
      </c>
      <c r="Y86">
        <f>HYPERLINK("https://klasma.github.io/Logging_2081/tillsynsmail/A 1751-2024 tillsynsbegäran mail.docx", "A 1751-2024")</f>
        <v/>
      </c>
    </row>
    <row r="87" ht="15" customHeight="1">
      <c r="A87" t="inlineStr">
        <is>
          <t>A 18971-2024</t>
        </is>
      </c>
      <c r="B87" s="1" t="n">
        <v>45427</v>
      </c>
      <c r="C87" s="1" t="n">
        <v>45733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18971-2024 artfynd.xlsx", "A 18971-2024")</f>
        <v/>
      </c>
      <c r="T87">
        <f>HYPERLINK("https://klasma.github.io/Logging_2081/kartor/A 18971-2024 karta.png", "A 18971-2024")</f>
        <v/>
      </c>
      <c r="U87">
        <f>HYPERLINK("https://klasma.github.io/Logging_2081/knärot/A 18971-2024 karta knärot.png", "A 18971-2024")</f>
        <v/>
      </c>
      <c r="V87">
        <f>HYPERLINK("https://klasma.github.io/Logging_2081/klagomål/A 18971-2024 FSC-klagomål.docx", "A 18971-2024")</f>
        <v/>
      </c>
      <c r="W87">
        <f>HYPERLINK("https://klasma.github.io/Logging_2081/klagomålsmail/A 18971-2024 FSC-klagomål mail.docx", "A 18971-2024")</f>
        <v/>
      </c>
      <c r="X87">
        <f>HYPERLINK("https://klasma.github.io/Logging_2081/tillsyn/A 18971-2024 tillsynsbegäran.docx", "A 18971-2024")</f>
        <v/>
      </c>
      <c r="Y87">
        <f>HYPERLINK("https://klasma.github.io/Logging_2081/tillsynsmail/A 18971-2024 tillsynsbegäran mail.docx", "A 18971-2024")</f>
        <v/>
      </c>
    </row>
    <row r="88" ht="15" customHeight="1">
      <c r="A88" t="inlineStr">
        <is>
          <t>A 30870-2024</t>
        </is>
      </c>
      <c r="B88" s="1" t="n">
        <v>45497</v>
      </c>
      <c r="C88" s="1" t="n">
        <v>45733</v>
      </c>
      <c r="D88" t="inlineStr">
        <is>
          <t>DALARNAS LÄN</t>
        </is>
      </c>
      <c r="E88" t="inlineStr">
        <is>
          <t>BORLÄNGE</t>
        </is>
      </c>
      <c r="G88" t="n">
        <v>1.8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30870-2024 artfynd.xlsx", "A 30870-2024")</f>
        <v/>
      </c>
      <c r="T88">
        <f>HYPERLINK("https://klasma.github.io/Logging_2081/kartor/A 30870-2024 karta.png", "A 30870-2024")</f>
        <v/>
      </c>
      <c r="U88">
        <f>HYPERLINK("https://klasma.github.io/Logging_2081/knärot/A 30870-2024 karta knärot.png", "A 30870-2024")</f>
        <v/>
      </c>
      <c r="V88">
        <f>HYPERLINK("https://klasma.github.io/Logging_2081/klagomål/A 30870-2024 FSC-klagomål.docx", "A 30870-2024")</f>
        <v/>
      </c>
      <c r="W88">
        <f>HYPERLINK("https://klasma.github.io/Logging_2081/klagomålsmail/A 30870-2024 FSC-klagomål mail.docx", "A 30870-2024")</f>
        <v/>
      </c>
      <c r="X88">
        <f>HYPERLINK("https://klasma.github.io/Logging_2081/tillsyn/A 30870-2024 tillsynsbegäran.docx", "A 30870-2024")</f>
        <v/>
      </c>
      <c r="Y88">
        <f>HYPERLINK("https://klasma.github.io/Logging_2081/tillsynsmail/A 30870-2024 tillsynsbegäran mail.docx", "A 30870-2024")</f>
        <v/>
      </c>
    </row>
    <row r="89" ht="15" customHeight="1">
      <c r="A89" t="inlineStr">
        <is>
          <t>A 36739-2024</t>
        </is>
      </c>
      <c r="B89" s="1" t="n">
        <v>45538</v>
      </c>
      <c r="C89" s="1" t="n">
        <v>45733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36739-2024 artfynd.xlsx", "A 36739-2024")</f>
        <v/>
      </c>
      <c r="T89">
        <f>HYPERLINK("https://klasma.github.io/Logging_2081/kartor/A 36739-2024 karta.png", "A 36739-2024")</f>
        <v/>
      </c>
      <c r="U89">
        <f>HYPERLINK("https://klasma.github.io/Logging_2081/knärot/A 36739-2024 karta knärot.png", "A 36739-2024")</f>
        <v/>
      </c>
      <c r="V89">
        <f>HYPERLINK("https://klasma.github.io/Logging_2081/klagomål/A 36739-2024 FSC-klagomål.docx", "A 36739-2024")</f>
        <v/>
      </c>
      <c r="W89">
        <f>HYPERLINK("https://klasma.github.io/Logging_2081/klagomålsmail/A 36739-2024 FSC-klagomål mail.docx", "A 36739-2024")</f>
        <v/>
      </c>
      <c r="X89">
        <f>HYPERLINK("https://klasma.github.io/Logging_2081/tillsyn/A 36739-2024 tillsynsbegäran.docx", "A 36739-2024")</f>
        <v/>
      </c>
      <c r="Y89">
        <f>HYPERLINK("https://klasma.github.io/Logging_2081/tillsynsmail/A 36739-2024 tillsynsbegäran mail.docx", "A 36739-2024")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45733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45733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45733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45733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45733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45733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45733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45733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45733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45733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45733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45733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45733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45733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45733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45733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45733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45733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45733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45733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45733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45733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45733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45733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45733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45733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45733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45733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45733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45733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45733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45733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45733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45733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45733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45733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45733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45733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45733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45733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45733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45733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45733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45733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45733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45733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45733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45733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45733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45733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45733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45733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45733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45733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45733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45733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45733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45733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45733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45733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45733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45733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45733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45733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45733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45733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45733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45733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45733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45733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45733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45733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45733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45733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45733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45733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45733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45733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45733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45733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45733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45733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45733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45733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45733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45733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45733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45733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45733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45733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45733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45733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45733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45733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45733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45733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45733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45733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45733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45733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45733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45733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45733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45733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45733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45733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45733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45733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45733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45733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45733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45733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45733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45733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45733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45733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45733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45733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45733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45733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45733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45733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45733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45733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45733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45733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45733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45733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45733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45733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45733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45733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45733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45733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45733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45733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45733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45733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45733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45733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45733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45733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45733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45733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45733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45733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45733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45733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45733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45733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45733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45733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45733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45733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45733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45733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45733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45733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45733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45733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45733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45733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45733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45733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45733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45733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45733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45733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45733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45733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45733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45733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45733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45733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45733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45733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45733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45733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45733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45733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45733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45733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45733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45733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45733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45733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45733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45733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45733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45733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45733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45733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45733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45733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45733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45733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45733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45733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45733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45733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45733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45733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45733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45733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45733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45733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45733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45733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45733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45733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45733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45733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45733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45733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45733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45733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45733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45733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45733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45733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45733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45733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45733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45733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45733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45733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45733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45733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45733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45733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45733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45733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45733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45733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45733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45733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45733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45733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45733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45733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45733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45733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45733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45733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45733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45733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45733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45733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45733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45733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45733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45733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45733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45733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45733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45733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45733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45733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45733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45733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45733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45733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45733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45733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45733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45733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45733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45733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45733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45733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45733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45733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45733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45733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45733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45733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45733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45733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45733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45733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45733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45733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45733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45733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45733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45733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45733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45733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45733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45733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45733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45733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45733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45733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45733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45733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45733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45733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45733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45733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45733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45733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45733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45733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45733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45733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45733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45733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45733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45733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45733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45733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45733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45733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45733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45733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45733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45733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45733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45733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45733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45733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45733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45733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45733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45733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45733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45733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45733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45733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45733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45733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45733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45733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45733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45733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45733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45733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45733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45733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45733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45733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45733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45733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45733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45733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45733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45733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45733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45733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45733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45733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45733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45733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45733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45733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45733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45733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45733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45733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45733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45733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45733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45733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45733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45733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45733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45733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45733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45733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45733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45733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45733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45733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45733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45733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45733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45733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45733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45733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45733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45733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45733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45733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45733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45733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45733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45733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45733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45733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45733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45733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45733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45733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45733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45733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45733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45733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45733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45733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45733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45733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45733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45733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45733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45733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45733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45733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45733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45733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45733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45733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45733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45733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45733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45733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45733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45733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45733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45733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45733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45733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45733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45733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45733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45733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45733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45733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45733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45733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45733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45733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45733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45733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45733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45733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45733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45733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45733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45733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45733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45733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45733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45733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45733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45733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45733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45733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45733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45733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45733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45733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45733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45733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45733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45733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45733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45733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45733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45733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45733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45733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45733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45733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45733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45733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45733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45733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45733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45733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45733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45733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45733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45733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45733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45733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45733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45733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45733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45733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45733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45733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45733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45733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45733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45733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45733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45733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45733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45733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45733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45733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45733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45733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45733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45733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45733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45733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45733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45733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45733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45733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45733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45733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45733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45733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45733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45733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45733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45733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45733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45733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45733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45733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45733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45733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45733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45733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45733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45733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45733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45733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45733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45733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45733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45733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45733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45733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45733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45733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45733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45733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45733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45733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45733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45733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45733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45733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45733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45733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45733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45733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45733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45733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45733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45733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45733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45733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45733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45733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45733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45733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45733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45733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45733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45733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45733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45733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45733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45733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45733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45733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45733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45733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45733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45733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8504-2025</t>
        </is>
      </c>
      <c r="B670" s="1" t="n">
        <v>45709</v>
      </c>
      <c r="C670" s="1" t="n">
        <v>45733</v>
      </c>
      <c r="D670" t="inlineStr">
        <is>
          <t>DALARNAS LÄN</t>
        </is>
      </c>
      <c r="E670" t="inlineStr">
        <is>
          <t>BORLÄNGE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45733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45733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45733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2025-03-17T17:10:36Z</dcterms:created>
  <dcterms:modified xmlns:dcterms="http://purl.org/dc/terms/" xmlns:xsi="http://www.w3.org/2001/XMLSchema-instance" xsi:type="dcterms:W3CDTF">2025-03-17T17:10:37Z</dcterms:modified>
</cp:coreProperties>
</file>