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45356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59728-2021</t>
        </is>
      </c>
      <c r="B3" s="1" t="n">
        <v>44494</v>
      </c>
      <c r="C3" s="1" t="n">
        <v>45356</v>
      </c>
      <c r="D3" t="inlineStr">
        <is>
          <t>DALARNAS LÄN</t>
        </is>
      </c>
      <c r="E3" t="inlineStr">
        <is>
          <t>BORLÄNGE</t>
        </is>
      </c>
      <c r="G3" t="n">
        <v>6.7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1</v>
      </c>
      <c r="N3" t="n">
        <v>0</v>
      </c>
      <c r="O3" t="n">
        <v>5</v>
      </c>
      <c r="P3" t="n">
        <v>2</v>
      </c>
      <c r="Q3" t="n">
        <v>9</v>
      </c>
      <c r="R3" s="2" t="inlineStr">
        <is>
          <t>Citronporing
Knärot
Gransotdyna
Ullticka
Vedtrappmossa
Bronshjon
Fjällig taggsvamp s.str.
Blåsippa
Lopplummer</t>
        </is>
      </c>
      <c r="S3">
        <f>HYPERLINK("https://klasma.github.io/Logging_2081/artfynd/A 59728-2021 artfynd.xlsx", "A 59728-2021")</f>
        <v/>
      </c>
      <c r="T3">
        <f>HYPERLINK("https://klasma.github.io/Logging_2081/kartor/A 59728-2021 karta.png", "A 59728-2021")</f>
        <v/>
      </c>
      <c r="U3">
        <f>HYPERLINK("https://klasma.github.io/Logging_2081/knärot/A 59728-2021 karta knärot.png", "A 59728-2021")</f>
        <v/>
      </c>
      <c r="V3">
        <f>HYPERLINK("https://klasma.github.io/Logging_2081/klagomål/A 59728-2021 FSC-klagomål.docx", "A 59728-2021")</f>
        <v/>
      </c>
      <c r="W3">
        <f>HYPERLINK("https://klasma.github.io/Logging_2081/klagomålsmail/A 59728-2021 FSC-klagomål mail.docx", "A 59728-2021")</f>
        <v/>
      </c>
      <c r="X3">
        <f>HYPERLINK("https://klasma.github.io/Logging_2081/tillsyn/A 59728-2021 tillsynsbegäran.docx", "A 59728-2021")</f>
        <v/>
      </c>
      <c r="Y3">
        <f>HYPERLINK("https://klasma.github.io/Logging_2081/tillsynsmail/A 59728-2021 tillsynsbegäran mail.docx", "A 59728-2021")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45356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1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Garnlav
Motaggsvamp
Svart taggsvamp
Tallticka
Tretåig hackspett
Ullticka
Dropptaggsvamp
Rostfläck
Vedticka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22181-2023</t>
        </is>
      </c>
      <c r="B5" s="1" t="n">
        <v>45069</v>
      </c>
      <c r="C5" s="1" t="n">
        <v>45356</v>
      </c>
      <c r="D5" t="inlineStr">
        <is>
          <t>DALARNAS LÄN</t>
        </is>
      </c>
      <c r="E5" t="inlineStr">
        <is>
          <t>BORLÄNGE</t>
        </is>
      </c>
      <c r="G5" t="n">
        <v>2.4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Gammelgransskål
Garnlav
Bollvitmossa
Vedticka
Fläcknycklar</t>
        </is>
      </c>
      <c r="S5">
        <f>HYPERLINK("https://klasma.github.io/Logging_2081/artfynd/A 22181-2023 artfynd.xlsx", "A 22181-2023")</f>
        <v/>
      </c>
      <c r="T5">
        <f>HYPERLINK("https://klasma.github.io/Logging_2081/kartor/A 22181-2023 karta.png", "A 22181-2023")</f>
        <v/>
      </c>
      <c r="U5">
        <f>HYPERLINK("https://klasma.github.io/Logging_2081/knärot/A 22181-2023 karta knärot.png", "A 22181-2023")</f>
        <v/>
      </c>
      <c r="V5">
        <f>HYPERLINK("https://klasma.github.io/Logging_2081/klagomål/A 22181-2023 FSC-klagomål.docx", "A 22181-2023")</f>
        <v/>
      </c>
      <c r="W5">
        <f>HYPERLINK("https://klasma.github.io/Logging_2081/klagomålsmail/A 22181-2023 FSC-klagomål mail.docx", "A 22181-2023")</f>
        <v/>
      </c>
      <c r="X5">
        <f>HYPERLINK("https://klasma.github.io/Logging_2081/tillsyn/A 22181-2023 tillsynsbegäran.docx", "A 22181-2023")</f>
        <v/>
      </c>
      <c r="Y5">
        <f>HYPERLINK("https://klasma.github.io/Logging_2081/tillsynsmail/A 22181-2023 tillsynsbegäran mail.docx", "A 22181-2023")</f>
        <v/>
      </c>
    </row>
    <row r="6" ht="15" customHeight="1">
      <c r="A6" t="inlineStr">
        <is>
          <t>A 13707-2021</t>
        </is>
      </c>
      <c r="B6" s="1" t="n">
        <v>44274</v>
      </c>
      <c r="C6" s="1" t="n">
        <v>45356</v>
      </c>
      <c r="D6" t="inlineStr">
        <is>
          <t>DALARNAS LÄN</t>
        </is>
      </c>
      <c r="E6" t="inlineStr">
        <is>
          <t>BORLÄNGE</t>
        </is>
      </c>
      <c r="G6" t="n">
        <v>5.7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Rosenticka
Ullticka
Bronshjon
Vedticka</t>
        </is>
      </c>
      <c r="S6">
        <f>HYPERLINK("https://klasma.github.io/Logging_2081/artfynd/A 13707-2021 artfynd.xlsx", "A 13707-2021")</f>
        <v/>
      </c>
      <c r="T6">
        <f>HYPERLINK("https://klasma.github.io/Logging_2081/kartor/A 13707-2021 karta.png", "A 13707-2021")</f>
        <v/>
      </c>
      <c r="V6">
        <f>HYPERLINK("https://klasma.github.io/Logging_2081/klagomål/A 13707-2021 FSC-klagomål.docx", "A 13707-2021")</f>
        <v/>
      </c>
      <c r="W6">
        <f>HYPERLINK("https://klasma.github.io/Logging_2081/klagomålsmail/A 13707-2021 FSC-klagomål mail.docx", "A 13707-2021")</f>
        <v/>
      </c>
      <c r="X6">
        <f>HYPERLINK("https://klasma.github.io/Logging_2081/tillsyn/A 13707-2021 tillsynsbegäran.docx", "A 13707-2021")</f>
        <v/>
      </c>
      <c r="Y6">
        <f>HYPERLINK("https://klasma.github.io/Logging_2081/tillsynsmail/A 13707-2021 tillsynsbegäran mail.docx", "A 13707-2021")</f>
        <v/>
      </c>
    </row>
    <row r="7" ht="15" customHeight="1">
      <c r="A7" t="inlineStr">
        <is>
          <t>A 40633-2022</t>
        </is>
      </c>
      <c r="B7" s="1" t="n">
        <v>44824</v>
      </c>
      <c r="C7" s="1" t="n">
        <v>45356</v>
      </c>
      <c r="D7" t="inlineStr">
        <is>
          <t>DALARNAS LÄN</t>
        </is>
      </c>
      <c r="E7" t="inlineStr">
        <is>
          <t>BORLÄNGE</t>
        </is>
      </c>
      <c r="G7" t="n">
        <v>0.9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Tretåig hackspett
Skuggblåslav</t>
        </is>
      </c>
      <c r="S7">
        <f>HYPERLINK("https://klasma.github.io/Logging_2081/artfynd/A 40633-2022 artfynd.xlsx", "A 40633-2022")</f>
        <v/>
      </c>
      <c r="T7">
        <f>HYPERLINK("https://klasma.github.io/Logging_2081/kartor/A 40633-2022 karta.png", "A 40633-2022")</f>
        <v/>
      </c>
      <c r="U7">
        <f>HYPERLINK("https://klasma.github.io/Logging_2081/knärot/A 40633-2022 karta knärot.png", "A 40633-2022")</f>
        <v/>
      </c>
      <c r="V7">
        <f>HYPERLINK("https://klasma.github.io/Logging_2081/klagomål/A 40633-2022 FSC-klagomål.docx", "A 40633-2022")</f>
        <v/>
      </c>
      <c r="W7">
        <f>HYPERLINK("https://klasma.github.io/Logging_2081/klagomålsmail/A 40633-2022 FSC-klagomål mail.docx", "A 40633-2022")</f>
        <v/>
      </c>
      <c r="X7">
        <f>HYPERLINK("https://klasma.github.io/Logging_2081/tillsyn/A 40633-2022 tillsynsbegäran.docx", "A 40633-2022")</f>
        <v/>
      </c>
      <c r="Y7">
        <f>HYPERLINK("https://klasma.github.io/Logging_2081/tillsynsmail/A 40633-2022 tillsynsbegäran mail.docx", "A 40633-2022")</f>
        <v/>
      </c>
      <c r="Z7">
        <f>HYPERLINK("https://klasma.github.io/Logging_2081/fåglar/A 40633-2022 prioriterade fågelarter.docx", "A 40633-2022")</f>
        <v/>
      </c>
    </row>
    <row r="8" ht="15" customHeight="1">
      <c r="A8" t="inlineStr">
        <is>
          <t>A 16246-2023</t>
        </is>
      </c>
      <c r="B8" s="1" t="n">
        <v>45028</v>
      </c>
      <c r="C8" s="1" t="n">
        <v>45356</v>
      </c>
      <c r="D8" t="inlineStr">
        <is>
          <t>DALARNAS LÄN</t>
        </is>
      </c>
      <c r="E8" t="inlineStr">
        <is>
          <t>BORLÄNGE</t>
        </is>
      </c>
      <c r="G8" t="n">
        <v>12.3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Vedtrappmossa
Dropptaggsvamp</t>
        </is>
      </c>
      <c r="S8">
        <f>HYPERLINK("https://klasma.github.io/Logging_2081/artfynd/A 16246-2023 artfynd.xlsx", "A 16246-2023")</f>
        <v/>
      </c>
      <c r="T8">
        <f>HYPERLINK("https://klasma.github.io/Logging_2081/kartor/A 16246-2023 karta.png", "A 16246-2023")</f>
        <v/>
      </c>
      <c r="U8">
        <f>HYPERLINK("https://klasma.github.io/Logging_2081/knärot/A 16246-2023 karta knärot.png", "A 16246-2023")</f>
        <v/>
      </c>
      <c r="V8">
        <f>HYPERLINK("https://klasma.github.io/Logging_2081/klagomål/A 16246-2023 FSC-klagomål.docx", "A 16246-2023")</f>
        <v/>
      </c>
      <c r="W8">
        <f>HYPERLINK("https://klasma.github.io/Logging_2081/klagomålsmail/A 16246-2023 FSC-klagomål mail.docx", "A 16246-2023")</f>
        <v/>
      </c>
      <c r="X8">
        <f>HYPERLINK("https://klasma.github.io/Logging_2081/tillsyn/A 16246-2023 tillsynsbegäran.docx", "A 16246-2023")</f>
        <v/>
      </c>
      <c r="Y8">
        <f>HYPERLINK("https://klasma.github.io/Logging_2081/tillsynsmail/A 16246-2023 tillsynsbegäran mail.docx", "A 16246-2023")</f>
        <v/>
      </c>
    </row>
    <row r="9" ht="15" customHeight="1">
      <c r="A9" t="inlineStr">
        <is>
          <t>A 48706-2023</t>
        </is>
      </c>
      <c r="B9" s="1" t="n">
        <v>45208</v>
      </c>
      <c r="C9" s="1" t="n">
        <v>45356</v>
      </c>
      <c r="D9" t="inlineStr">
        <is>
          <t>DALARNAS LÄN</t>
        </is>
      </c>
      <c r="E9" t="inlineStr">
        <is>
          <t>BORLÄNGE</t>
        </is>
      </c>
      <c r="G9" t="n">
        <v>8.1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Dofttaggsvamp
Bronshjon
Dropptaggsvamp</t>
        </is>
      </c>
      <c r="S9">
        <f>HYPERLINK("https://klasma.github.io/Logging_2081/artfynd/A 48706-2023 artfynd.xlsx", "A 48706-2023")</f>
        <v/>
      </c>
      <c r="T9">
        <f>HYPERLINK("https://klasma.github.io/Logging_2081/kartor/A 48706-2023 karta.png", "A 48706-2023")</f>
        <v/>
      </c>
      <c r="U9">
        <f>HYPERLINK("https://klasma.github.io/Logging_2081/knärot/A 48706-2023 karta knärot.png", "A 48706-2023")</f>
        <v/>
      </c>
      <c r="V9">
        <f>HYPERLINK("https://klasma.github.io/Logging_2081/klagomål/A 48706-2023 FSC-klagomål.docx", "A 48706-2023")</f>
        <v/>
      </c>
      <c r="W9">
        <f>HYPERLINK("https://klasma.github.io/Logging_2081/klagomålsmail/A 48706-2023 FSC-klagomål mail.docx", "A 48706-2023")</f>
        <v/>
      </c>
      <c r="X9">
        <f>HYPERLINK("https://klasma.github.io/Logging_2081/tillsyn/A 48706-2023 tillsynsbegäran.docx", "A 48706-2023")</f>
        <v/>
      </c>
      <c r="Y9">
        <f>HYPERLINK("https://klasma.github.io/Logging_2081/tillsynsmail/A 48706-2023 tillsynsbegäran mail.docx", "A 48706-2023")</f>
        <v/>
      </c>
    </row>
    <row r="10" ht="15" customHeight="1">
      <c r="A10" t="inlineStr">
        <is>
          <t>A 66895-2018</t>
        </is>
      </c>
      <c r="B10" s="1" t="n">
        <v>43431</v>
      </c>
      <c r="C10" s="1" t="n">
        <v>45356</v>
      </c>
      <c r="D10" t="inlineStr">
        <is>
          <t>DALARNAS LÄN</t>
        </is>
      </c>
      <c r="E10" t="inlineStr">
        <is>
          <t>BORLÄNGE</t>
        </is>
      </c>
      <c r="G10" t="n">
        <v>10.6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Skogsalm
Knärot
Spillkråka</t>
        </is>
      </c>
      <c r="S10">
        <f>HYPERLINK("https://klasma.github.io/Logging_2081/artfynd/A 66895-2018 artfynd.xlsx", "A 66895-2018")</f>
        <v/>
      </c>
      <c r="T10">
        <f>HYPERLINK("https://klasma.github.io/Logging_2081/kartor/A 66895-2018 karta.png", "A 66895-2018")</f>
        <v/>
      </c>
      <c r="U10">
        <f>HYPERLINK("https://klasma.github.io/Logging_2081/knärot/A 66895-2018 karta knärot.png", "A 66895-2018")</f>
        <v/>
      </c>
      <c r="V10">
        <f>HYPERLINK("https://klasma.github.io/Logging_2081/klagomål/A 66895-2018 FSC-klagomål.docx", "A 66895-2018")</f>
        <v/>
      </c>
      <c r="W10">
        <f>HYPERLINK("https://klasma.github.io/Logging_2081/klagomålsmail/A 66895-2018 FSC-klagomål mail.docx", "A 66895-2018")</f>
        <v/>
      </c>
      <c r="X10">
        <f>HYPERLINK("https://klasma.github.io/Logging_2081/tillsyn/A 66895-2018 tillsynsbegäran.docx", "A 66895-2018")</f>
        <v/>
      </c>
      <c r="Y10">
        <f>HYPERLINK("https://klasma.github.io/Logging_2081/tillsynsmail/A 66895-2018 tillsynsbegäran mail.docx", "A 66895-2018")</f>
        <v/>
      </c>
      <c r="Z10">
        <f>HYPERLINK("https://klasma.github.io/Logging_2081/fåglar/A 66895-2018 prioriterade fågelarter.docx", "A 66895-2018")</f>
        <v/>
      </c>
    </row>
    <row r="11" ht="15" customHeight="1">
      <c r="A11" t="inlineStr">
        <is>
          <t>A 16084-2019</t>
        </is>
      </c>
      <c r="B11" s="1" t="n">
        <v>43544</v>
      </c>
      <c r="C11" s="1" t="n">
        <v>45356</v>
      </c>
      <c r="D11" t="inlineStr">
        <is>
          <t>DALARNAS LÄN</t>
        </is>
      </c>
      <c r="E11" t="inlineStr">
        <is>
          <t>BORLÄNGE</t>
        </is>
      </c>
      <c r="G11" t="n">
        <v>12.7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Grantaggsvamp
Granticka</t>
        </is>
      </c>
      <c r="S11">
        <f>HYPERLINK("https://klasma.github.io/Logging_2081/artfynd/A 16084-2019 artfynd.xlsx", "A 16084-2019")</f>
        <v/>
      </c>
      <c r="T11">
        <f>HYPERLINK("https://klasma.github.io/Logging_2081/kartor/A 16084-2019 karta.png", "A 16084-2019")</f>
        <v/>
      </c>
      <c r="V11">
        <f>HYPERLINK("https://klasma.github.io/Logging_2081/klagomål/A 16084-2019 FSC-klagomål.docx", "A 16084-2019")</f>
        <v/>
      </c>
      <c r="W11">
        <f>HYPERLINK("https://klasma.github.io/Logging_2081/klagomålsmail/A 16084-2019 FSC-klagomål mail.docx", "A 16084-2019")</f>
        <v/>
      </c>
      <c r="X11">
        <f>HYPERLINK("https://klasma.github.io/Logging_2081/tillsyn/A 16084-2019 tillsynsbegäran.docx", "A 16084-2019")</f>
        <v/>
      </c>
      <c r="Y11">
        <f>HYPERLINK("https://klasma.github.io/Logging_2081/tillsynsmail/A 16084-2019 tillsynsbegäran mail.docx", "A 16084-2019")</f>
        <v/>
      </c>
    </row>
    <row r="12" ht="15" customHeight="1">
      <c r="A12" t="inlineStr">
        <is>
          <t>A 66569-2019</t>
        </is>
      </c>
      <c r="B12" s="1" t="n">
        <v>43781</v>
      </c>
      <c r="C12" s="1" t="n">
        <v>45356</v>
      </c>
      <c r="D12" t="inlineStr">
        <is>
          <t>DALARNAS LÄN</t>
        </is>
      </c>
      <c r="E12" t="inlineStr">
        <is>
          <t>BORLÄNGE</t>
        </is>
      </c>
      <c r="G12" t="n">
        <v>1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Kopparspindling
Strimspindling
Svavelriska</t>
        </is>
      </c>
      <c r="S12">
        <f>HYPERLINK("https://klasma.github.io/Logging_2081/artfynd/A 66569-2019 artfynd.xlsx", "A 66569-2019")</f>
        <v/>
      </c>
      <c r="T12">
        <f>HYPERLINK("https://klasma.github.io/Logging_2081/kartor/A 66569-2019 karta.png", "A 66569-2019")</f>
        <v/>
      </c>
      <c r="V12">
        <f>HYPERLINK("https://klasma.github.io/Logging_2081/klagomål/A 66569-2019 FSC-klagomål.docx", "A 66569-2019")</f>
        <v/>
      </c>
      <c r="W12">
        <f>HYPERLINK("https://klasma.github.io/Logging_2081/klagomålsmail/A 66569-2019 FSC-klagomål mail.docx", "A 66569-2019")</f>
        <v/>
      </c>
      <c r="X12">
        <f>HYPERLINK("https://klasma.github.io/Logging_2081/tillsyn/A 66569-2019 tillsynsbegäran.docx", "A 66569-2019")</f>
        <v/>
      </c>
      <c r="Y12">
        <f>HYPERLINK("https://klasma.github.io/Logging_2081/tillsynsmail/A 66569-2019 tillsynsbegäran mail.docx", "A 66569-2019")</f>
        <v/>
      </c>
    </row>
    <row r="13" ht="15" customHeight="1">
      <c r="A13" t="inlineStr">
        <is>
          <t>A 6094-2022</t>
        </is>
      </c>
      <c r="B13" s="1" t="n">
        <v>44599</v>
      </c>
      <c r="C13" s="1" t="n">
        <v>45356</v>
      </c>
      <c r="D13" t="inlineStr">
        <is>
          <t>DALARNAS LÄN</t>
        </is>
      </c>
      <c r="E13" t="inlineStr">
        <is>
          <t>BORLÄNGE</t>
        </is>
      </c>
      <c r="G13" t="n">
        <v>19.7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Utter
Bronshjon
Rödgul trumpetsvamp</t>
        </is>
      </c>
      <c r="S13">
        <f>HYPERLINK("https://klasma.github.io/Logging_2081/artfynd/A 6094-2022 artfynd.xlsx", "A 6094-2022")</f>
        <v/>
      </c>
      <c r="T13">
        <f>HYPERLINK("https://klasma.github.io/Logging_2081/kartor/A 6094-2022 karta.png", "A 6094-2022")</f>
        <v/>
      </c>
      <c r="V13">
        <f>HYPERLINK("https://klasma.github.io/Logging_2081/klagomål/A 6094-2022 FSC-klagomål.docx", "A 6094-2022")</f>
        <v/>
      </c>
      <c r="W13">
        <f>HYPERLINK("https://klasma.github.io/Logging_2081/klagomålsmail/A 6094-2022 FSC-klagomål mail.docx", "A 6094-2022")</f>
        <v/>
      </c>
      <c r="X13">
        <f>HYPERLINK("https://klasma.github.io/Logging_2081/tillsyn/A 6094-2022 tillsynsbegäran.docx", "A 6094-2022")</f>
        <v/>
      </c>
      <c r="Y13">
        <f>HYPERLINK("https://klasma.github.io/Logging_2081/tillsynsmail/A 6094-2022 tillsynsbegäran mail.docx", "A 6094-2022")</f>
        <v/>
      </c>
    </row>
    <row r="14" ht="15" customHeight="1">
      <c r="A14" t="inlineStr">
        <is>
          <t>A 59665-2022</t>
        </is>
      </c>
      <c r="B14" s="1" t="n">
        <v>44908</v>
      </c>
      <c r="C14" s="1" t="n">
        <v>45356</v>
      </c>
      <c r="D14" t="inlineStr">
        <is>
          <t>DALARNAS LÄN</t>
        </is>
      </c>
      <c r="E14" t="inlineStr">
        <is>
          <t>BORLÄNGE</t>
        </is>
      </c>
      <c r="G14" t="n">
        <v>16.1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Tjäder
Fläcknycklar</t>
        </is>
      </c>
      <c r="S14">
        <f>HYPERLINK("https://klasma.github.io/Logging_2081/artfynd/A 59665-2022 artfynd.xlsx", "A 59665-2022")</f>
        <v/>
      </c>
      <c r="T14">
        <f>HYPERLINK("https://klasma.github.io/Logging_2081/kartor/A 59665-2022 karta.png", "A 59665-2022")</f>
        <v/>
      </c>
      <c r="U14">
        <f>HYPERLINK("https://klasma.github.io/Logging_2081/knärot/A 59665-2022 karta knärot.png", "A 59665-2022")</f>
        <v/>
      </c>
      <c r="V14">
        <f>HYPERLINK("https://klasma.github.io/Logging_2081/klagomål/A 59665-2022 FSC-klagomål.docx", "A 59665-2022")</f>
        <v/>
      </c>
      <c r="W14">
        <f>HYPERLINK("https://klasma.github.io/Logging_2081/klagomålsmail/A 59665-2022 FSC-klagomål mail.docx", "A 59665-2022")</f>
        <v/>
      </c>
      <c r="X14">
        <f>HYPERLINK("https://klasma.github.io/Logging_2081/tillsyn/A 59665-2022 tillsynsbegäran.docx", "A 59665-2022")</f>
        <v/>
      </c>
      <c r="Y14">
        <f>HYPERLINK("https://klasma.github.io/Logging_2081/tillsynsmail/A 59665-2022 tillsynsbegäran mail.docx", "A 59665-2022")</f>
        <v/>
      </c>
      <c r="Z14">
        <f>HYPERLINK("https://klasma.github.io/Logging_2081/fåglar/A 59665-2022 prioriterade fågelarter.docx", "A 59665-2022")</f>
        <v/>
      </c>
    </row>
    <row r="15" ht="15" customHeight="1">
      <c r="A15" t="inlineStr">
        <is>
          <t>A 22913-2023</t>
        </is>
      </c>
      <c r="B15" s="1" t="n">
        <v>45072</v>
      </c>
      <c r="C15" s="1" t="n">
        <v>45356</v>
      </c>
      <c r="D15" t="inlineStr">
        <is>
          <t>DALARNAS LÄN</t>
        </is>
      </c>
      <c r="E15" t="inlineStr">
        <is>
          <t>BORLÄNGE</t>
        </is>
      </c>
      <c r="G15" t="n">
        <v>3.2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HYPERLINK("https://klasma.github.io/Logging_2081/artfynd/A 22913-2023 artfynd.xlsx", "A 22913-2023")</f>
        <v/>
      </c>
      <c r="T15">
        <f>HYPERLINK("https://klasma.github.io/Logging_2081/kartor/A 22913-2023 karta.png", "A 22913-2023")</f>
        <v/>
      </c>
      <c r="U15">
        <f>HYPERLINK("https://klasma.github.io/Logging_2081/knärot/A 22913-2023 karta knärot.png", "A 22913-2023")</f>
        <v/>
      </c>
      <c r="V15">
        <f>HYPERLINK("https://klasma.github.io/Logging_2081/klagomål/A 22913-2023 FSC-klagomål.docx", "A 22913-2023")</f>
        <v/>
      </c>
      <c r="W15">
        <f>HYPERLINK("https://klasma.github.io/Logging_2081/klagomålsmail/A 22913-2023 FSC-klagomål mail.docx", "A 22913-2023")</f>
        <v/>
      </c>
      <c r="X15">
        <f>HYPERLINK("https://klasma.github.io/Logging_2081/tillsyn/A 22913-2023 tillsynsbegäran.docx", "A 22913-2023")</f>
        <v/>
      </c>
      <c r="Y15">
        <f>HYPERLINK("https://klasma.github.io/Logging_2081/tillsynsmail/A 22913-2023 tillsynsbegäran mail.docx", "A 22913-2023")</f>
        <v/>
      </c>
    </row>
    <row r="16" ht="15" customHeight="1">
      <c r="A16" t="inlineStr">
        <is>
          <t>A 6832-2024</t>
        </is>
      </c>
      <c r="B16" s="1" t="n">
        <v>45342</v>
      </c>
      <c r="C16" s="1" t="n">
        <v>45356</v>
      </c>
      <c r="D16" t="inlineStr">
        <is>
          <t>DALARNAS LÄN</t>
        </is>
      </c>
      <c r="E16" t="inlineStr">
        <is>
          <t>BORLÄNGE</t>
        </is>
      </c>
      <c r="G16" t="n">
        <v>14.2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Bronshjon
Thomsons trägnagare
Vågbandad barkbock</t>
        </is>
      </c>
      <c r="S16">
        <f>HYPERLINK("https://klasma.github.io/Logging_2081/artfynd/A 6832-2024 artfynd.xlsx", "A 6832-2024")</f>
        <v/>
      </c>
      <c r="T16">
        <f>HYPERLINK("https://klasma.github.io/Logging_2081/kartor/A 6832-2024 karta.png", "A 6832-2024")</f>
        <v/>
      </c>
      <c r="V16">
        <f>HYPERLINK("https://klasma.github.io/Logging_2081/klagomål/A 6832-2024 FSC-klagomål.docx", "A 6832-2024")</f>
        <v/>
      </c>
      <c r="W16">
        <f>HYPERLINK("https://klasma.github.io/Logging_2081/klagomålsmail/A 6832-2024 FSC-klagomål mail.docx", "A 6832-2024")</f>
        <v/>
      </c>
      <c r="X16">
        <f>HYPERLINK("https://klasma.github.io/Logging_2081/tillsyn/A 6832-2024 tillsynsbegäran.docx", "A 6832-2024")</f>
        <v/>
      </c>
      <c r="Y16">
        <f>HYPERLINK("https://klasma.github.io/Logging_2081/tillsynsmail/A 6832-2024 tillsynsbegäran mail.docx", "A 6832-2024")</f>
        <v/>
      </c>
    </row>
    <row r="17" ht="15" customHeight="1">
      <c r="A17" t="inlineStr">
        <is>
          <t>A 68272-2018</t>
        </is>
      </c>
      <c r="B17" s="1" t="n">
        <v>43441</v>
      </c>
      <c r="C17" s="1" t="n">
        <v>45356</v>
      </c>
      <c r="D17" t="inlineStr">
        <is>
          <t>DALARNAS LÄN</t>
        </is>
      </c>
      <c r="E17" t="inlineStr">
        <is>
          <t>BORLÄNGE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HYPERLINK("https://klasma.github.io/Logging_2081/artfynd/A 68272-2018 artfynd.xlsx", "A 68272-2018")</f>
        <v/>
      </c>
      <c r="T17">
        <f>HYPERLINK("https://klasma.github.io/Logging_2081/kartor/A 68272-2018 karta.png", "A 68272-2018")</f>
        <v/>
      </c>
      <c r="U17">
        <f>HYPERLINK("https://klasma.github.io/Logging_2081/knärot/A 68272-2018 karta knärot.png", "A 68272-2018")</f>
        <v/>
      </c>
      <c r="V17">
        <f>HYPERLINK("https://klasma.github.io/Logging_2081/klagomål/A 68272-2018 FSC-klagomål.docx", "A 68272-2018")</f>
        <v/>
      </c>
      <c r="W17">
        <f>HYPERLINK("https://klasma.github.io/Logging_2081/klagomålsmail/A 68272-2018 FSC-klagomål mail.docx", "A 68272-2018")</f>
        <v/>
      </c>
      <c r="X17">
        <f>HYPERLINK("https://klasma.github.io/Logging_2081/tillsyn/A 68272-2018 tillsynsbegäran.docx", "A 68272-2018")</f>
        <v/>
      </c>
      <c r="Y17">
        <f>HYPERLINK("https://klasma.github.io/Logging_2081/tillsynsmail/A 68272-2018 tillsynsbegäran mail.docx", "A 68272-2018")</f>
        <v/>
      </c>
    </row>
    <row r="18" ht="15" customHeight="1">
      <c r="A18" t="inlineStr">
        <is>
          <t>A 67989-2019</t>
        </is>
      </c>
      <c r="B18" s="1" t="n">
        <v>43811</v>
      </c>
      <c r="C18" s="1" t="n">
        <v>45356</v>
      </c>
      <c r="D18" t="inlineStr">
        <is>
          <t>DALARNAS LÄN</t>
        </is>
      </c>
      <c r="E18" t="inlineStr">
        <is>
          <t>BORLÄNGE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 taggsvamp
Blåsippa</t>
        </is>
      </c>
      <c r="S18">
        <f>HYPERLINK("https://klasma.github.io/Logging_2081/artfynd/A 67989-2019 artfynd.xlsx", "A 67989-2019")</f>
        <v/>
      </c>
      <c r="T18">
        <f>HYPERLINK("https://klasma.github.io/Logging_2081/kartor/A 67989-2019 karta.png", "A 67989-2019")</f>
        <v/>
      </c>
      <c r="V18">
        <f>HYPERLINK("https://klasma.github.io/Logging_2081/klagomål/A 67989-2019 FSC-klagomål.docx", "A 67989-2019")</f>
        <v/>
      </c>
      <c r="W18">
        <f>HYPERLINK("https://klasma.github.io/Logging_2081/klagomålsmail/A 67989-2019 FSC-klagomål mail.docx", "A 67989-2019")</f>
        <v/>
      </c>
      <c r="X18">
        <f>HYPERLINK("https://klasma.github.io/Logging_2081/tillsyn/A 67989-2019 tillsynsbegäran.docx", "A 67989-2019")</f>
        <v/>
      </c>
      <c r="Y18">
        <f>HYPERLINK("https://klasma.github.io/Logging_2081/tillsynsmail/A 67989-2019 tillsynsbegäran mail.docx", "A 67989-2019")</f>
        <v/>
      </c>
    </row>
    <row r="19" ht="15" customHeight="1">
      <c r="A19" t="inlineStr">
        <is>
          <t>A 29908-2021</t>
        </is>
      </c>
      <c r="B19" s="1" t="n">
        <v>44362</v>
      </c>
      <c r="C19" s="1" t="n">
        <v>45356</v>
      </c>
      <c r="D19" t="inlineStr">
        <is>
          <t>DALARNAS LÄN</t>
        </is>
      </c>
      <c r="E19" t="inlineStr">
        <is>
          <t>BORLÄNGE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Dropptaggsvamp</t>
        </is>
      </c>
      <c r="S19">
        <f>HYPERLINK("https://klasma.github.io/Logging_2081/artfynd/A 29908-2021 artfynd.xlsx", "A 29908-2021")</f>
        <v/>
      </c>
      <c r="T19">
        <f>HYPERLINK("https://klasma.github.io/Logging_2081/kartor/A 29908-2021 karta.png", "A 29908-2021")</f>
        <v/>
      </c>
      <c r="V19">
        <f>HYPERLINK("https://klasma.github.io/Logging_2081/klagomål/A 29908-2021 FSC-klagomål.docx", "A 29908-2021")</f>
        <v/>
      </c>
      <c r="W19">
        <f>HYPERLINK("https://klasma.github.io/Logging_2081/klagomålsmail/A 29908-2021 FSC-klagomål mail.docx", "A 29908-2021")</f>
        <v/>
      </c>
      <c r="X19">
        <f>HYPERLINK("https://klasma.github.io/Logging_2081/tillsyn/A 29908-2021 tillsynsbegäran.docx", "A 29908-2021")</f>
        <v/>
      </c>
      <c r="Y19">
        <f>HYPERLINK("https://klasma.github.io/Logging_2081/tillsynsmail/A 29908-2021 tillsynsbegäran mail.docx", "A 29908-2021")</f>
        <v/>
      </c>
    </row>
    <row r="20" ht="15" customHeight="1">
      <c r="A20" t="inlineStr">
        <is>
          <t>A 40578-2021</t>
        </is>
      </c>
      <c r="B20" s="1" t="n">
        <v>44420</v>
      </c>
      <c r="C20" s="1" t="n">
        <v>45356</v>
      </c>
      <c r="D20" t="inlineStr">
        <is>
          <t>DALARNAS LÄN</t>
        </is>
      </c>
      <c r="E20" t="inlineStr">
        <is>
          <t>BORLÄNGE</t>
        </is>
      </c>
      <c r="G20" t="n">
        <v>3.8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HYPERLINK("https://klasma.github.io/Logging_2081/artfynd/A 40578-2021 artfynd.xlsx", "A 40578-2021")</f>
        <v/>
      </c>
      <c r="T20">
        <f>HYPERLINK("https://klasma.github.io/Logging_2081/kartor/A 40578-2021 karta.png", "A 40578-2021")</f>
        <v/>
      </c>
      <c r="U20">
        <f>HYPERLINK("https://klasma.github.io/Logging_2081/knärot/A 40578-2021 karta knärot.png", "A 40578-2021")</f>
        <v/>
      </c>
      <c r="V20">
        <f>HYPERLINK("https://klasma.github.io/Logging_2081/klagomål/A 40578-2021 FSC-klagomål.docx", "A 40578-2021")</f>
        <v/>
      </c>
      <c r="W20">
        <f>HYPERLINK("https://klasma.github.io/Logging_2081/klagomålsmail/A 40578-2021 FSC-klagomål mail.docx", "A 40578-2021")</f>
        <v/>
      </c>
      <c r="X20">
        <f>HYPERLINK("https://klasma.github.io/Logging_2081/tillsyn/A 40578-2021 tillsynsbegäran.docx", "A 40578-2021")</f>
        <v/>
      </c>
      <c r="Y20">
        <f>HYPERLINK("https://klasma.github.io/Logging_2081/tillsynsmail/A 40578-2021 tillsynsbegäran mail.docx", "A 40578-2021")</f>
        <v/>
      </c>
    </row>
    <row r="21" ht="15" customHeight="1">
      <c r="A21" t="inlineStr">
        <is>
          <t>A 48937-2021</t>
        </is>
      </c>
      <c r="B21" s="1" t="n">
        <v>44453</v>
      </c>
      <c r="C21" s="1" t="n">
        <v>45356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HYPERLINK("https://klasma.github.io/Logging_2081/artfynd/A 48937-2021 artfynd.xlsx", "A 48937-2021")</f>
        <v/>
      </c>
      <c r="T21">
        <f>HYPERLINK("https://klasma.github.io/Logging_2081/kartor/A 48937-2021 karta.png", "A 48937-2021")</f>
        <v/>
      </c>
      <c r="U21">
        <f>HYPERLINK("https://klasma.github.io/Logging_2081/knärot/A 48937-2021 karta knärot.png", "A 48937-2021")</f>
        <v/>
      </c>
      <c r="V21">
        <f>HYPERLINK("https://klasma.github.io/Logging_2081/klagomål/A 48937-2021 FSC-klagomål.docx", "A 48937-2021")</f>
        <v/>
      </c>
      <c r="W21">
        <f>HYPERLINK("https://klasma.github.io/Logging_2081/klagomålsmail/A 48937-2021 FSC-klagomål mail.docx", "A 48937-2021")</f>
        <v/>
      </c>
      <c r="X21">
        <f>HYPERLINK("https://klasma.github.io/Logging_2081/tillsyn/A 48937-2021 tillsynsbegäran.docx", "A 48937-2021")</f>
        <v/>
      </c>
      <c r="Y21">
        <f>HYPERLINK("https://klasma.github.io/Logging_2081/tillsynsmail/A 48937-2021 tillsynsbegäran mail.docx", "A 48937-2021")</f>
        <v/>
      </c>
    </row>
    <row r="22" ht="15" customHeight="1">
      <c r="A22" t="inlineStr">
        <is>
          <t>A 51992-2021</t>
        </is>
      </c>
      <c r="B22" s="1" t="n">
        <v>44463</v>
      </c>
      <c r="C22" s="1" t="n">
        <v>45356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Rödgul trumpetsvamp</t>
        </is>
      </c>
      <c r="S22">
        <f>HYPERLINK("https://klasma.github.io/Logging_2081/artfynd/A 51992-2021 artfynd.xlsx", "A 51992-2021")</f>
        <v/>
      </c>
      <c r="T22">
        <f>HYPERLINK("https://klasma.github.io/Logging_2081/kartor/A 51992-2021 karta.png", "A 51992-2021")</f>
        <v/>
      </c>
      <c r="V22">
        <f>HYPERLINK("https://klasma.github.io/Logging_2081/klagomål/A 51992-2021 FSC-klagomål.docx", "A 51992-2021")</f>
        <v/>
      </c>
      <c r="W22">
        <f>HYPERLINK("https://klasma.github.io/Logging_2081/klagomålsmail/A 51992-2021 FSC-klagomål mail.docx", "A 51992-2021")</f>
        <v/>
      </c>
      <c r="X22">
        <f>HYPERLINK("https://klasma.github.io/Logging_2081/tillsyn/A 51992-2021 tillsynsbegäran.docx", "A 51992-2021")</f>
        <v/>
      </c>
      <c r="Y22">
        <f>HYPERLINK("https://klasma.github.io/Logging_2081/tillsynsmail/A 51992-2021 tillsynsbegäran mail.docx", "A 51992-2021")</f>
        <v/>
      </c>
    </row>
    <row r="23" ht="15" customHeight="1">
      <c r="A23" t="inlineStr">
        <is>
          <t>A 59701-2021</t>
        </is>
      </c>
      <c r="B23" s="1" t="n">
        <v>44494</v>
      </c>
      <c r="C23" s="1" t="n">
        <v>45356</v>
      </c>
      <c r="D23" t="inlineStr">
        <is>
          <t>DALARNAS LÄN</t>
        </is>
      </c>
      <c r="E23" t="inlineStr">
        <is>
          <t>BORLÄNGE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Svavelriska</t>
        </is>
      </c>
      <c r="S23">
        <f>HYPERLINK("https://klasma.github.io/Logging_2081/artfynd/A 59701-2021 artfynd.xlsx", "A 59701-2021")</f>
        <v/>
      </c>
      <c r="T23">
        <f>HYPERLINK("https://klasma.github.io/Logging_2081/kartor/A 59701-2021 karta.png", "A 59701-2021")</f>
        <v/>
      </c>
      <c r="V23">
        <f>HYPERLINK("https://klasma.github.io/Logging_2081/klagomål/A 59701-2021 FSC-klagomål.docx", "A 59701-2021")</f>
        <v/>
      </c>
      <c r="W23">
        <f>HYPERLINK("https://klasma.github.io/Logging_2081/klagomålsmail/A 59701-2021 FSC-klagomål mail.docx", "A 59701-2021")</f>
        <v/>
      </c>
      <c r="X23">
        <f>HYPERLINK("https://klasma.github.io/Logging_2081/tillsyn/A 59701-2021 tillsynsbegäran.docx", "A 59701-2021")</f>
        <v/>
      </c>
      <c r="Y23">
        <f>HYPERLINK("https://klasma.github.io/Logging_2081/tillsynsmail/A 59701-2021 tillsynsbegäran mail.docx", "A 59701-2021")</f>
        <v/>
      </c>
    </row>
    <row r="24" ht="15" customHeight="1">
      <c r="A24" t="inlineStr">
        <is>
          <t>A 63118-2021</t>
        </is>
      </c>
      <c r="B24" s="1" t="n">
        <v>44505</v>
      </c>
      <c r="C24" s="1" t="n">
        <v>45356</v>
      </c>
      <c r="D24" t="inlineStr">
        <is>
          <t>DALARNAS LÄN</t>
        </is>
      </c>
      <c r="E24" t="inlineStr">
        <is>
          <t>BORLÄNGE</t>
        </is>
      </c>
      <c r="G24" t="n">
        <v>11.9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HYPERLINK("https://klasma.github.io/Logging_2081/artfynd/A 63118-2021 artfynd.xlsx", "A 63118-2021")</f>
        <v/>
      </c>
      <c r="T24">
        <f>HYPERLINK("https://klasma.github.io/Logging_2081/kartor/A 63118-2021 karta.png", "A 63118-2021")</f>
        <v/>
      </c>
      <c r="U24">
        <f>HYPERLINK("https://klasma.github.io/Logging_2081/knärot/A 63118-2021 karta knärot.png", "A 63118-2021")</f>
        <v/>
      </c>
      <c r="V24">
        <f>HYPERLINK("https://klasma.github.io/Logging_2081/klagomål/A 63118-2021 FSC-klagomål.docx", "A 63118-2021")</f>
        <v/>
      </c>
      <c r="W24">
        <f>HYPERLINK("https://klasma.github.io/Logging_2081/klagomålsmail/A 63118-2021 FSC-klagomål mail.docx", "A 63118-2021")</f>
        <v/>
      </c>
      <c r="X24">
        <f>HYPERLINK("https://klasma.github.io/Logging_2081/tillsyn/A 63118-2021 tillsynsbegäran.docx", "A 63118-2021")</f>
        <v/>
      </c>
      <c r="Y24">
        <f>HYPERLINK("https://klasma.github.io/Logging_2081/tillsynsmail/A 63118-2021 tillsynsbegäran mail.docx", "A 63118-2021")</f>
        <v/>
      </c>
    </row>
    <row r="25" ht="15" customHeight="1">
      <c r="A25" t="inlineStr">
        <is>
          <t>A 52510-2022</t>
        </is>
      </c>
      <c r="B25" s="1" t="n">
        <v>44874</v>
      </c>
      <c r="C25" s="1" t="n">
        <v>45356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Gränsticka
Vedticka</t>
        </is>
      </c>
      <c r="S25">
        <f>HYPERLINK("https://klasma.github.io/Logging_2081/artfynd/A 52510-2022 artfynd.xlsx", "A 52510-2022")</f>
        <v/>
      </c>
      <c r="T25">
        <f>HYPERLINK("https://klasma.github.io/Logging_2081/kartor/A 52510-2022 karta.png", "A 52510-2022")</f>
        <v/>
      </c>
      <c r="V25">
        <f>HYPERLINK("https://klasma.github.io/Logging_2081/klagomål/A 52510-2022 FSC-klagomål.docx", "A 52510-2022")</f>
        <v/>
      </c>
      <c r="W25">
        <f>HYPERLINK("https://klasma.github.io/Logging_2081/klagomålsmail/A 52510-2022 FSC-klagomål mail.docx", "A 52510-2022")</f>
        <v/>
      </c>
      <c r="X25">
        <f>HYPERLINK("https://klasma.github.io/Logging_2081/tillsyn/A 52510-2022 tillsynsbegäran.docx", "A 52510-2022")</f>
        <v/>
      </c>
      <c r="Y25">
        <f>HYPERLINK("https://klasma.github.io/Logging_2081/tillsynsmail/A 52510-2022 tillsynsbegäran mail.docx", "A 52510-2022")</f>
        <v/>
      </c>
    </row>
    <row r="26" ht="15" customHeight="1">
      <c r="A26" t="inlineStr">
        <is>
          <t>A 5108-2023</t>
        </is>
      </c>
      <c r="B26" s="1" t="n">
        <v>44958</v>
      </c>
      <c r="C26" s="1" t="n">
        <v>45356</v>
      </c>
      <c r="D26" t="inlineStr">
        <is>
          <t>DALARNAS LÄN</t>
        </is>
      </c>
      <c r="E26" t="inlineStr">
        <is>
          <t>BORLÄNGE</t>
        </is>
      </c>
      <c r="F26" t="inlineStr">
        <is>
          <t>Bergvik skog väst AB</t>
        </is>
      </c>
      <c r="G26" t="n">
        <v>17.7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HYPERLINK("https://klasma.github.io/Logging_2081/artfynd/A 5108-2023 artfynd.xlsx", "A 5108-2023")</f>
        <v/>
      </c>
      <c r="T26">
        <f>HYPERLINK("https://klasma.github.io/Logging_2081/kartor/A 5108-2023 karta.png", "A 5108-2023")</f>
        <v/>
      </c>
      <c r="V26">
        <f>HYPERLINK("https://klasma.github.io/Logging_2081/klagomål/A 5108-2023 FSC-klagomål.docx", "A 5108-2023")</f>
        <v/>
      </c>
      <c r="W26">
        <f>HYPERLINK("https://klasma.github.io/Logging_2081/klagomålsmail/A 5108-2023 FSC-klagomål mail.docx", "A 5108-2023")</f>
        <v/>
      </c>
      <c r="X26">
        <f>HYPERLINK("https://klasma.github.io/Logging_2081/tillsyn/A 5108-2023 tillsynsbegäran.docx", "A 5108-2023")</f>
        <v/>
      </c>
      <c r="Y26">
        <f>HYPERLINK("https://klasma.github.io/Logging_2081/tillsynsmail/A 5108-2023 tillsynsbegäran mail.docx", "A 5108-2023")</f>
        <v/>
      </c>
      <c r="Z26">
        <f>HYPERLINK("https://klasma.github.io/Logging_2081/fåglar/A 5108-2023 prioriterade fågelarter.docx", "A 5108-2023")</f>
        <v/>
      </c>
    </row>
    <row r="27" ht="15" customHeight="1">
      <c r="A27" t="inlineStr">
        <is>
          <t>A 12314-2023</t>
        </is>
      </c>
      <c r="B27" s="1" t="n">
        <v>44996</v>
      </c>
      <c r="C27" s="1" t="n">
        <v>45356</v>
      </c>
      <c r="D27" t="inlineStr">
        <is>
          <t>DALARNAS LÄN</t>
        </is>
      </c>
      <c r="E27" t="inlineStr">
        <is>
          <t>BORLÄNGE</t>
        </is>
      </c>
      <c r="G27" t="n">
        <v>22.7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HYPERLINK("https://klasma.github.io/Logging_2081/artfynd/A 12314-2023 artfynd.xlsx", "A 12314-2023")</f>
        <v/>
      </c>
      <c r="T27">
        <f>HYPERLINK("https://klasma.github.io/Logging_2081/kartor/A 12314-2023 karta.png", "A 12314-2023")</f>
        <v/>
      </c>
      <c r="V27">
        <f>HYPERLINK("https://klasma.github.io/Logging_2081/klagomål/A 12314-2023 FSC-klagomål.docx", "A 12314-2023")</f>
        <v/>
      </c>
      <c r="W27">
        <f>HYPERLINK("https://klasma.github.io/Logging_2081/klagomålsmail/A 12314-2023 FSC-klagomål mail.docx", "A 12314-2023")</f>
        <v/>
      </c>
      <c r="X27">
        <f>HYPERLINK("https://klasma.github.io/Logging_2081/tillsyn/A 12314-2023 tillsynsbegäran.docx", "A 12314-2023")</f>
        <v/>
      </c>
      <c r="Y27">
        <f>HYPERLINK("https://klasma.github.io/Logging_2081/tillsynsmail/A 12314-2023 tillsynsbegäran mail.docx", "A 12314-2023")</f>
        <v/>
      </c>
    </row>
    <row r="28" ht="15" customHeight="1">
      <c r="A28" t="inlineStr">
        <is>
          <t>A 12444-2023</t>
        </is>
      </c>
      <c r="B28" s="1" t="n">
        <v>44999</v>
      </c>
      <c r="C28" s="1" t="n">
        <v>45356</v>
      </c>
      <c r="D28" t="inlineStr">
        <is>
          <t>DALARNAS LÄN</t>
        </is>
      </c>
      <c r="E28" t="inlineStr">
        <is>
          <t>BORLÄNGE</t>
        </is>
      </c>
      <c r="G28" t="n">
        <v>7.5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Talltita</t>
        </is>
      </c>
      <c r="S28">
        <f>HYPERLINK("https://klasma.github.io/Logging_2081/artfynd/A 12444-2023 artfynd.xlsx", "A 12444-2023")</f>
        <v/>
      </c>
      <c r="T28">
        <f>HYPERLINK("https://klasma.github.io/Logging_2081/kartor/A 12444-2023 karta.png", "A 12444-2023")</f>
        <v/>
      </c>
      <c r="V28">
        <f>HYPERLINK("https://klasma.github.io/Logging_2081/klagomål/A 12444-2023 FSC-klagomål.docx", "A 12444-2023")</f>
        <v/>
      </c>
      <c r="W28">
        <f>HYPERLINK("https://klasma.github.io/Logging_2081/klagomålsmail/A 12444-2023 FSC-klagomål mail.docx", "A 12444-2023")</f>
        <v/>
      </c>
      <c r="X28">
        <f>HYPERLINK("https://klasma.github.io/Logging_2081/tillsyn/A 12444-2023 tillsynsbegäran.docx", "A 12444-2023")</f>
        <v/>
      </c>
      <c r="Y28">
        <f>HYPERLINK("https://klasma.github.io/Logging_2081/tillsynsmail/A 12444-2023 tillsynsbegäran mail.docx", "A 12444-2023")</f>
        <v/>
      </c>
      <c r="Z28">
        <f>HYPERLINK("https://klasma.github.io/Logging_2081/fåglar/A 12444-2023 prioriterade fågelarter.docx", "A 12444-2023")</f>
        <v/>
      </c>
    </row>
    <row r="29" ht="15" customHeight="1">
      <c r="A29" t="inlineStr">
        <is>
          <t>A 14651-2023</t>
        </is>
      </c>
      <c r="B29" s="1" t="n">
        <v>45013</v>
      </c>
      <c r="C29" s="1" t="n">
        <v>45356</v>
      </c>
      <c r="D29" t="inlineStr">
        <is>
          <t>DALARNAS LÄN</t>
        </is>
      </c>
      <c r="E29" t="inlineStr">
        <is>
          <t>BORLÄNGE</t>
        </is>
      </c>
      <c r="G29" t="n">
        <v>16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Tallticka</t>
        </is>
      </c>
      <c r="S29">
        <f>HYPERLINK("https://klasma.github.io/Logging_2081/artfynd/A 14651-2023 artfynd.xlsx", "A 14651-2023")</f>
        <v/>
      </c>
      <c r="T29">
        <f>HYPERLINK("https://klasma.github.io/Logging_2081/kartor/A 14651-2023 karta.png", "A 14651-2023")</f>
        <v/>
      </c>
      <c r="U29">
        <f>HYPERLINK("https://klasma.github.io/Logging_2081/knärot/A 14651-2023 karta knärot.png", "A 14651-2023")</f>
        <v/>
      </c>
      <c r="V29">
        <f>HYPERLINK("https://klasma.github.io/Logging_2081/klagomål/A 14651-2023 FSC-klagomål.docx", "A 14651-2023")</f>
        <v/>
      </c>
      <c r="W29">
        <f>HYPERLINK("https://klasma.github.io/Logging_2081/klagomålsmail/A 14651-2023 FSC-klagomål mail.docx", "A 14651-2023")</f>
        <v/>
      </c>
      <c r="X29">
        <f>HYPERLINK("https://klasma.github.io/Logging_2081/tillsyn/A 14651-2023 tillsynsbegäran.docx", "A 14651-2023")</f>
        <v/>
      </c>
      <c r="Y29">
        <f>HYPERLINK("https://klasma.github.io/Logging_2081/tillsynsmail/A 14651-2023 tillsynsbegäran mail.docx", "A 14651-2023")</f>
        <v/>
      </c>
    </row>
    <row r="30" ht="15" customHeight="1">
      <c r="A30" t="inlineStr">
        <is>
          <t>A 21926-2023</t>
        </is>
      </c>
      <c r="B30" s="1" t="n">
        <v>45068</v>
      </c>
      <c r="C30" s="1" t="n">
        <v>45356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Vedticka</t>
        </is>
      </c>
      <c r="S30">
        <f>HYPERLINK("https://klasma.github.io/Logging_2081/artfynd/A 21926-2023 artfynd.xlsx", "A 21926-2023")</f>
        <v/>
      </c>
      <c r="T30">
        <f>HYPERLINK("https://klasma.github.io/Logging_2081/kartor/A 21926-2023 karta.png", "A 21926-2023")</f>
        <v/>
      </c>
      <c r="U30">
        <f>HYPERLINK("https://klasma.github.io/Logging_2081/knärot/A 21926-2023 karta knärot.png", "A 21926-2023")</f>
        <v/>
      </c>
      <c r="V30">
        <f>HYPERLINK("https://klasma.github.io/Logging_2081/klagomål/A 21926-2023 FSC-klagomål.docx", "A 21926-2023")</f>
        <v/>
      </c>
      <c r="W30">
        <f>HYPERLINK("https://klasma.github.io/Logging_2081/klagomålsmail/A 21926-2023 FSC-klagomål mail.docx", "A 21926-2023")</f>
        <v/>
      </c>
      <c r="X30">
        <f>HYPERLINK("https://klasma.github.io/Logging_2081/tillsyn/A 21926-2023 tillsynsbegäran.docx", "A 21926-2023")</f>
        <v/>
      </c>
      <c r="Y30">
        <f>HYPERLINK("https://klasma.github.io/Logging_2081/tillsynsmail/A 21926-2023 tillsynsbegäran mail.docx", "A 21926-2023")</f>
        <v/>
      </c>
    </row>
    <row r="31" ht="15" customHeight="1">
      <c r="A31" t="inlineStr">
        <is>
          <t>A 23652-2023</t>
        </is>
      </c>
      <c r="B31" s="1" t="n">
        <v>45074</v>
      </c>
      <c r="C31" s="1" t="n">
        <v>45356</v>
      </c>
      <c r="D31" t="inlineStr">
        <is>
          <t>DALARNAS LÄN</t>
        </is>
      </c>
      <c r="E31" t="inlineStr">
        <is>
          <t>BORLÄNGE</t>
        </is>
      </c>
      <c r="G31" t="n">
        <v>1.4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Tibast</t>
        </is>
      </c>
      <c r="S31">
        <f>HYPERLINK("https://klasma.github.io/Logging_2081/artfynd/A 23652-2023 artfynd.xlsx", "A 23652-2023")</f>
        <v/>
      </c>
      <c r="T31">
        <f>HYPERLINK("https://klasma.github.io/Logging_2081/kartor/A 23652-2023 karta.png", "A 23652-2023")</f>
        <v/>
      </c>
      <c r="V31">
        <f>HYPERLINK("https://klasma.github.io/Logging_2081/klagomål/A 23652-2023 FSC-klagomål.docx", "A 23652-2023")</f>
        <v/>
      </c>
      <c r="W31">
        <f>HYPERLINK("https://klasma.github.io/Logging_2081/klagomålsmail/A 23652-2023 FSC-klagomål mail.docx", "A 23652-2023")</f>
        <v/>
      </c>
      <c r="X31">
        <f>HYPERLINK("https://klasma.github.io/Logging_2081/tillsyn/A 23652-2023 tillsynsbegäran.docx", "A 23652-2023")</f>
        <v/>
      </c>
      <c r="Y31">
        <f>HYPERLINK("https://klasma.github.io/Logging_2081/tillsynsmail/A 23652-2023 tillsynsbegäran mail.docx", "A 23652-2023")</f>
        <v/>
      </c>
      <c r="Z31">
        <f>HYPERLINK("https://klasma.github.io/Logging_2081/fåglar/A 23652-2023 prioriterade fågelarter.docx", "A 23652-2023")</f>
        <v/>
      </c>
    </row>
    <row r="32" ht="15" customHeight="1">
      <c r="A32" t="inlineStr">
        <is>
          <t>A 31680-2023</t>
        </is>
      </c>
      <c r="B32" s="1" t="n">
        <v>45117</v>
      </c>
      <c r="C32" s="1" t="n">
        <v>45356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Vågbandad barkbock
Blåsippa</t>
        </is>
      </c>
      <c r="S32">
        <f>HYPERLINK("https://klasma.github.io/Logging_2081/artfynd/A 31680-2023 artfynd.xlsx", "A 31680-2023")</f>
        <v/>
      </c>
      <c r="T32">
        <f>HYPERLINK("https://klasma.github.io/Logging_2081/kartor/A 31680-2023 karta.png", "A 31680-2023")</f>
        <v/>
      </c>
      <c r="V32">
        <f>HYPERLINK("https://klasma.github.io/Logging_2081/klagomål/A 31680-2023 FSC-klagomål.docx", "A 31680-2023")</f>
        <v/>
      </c>
      <c r="W32">
        <f>HYPERLINK("https://klasma.github.io/Logging_2081/klagomålsmail/A 31680-2023 FSC-klagomål mail.docx", "A 31680-2023")</f>
        <v/>
      </c>
      <c r="X32">
        <f>HYPERLINK("https://klasma.github.io/Logging_2081/tillsyn/A 31680-2023 tillsynsbegäran.docx", "A 31680-2023")</f>
        <v/>
      </c>
      <c r="Y32">
        <f>HYPERLINK("https://klasma.github.io/Logging_2081/tillsynsmail/A 31680-2023 tillsynsbegäran mail.docx", "A 31680-2023")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45356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58614-2023</t>
        </is>
      </c>
      <c r="B34" s="1" t="n">
        <v>45251</v>
      </c>
      <c r="C34" s="1" t="n">
        <v>45356</v>
      </c>
      <c r="D34" t="inlineStr">
        <is>
          <t>DALARNAS LÄN</t>
        </is>
      </c>
      <c r="E34" t="inlineStr">
        <is>
          <t>BORLÄNGE</t>
        </is>
      </c>
      <c r="G34" t="n">
        <v>1.8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Gropticka</t>
        </is>
      </c>
      <c r="S34">
        <f>HYPERLINK("https://klasma.github.io/Logging_2081/artfynd/A 58614-2023 artfynd.xlsx", "A 58614-2023")</f>
        <v/>
      </c>
      <c r="T34">
        <f>HYPERLINK("https://klasma.github.io/Logging_2081/kartor/A 58614-2023 karta.png", "A 58614-2023")</f>
        <v/>
      </c>
      <c r="U34">
        <f>HYPERLINK("https://klasma.github.io/Logging_2081/knärot/A 58614-2023 karta knärot.png", "A 58614-2023")</f>
        <v/>
      </c>
      <c r="V34">
        <f>HYPERLINK("https://klasma.github.io/Logging_2081/klagomål/A 58614-2023 FSC-klagomål.docx", "A 58614-2023")</f>
        <v/>
      </c>
      <c r="W34">
        <f>HYPERLINK("https://klasma.github.io/Logging_2081/klagomålsmail/A 58614-2023 FSC-klagomål mail.docx", "A 58614-2023")</f>
        <v/>
      </c>
      <c r="X34">
        <f>HYPERLINK("https://klasma.github.io/Logging_2081/tillsyn/A 58614-2023 tillsynsbegäran.docx", "A 58614-2023")</f>
        <v/>
      </c>
      <c r="Y34">
        <f>HYPERLINK("https://klasma.github.io/Logging_2081/tillsynsmail/A 58614-2023 tillsynsbegäran mail.docx", "A 58614-2023")</f>
        <v/>
      </c>
    </row>
    <row r="35" ht="15" customHeight="1">
      <c r="A35" t="inlineStr">
        <is>
          <t>A 1750-2024</t>
        </is>
      </c>
      <c r="B35" s="1" t="n">
        <v>45307</v>
      </c>
      <c r="C35" s="1" t="n">
        <v>45356</v>
      </c>
      <c r="D35" t="inlineStr">
        <is>
          <t>DALARNAS LÄN</t>
        </is>
      </c>
      <c r="E35" t="inlineStr">
        <is>
          <t>BORLÄNGE</t>
        </is>
      </c>
      <c r="G35" t="n">
        <v>2.9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HYPERLINK("https://klasma.github.io/Logging_2081/artfynd/A 1750-2024 artfynd.xlsx", "A 1750-2024")</f>
        <v/>
      </c>
      <c r="T35">
        <f>HYPERLINK("https://klasma.github.io/Logging_2081/kartor/A 1750-2024 karta.png", "A 1750-2024")</f>
        <v/>
      </c>
      <c r="V35">
        <f>HYPERLINK("https://klasma.github.io/Logging_2081/klagomål/A 1750-2024 FSC-klagomål.docx", "A 1750-2024")</f>
        <v/>
      </c>
      <c r="W35">
        <f>HYPERLINK("https://klasma.github.io/Logging_2081/klagomålsmail/A 1750-2024 FSC-klagomål mail.docx", "A 1750-2024")</f>
        <v/>
      </c>
      <c r="X35">
        <f>HYPERLINK("https://klasma.github.io/Logging_2081/tillsyn/A 1750-2024 tillsynsbegäran.docx", "A 1750-2024")</f>
        <v/>
      </c>
      <c r="Y35">
        <f>HYPERLINK("https://klasma.github.io/Logging_2081/tillsynsmail/A 1750-2024 tillsynsbegäran mail.docx", "A 1750-2024")</f>
        <v/>
      </c>
    </row>
    <row r="36" ht="15" customHeight="1">
      <c r="A36" t="inlineStr">
        <is>
          <t>A 58399-2018</t>
        </is>
      </c>
      <c r="B36" s="1" t="n">
        <v>43409</v>
      </c>
      <c r="C36" s="1" t="n">
        <v>45356</v>
      </c>
      <c r="D36" t="inlineStr">
        <is>
          <t>DALARNAS LÄN</t>
        </is>
      </c>
      <c r="E36" t="inlineStr">
        <is>
          <t>BORLÄNGE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HYPERLINK("https://klasma.github.io/Logging_2081/artfynd/A 58399-2018 artfynd.xlsx", "A 58399-2018")</f>
        <v/>
      </c>
      <c r="T36">
        <f>HYPERLINK("https://klasma.github.io/Logging_2081/kartor/A 58399-2018 karta.png", "A 58399-2018")</f>
        <v/>
      </c>
      <c r="V36">
        <f>HYPERLINK("https://klasma.github.io/Logging_2081/klagomål/A 58399-2018 FSC-klagomål.docx", "A 58399-2018")</f>
        <v/>
      </c>
      <c r="W36">
        <f>HYPERLINK("https://klasma.github.io/Logging_2081/klagomålsmail/A 58399-2018 FSC-klagomål mail.docx", "A 58399-2018")</f>
        <v/>
      </c>
      <c r="X36">
        <f>HYPERLINK("https://klasma.github.io/Logging_2081/tillsyn/A 58399-2018 tillsynsbegäran.docx", "A 58399-2018")</f>
        <v/>
      </c>
      <c r="Y36">
        <f>HYPERLINK("https://klasma.github.io/Logging_2081/tillsynsmail/A 58399-2018 tillsynsbegäran mail.docx", "A 58399-2018")</f>
        <v/>
      </c>
    </row>
    <row r="37" ht="15" customHeight="1">
      <c r="A37" t="inlineStr">
        <is>
          <t>A 66079-2018</t>
        </is>
      </c>
      <c r="B37" s="1" t="n">
        <v>43434</v>
      </c>
      <c r="C37" s="1" t="n">
        <v>45356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HYPERLINK("https://klasma.github.io/Logging_2081/artfynd/A 66079-2018 artfynd.xlsx", "A 66079-2018")</f>
        <v/>
      </c>
      <c r="T37">
        <f>HYPERLINK("https://klasma.github.io/Logging_2081/kartor/A 66079-2018 karta.png", "A 66079-2018")</f>
        <v/>
      </c>
      <c r="V37">
        <f>HYPERLINK("https://klasma.github.io/Logging_2081/klagomål/A 66079-2018 FSC-klagomål.docx", "A 66079-2018")</f>
        <v/>
      </c>
      <c r="W37">
        <f>HYPERLINK("https://klasma.github.io/Logging_2081/klagomålsmail/A 66079-2018 FSC-klagomål mail.docx", "A 66079-2018")</f>
        <v/>
      </c>
      <c r="X37">
        <f>HYPERLINK("https://klasma.github.io/Logging_2081/tillsyn/A 66079-2018 tillsynsbegäran.docx", "A 66079-2018")</f>
        <v/>
      </c>
      <c r="Y37">
        <f>HYPERLINK("https://klasma.github.io/Logging_2081/tillsynsmail/A 66079-2018 tillsynsbegäran mail.docx", "A 66079-2018")</f>
        <v/>
      </c>
    </row>
    <row r="38" ht="15" customHeight="1">
      <c r="A38" t="inlineStr">
        <is>
          <t>A 16079-2019</t>
        </is>
      </c>
      <c r="B38" s="1" t="n">
        <v>43544</v>
      </c>
      <c r="C38" s="1" t="n">
        <v>45356</v>
      </c>
      <c r="D38" t="inlineStr">
        <is>
          <t>DALARNAS LÄN</t>
        </is>
      </c>
      <c r="E38" t="inlineStr">
        <is>
          <t>BORLÄNGE</t>
        </is>
      </c>
      <c r="G38" t="n">
        <v>3.3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HYPERLINK("https://klasma.github.io/Logging_2081/artfynd/A 16079-2019 artfynd.xlsx", "A 16079-2019")</f>
        <v/>
      </c>
      <c r="T38">
        <f>HYPERLINK("https://klasma.github.io/Logging_2081/kartor/A 16079-2019 karta.png", "A 16079-2019")</f>
        <v/>
      </c>
      <c r="U38">
        <f>HYPERLINK("https://klasma.github.io/Logging_2081/knärot/A 16079-2019 karta knärot.png", "A 16079-2019")</f>
        <v/>
      </c>
      <c r="V38">
        <f>HYPERLINK("https://klasma.github.io/Logging_2081/klagomål/A 16079-2019 FSC-klagomål.docx", "A 16079-2019")</f>
        <v/>
      </c>
      <c r="W38">
        <f>HYPERLINK("https://klasma.github.io/Logging_2081/klagomålsmail/A 16079-2019 FSC-klagomål mail.docx", "A 16079-2019")</f>
        <v/>
      </c>
      <c r="X38">
        <f>HYPERLINK("https://klasma.github.io/Logging_2081/tillsyn/A 16079-2019 tillsynsbegäran.docx", "A 16079-2019")</f>
        <v/>
      </c>
      <c r="Y38">
        <f>HYPERLINK("https://klasma.github.io/Logging_2081/tillsynsmail/A 16079-2019 tillsynsbegäran mail.docx", "A 16079-2019")</f>
        <v/>
      </c>
    </row>
    <row r="39" ht="15" customHeight="1">
      <c r="A39" t="inlineStr">
        <is>
          <t>A 23553-2020</t>
        </is>
      </c>
      <c r="B39" s="1" t="n">
        <v>43969</v>
      </c>
      <c r="C39" s="1" t="n">
        <v>45356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13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HYPERLINK("https://klasma.github.io/Logging_2081/artfynd/A 23553-2020 artfynd.xlsx", "A 23553-2020")</f>
        <v/>
      </c>
      <c r="T39">
        <f>HYPERLINK("https://klasma.github.io/Logging_2081/kartor/A 23553-2020 karta.png", "A 23553-2020")</f>
        <v/>
      </c>
      <c r="V39">
        <f>HYPERLINK("https://klasma.github.io/Logging_2081/klagomål/A 23553-2020 FSC-klagomål.docx", "A 23553-2020")</f>
        <v/>
      </c>
      <c r="W39">
        <f>HYPERLINK("https://klasma.github.io/Logging_2081/klagomålsmail/A 23553-2020 FSC-klagomål mail.docx", "A 23553-2020")</f>
        <v/>
      </c>
      <c r="X39">
        <f>HYPERLINK("https://klasma.github.io/Logging_2081/tillsyn/A 23553-2020 tillsynsbegäran.docx", "A 23553-2020")</f>
        <v/>
      </c>
      <c r="Y39">
        <f>HYPERLINK("https://klasma.github.io/Logging_2081/tillsynsmail/A 23553-2020 tillsynsbegäran mail.docx", "A 23553-2020")</f>
        <v/>
      </c>
    </row>
    <row r="40" ht="15" customHeight="1">
      <c r="A40" t="inlineStr">
        <is>
          <t>A 38708-2021</t>
        </is>
      </c>
      <c r="B40" s="1" t="n">
        <v>44410</v>
      </c>
      <c r="C40" s="1" t="n">
        <v>45356</v>
      </c>
      <c r="D40" t="inlineStr">
        <is>
          <t>DALARNAS LÄN</t>
        </is>
      </c>
      <c r="E40" t="inlineStr">
        <is>
          <t>BORLÄNGE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Äggvaxskivling</t>
        </is>
      </c>
      <c r="S40">
        <f>HYPERLINK("https://klasma.github.io/Logging_2081/artfynd/A 38708-2021 artfynd.xlsx", "A 38708-2021")</f>
        <v/>
      </c>
      <c r="T40">
        <f>HYPERLINK("https://klasma.github.io/Logging_2081/kartor/A 38708-2021 karta.png", "A 38708-2021")</f>
        <v/>
      </c>
      <c r="V40">
        <f>HYPERLINK("https://klasma.github.io/Logging_2081/klagomål/A 38708-2021 FSC-klagomål.docx", "A 38708-2021")</f>
        <v/>
      </c>
      <c r="W40">
        <f>HYPERLINK("https://klasma.github.io/Logging_2081/klagomålsmail/A 38708-2021 FSC-klagomål mail.docx", "A 38708-2021")</f>
        <v/>
      </c>
      <c r="X40">
        <f>HYPERLINK("https://klasma.github.io/Logging_2081/tillsyn/A 38708-2021 tillsynsbegäran.docx", "A 38708-2021")</f>
        <v/>
      </c>
      <c r="Y40">
        <f>HYPERLINK("https://klasma.github.io/Logging_2081/tillsynsmail/A 38708-2021 tillsynsbegäran mail.docx", "A 38708-2021")</f>
        <v/>
      </c>
    </row>
    <row r="41" ht="15" customHeight="1">
      <c r="A41" t="inlineStr">
        <is>
          <t>A 41874-2021</t>
        </is>
      </c>
      <c r="B41" s="1" t="n">
        <v>44426</v>
      </c>
      <c r="C41" s="1" t="n">
        <v>45356</v>
      </c>
      <c r="D41" t="inlineStr">
        <is>
          <t>DALARNAS LÄN</t>
        </is>
      </c>
      <c r="E41" t="inlineStr">
        <is>
          <t>BORLÄNGE</t>
        </is>
      </c>
      <c r="G41" t="n">
        <v>13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Skinnlav</t>
        </is>
      </c>
      <c r="S41">
        <f>HYPERLINK("https://klasma.github.io/Logging_2081/artfynd/A 41874-2021 artfynd.xlsx", "A 41874-2021")</f>
        <v/>
      </c>
      <c r="T41">
        <f>HYPERLINK("https://klasma.github.io/Logging_2081/kartor/A 41874-2021 karta.png", "A 41874-2021")</f>
        <v/>
      </c>
      <c r="V41">
        <f>HYPERLINK("https://klasma.github.io/Logging_2081/klagomål/A 41874-2021 FSC-klagomål.docx", "A 41874-2021")</f>
        <v/>
      </c>
      <c r="W41">
        <f>HYPERLINK("https://klasma.github.io/Logging_2081/klagomålsmail/A 41874-2021 FSC-klagomål mail.docx", "A 41874-2021")</f>
        <v/>
      </c>
      <c r="X41">
        <f>HYPERLINK("https://klasma.github.io/Logging_2081/tillsyn/A 41874-2021 tillsynsbegäran.docx", "A 41874-2021")</f>
        <v/>
      </c>
      <c r="Y41">
        <f>HYPERLINK("https://klasma.github.io/Logging_2081/tillsynsmail/A 41874-2021 tillsynsbegäran mail.docx", "A 41874-2021")</f>
        <v/>
      </c>
    </row>
    <row r="42" ht="15" customHeight="1">
      <c r="A42" t="inlineStr">
        <is>
          <t>A 49776-2021</t>
        </is>
      </c>
      <c r="B42" s="1" t="n">
        <v>44454</v>
      </c>
      <c r="C42" s="1" t="n">
        <v>45356</v>
      </c>
      <c r="D42" t="inlineStr">
        <is>
          <t>DALARNAS LÄN</t>
        </is>
      </c>
      <c r="E42" t="inlineStr">
        <is>
          <t>BORLÄNGE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HYPERLINK("https://klasma.github.io/Logging_2081/artfynd/A 49776-2021 artfynd.xlsx", "A 49776-2021")</f>
        <v/>
      </c>
      <c r="T42">
        <f>HYPERLINK("https://klasma.github.io/Logging_2081/kartor/A 49776-2021 karta.png", "A 49776-2021")</f>
        <v/>
      </c>
      <c r="V42">
        <f>HYPERLINK("https://klasma.github.io/Logging_2081/klagomål/A 49776-2021 FSC-klagomål.docx", "A 49776-2021")</f>
        <v/>
      </c>
      <c r="W42">
        <f>HYPERLINK("https://klasma.github.io/Logging_2081/klagomålsmail/A 49776-2021 FSC-klagomål mail.docx", "A 49776-2021")</f>
        <v/>
      </c>
      <c r="X42">
        <f>HYPERLINK("https://klasma.github.io/Logging_2081/tillsyn/A 49776-2021 tillsynsbegäran.docx", "A 49776-2021")</f>
        <v/>
      </c>
      <c r="Y42">
        <f>HYPERLINK("https://klasma.github.io/Logging_2081/tillsynsmail/A 49776-2021 tillsynsbegäran mail.docx", "A 49776-2021")</f>
        <v/>
      </c>
    </row>
    <row r="43" ht="15" customHeight="1">
      <c r="A43" t="inlineStr">
        <is>
          <t>A 53580-2021</t>
        </is>
      </c>
      <c r="B43" s="1" t="n">
        <v>44469</v>
      </c>
      <c r="C43" s="1" t="n">
        <v>45356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HYPERLINK("https://klasma.github.io/Logging_2081/artfynd/A 53580-2021 artfynd.xlsx", "A 53580-2021")</f>
        <v/>
      </c>
      <c r="T43">
        <f>HYPERLINK("https://klasma.github.io/Logging_2081/kartor/A 53580-2021 karta.png", "A 53580-2021")</f>
        <v/>
      </c>
      <c r="V43">
        <f>HYPERLINK("https://klasma.github.io/Logging_2081/klagomål/A 53580-2021 FSC-klagomål.docx", "A 53580-2021")</f>
        <v/>
      </c>
      <c r="W43">
        <f>HYPERLINK("https://klasma.github.io/Logging_2081/klagomålsmail/A 53580-2021 FSC-klagomål mail.docx", "A 53580-2021")</f>
        <v/>
      </c>
      <c r="X43">
        <f>HYPERLINK("https://klasma.github.io/Logging_2081/tillsyn/A 53580-2021 tillsynsbegäran.docx", "A 53580-2021")</f>
        <v/>
      </c>
      <c r="Y43">
        <f>HYPERLINK("https://klasma.github.io/Logging_2081/tillsynsmail/A 53580-2021 tillsynsbegäran mail.docx", "A 53580-2021")</f>
        <v/>
      </c>
    </row>
    <row r="44" ht="15" customHeight="1">
      <c r="A44" t="inlineStr">
        <is>
          <t>A 54045-2021</t>
        </is>
      </c>
      <c r="B44" s="1" t="n">
        <v>44470</v>
      </c>
      <c r="C44" s="1" t="n">
        <v>45356</v>
      </c>
      <c r="D44" t="inlineStr">
        <is>
          <t>DALARNAS LÄN</t>
        </is>
      </c>
      <c r="E44" t="inlineStr">
        <is>
          <t>BORLÄNGE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HYPERLINK("https://klasma.github.io/Logging_2081/artfynd/A 54045-2021 artfynd.xlsx", "A 54045-2021")</f>
        <v/>
      </c>
      <c r="T44">
        <f>HYPERLINK("https://klasma.github.io/Logging_2081/kartor/A 54045-2021 karta.png", "A 54045-2021")</f>
        <v/>
      </c>
      <c r="V44">
        <f>HYPERLINK("https://klasma.github.io/Logging_2081/klagomål/A 54045-2021 FSC-klagomål.docx", "A 54045-2021")</f>
        <v/>
      </c>
      <c r="W44">
        <f>HYPERLINK("https://klasma.github.io/Logging_2081/klagomålsmail/A 54045-2021 FSC-klagomål mail.docx", "A 54045-2021")</f>
        <v/>
      </c>
      <c r="X44">
        <f>HYPERLINK("https://klasma.github.io/Logging_2081/tillsyn/A 54045-2021 tillsynsbegäran.docx", "A 54045-2021")</f>
        <v/>
      </c>
      <c r="Y44">
        <f>HYPERLINK("https://klasma.github.io/Logging_2081/tillsynsmail/A 54045-2021 tillsynsbegäran mail.docx", "A 54045-2021")</f>
        <v/>
      </c>
    </row>
    <row r="45" ht="15" customHeight="1">
      <c r="A45" t="inlineStr">
        <is>
          <t>A 54699-2021</t>
        </is>
      </c>
      <c r="B45" s="1" t="n">
        <v>44473</v>
      </c>
      <c r="C45" s="1" t="n">
        <v>45356</v>
      </c>
      <c r="D45" t="inlineStr">
        <is>
          <t>DALARNAS LÄN</t>
        </is>
      </c>
      <c r="E45" t="inlineStr">
        <is>
          <t>BORLÄNGE</t>
        </is>
      </c>
      <c r="F45" t="inlineStr">
        <is>
          <t>Naturvårdsverket</t>
        </is>
      </c>
      <c r="G45" t="n">
        <v>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HYPERLINK("https://klasma.github.io/Logging_2081/artfynd/A 54699-2021 artfynd.xlsx", "A 54699-2021")</f>
        <v/>
      </c>
      <c r="T45">
        <f>HYPERLINK("https://klasma.github.io/Logging_2081/kartor/A 54699-2021 karta.png", "A 54699-2021")</f>
        <v/>
      </c>
      <c r="U45">
        <f>HYPERLINK("https://klasma.github.io/Logging_2081/knärot/A 54699-2021 karta knärot.png", "A 54699-2021")</f>
        <v/>
      </c>
      <c r="V45">
        <f>HYPERLINK("https://klasma.github.io/Logging_2081/klagomål/A 54699-2021 FSC-klagomål.docx", "A 54699-2021")</f>
        <v/>
      </c>
      <c r="W45">
        <f>HYPERLINK("https://klasma.github.io/Logging_2081/klagomålsmail/A 54699-2021 FSC-klagomål mail.docx", "A 54699-2021")</f>
        <v/>
      </c>
      <c r="X45">
        <f>HYPERLINK("https://klasma.github.io/Logging_2081/tillsyn/A 54699-2021 tillsynsbegäran.docx", "A 54699-2021")</f>
        <v/>
      </c>
      <c r="Y45">
        <f>HYPERLINK("https://klasma.github.io/Logging_2081/tillsynsmail/A 54699-2021 tillsynsbegäran mail.docx", "A 54699-2021")</f>
        <v/>
      </c>
    </row>
    <row r="46" ht="15" customHeight="1">
      <c r="A46" t="inlineStr">
        <is>
          <t>A 6972-2022</t>
        </is>
      </c>
      <c r="B46" s="1" t="n">
        <v>44603</v>
      </c>
      <c r="C46" s="1" t="n">
        <v>45356</v>
      </c>
      <c r="D46" t="inlineStr">
        <is>
          <t>DALARNAS LÄN</t>
        </is>
      </c>
      <c r="E46" t="inlineStr">
        <is>
          <t>BORLÄNGE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Leptoporus mollis</t>
        </is>
      </c>
      <c r="S46">
        <f>HYPERLINK("https://klasma.github.io/Logging_2081/artfynd/A 6972-2022 artfynd.xlsx", "A 6972-2022")</f>
        <v/>
      </c>
      <c r="T46">
        <f>HYPERLINK("https://klasma.github.io/Logging_2081/kartor/A 6972-2022 karta.png", "A 6972-2022")</f>
        <v/>
      </c>
      <c r="V46">
        <f>HYPERLINK("https://klasma.github.io/Logging_2081/klagomål/A 6972-2022 FSC-klagomål.docx", "A 6972-2022")</f>
        <v/>
      </c>
      <c r="W46">
        <f>HYPERLINK("https://klasma.github.io/Logging_2081/klagomålsmail/A 6972-2022 FSC-klagomål mail.docx", "A 6972-2022")</f>
        <v/>
      </c>
      <c r="X46">
        <f>HYPERLINK("https://klasma.github.io/Logging_2081/tillsyn/A 6972-2022 tillsynsbegäran.docx", "A 6972-2022")</f>
        <v/>
      </c>
      <c r="Y46">
        <f>HYPERLINK("https://klasma.github.io/Logging_2081/tillsynsmail/A 6972-2022 tillsynsbegäran mail.docx", "A 6972-2022")</f>
        <v/>
      </c>
    </row>
    <row r="47" ht="15" customHeight="1">
      <c r="A47" t="inlineStr">
        <is>
          <t>A 13779-2022</t>
        </is>
      </c>
      <c r="B47" s="1" t="n">
        <v>44649</v>
      </c>
      <c r="C47" s="1" t="n">
        <v>45356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HYPERLINK("https://klasma.github.io/Logging_2081/artfynd/A 13779-2022 artfynd.xlsx", "A 13779-2022")</f>
        <v/>
      </c>
      <c r="T47">
        <f>HYPERLINK("https://klasma.github.io/Logging_2081/kartor/A 13779-2022 karta.png", "A 13779-2022")</f>
        <v/>
      </c>
      <c r="V47">
        <f>HYPERLINK("https://klasma.github.io/Logging_2081/klagomål/A 13779-2022 FSC-klagomål.docx", "A 13779-2022")</f>
        <v/>
      </c>
      <c r="W47">
        <f>HYPERLINK("https://klasma.github.io/Logging_2081/klagomålsmail/A 13779-2022 FSC-klagomål mail.docx", "A 13779-2022")</f>
        <v/>
      </c>
      <c r="X47">
        <f>HYPERLINK("https://klasma.github.io/Logging_2081/tillsyn/A 13779-2022 tillsynsbegäran.docx", "A 13779-2022")</f>
        <v/>
      </c>
      <c r="Y47">
        <f>HYPERLINK("https://klasma.github.io/Logging_2081/tillsynsmail/A 13779-2022 tillsynsbegäran mail.docx", "A 13779-2022")</f>
        <v/>
      </c>
      <c r="Z47">
        <f>HYPERLINK("https://klasma.github.io/Logging_2081/fåglar/A 13779-2022 prioriterade fågelarter.docx", "A 13779-2022")</f>
        <v/>
      </c>
    </row>
    <row r="48" ht="15" customHeight="1">
      <c r="A48" t="inlineStr">
        <is>
          <t>A 21302-2022</t>
        </is>
      </c>
      <c r="B48" s="1" t="n">
        <v>44705</v>
      </c>
      <c r="C48" s="1" t="n">
        <v>45356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HYPERLINK("https://klasma.github.io/Logging_2081/artfynd/A 21302-2022 artfynd.xlsx", "A 21302-2022")</f>
        <v/>
      </c>
      <c r="T48">
        <f>HYPERLINK("https://klasma.github.io/Logging_2081/kartor/A 21302-2022 karta.png", "A 21302-2022")</f>
        <v/>
      </c>
      <c r="V48">
        <f>HYPERLINK("https://klasma.github.io/Logging_2081/klagomål/A 21302-2022 FSC-klagomål.docx", "A 21302-2022")</f>
        <v/>
      </c>
      <c r="W48">
        <f>HYPERLINK("https://klasma.github.io/Logging_2081/klagomålsmail/A 21302-2022 FSC-klagomål mail.docx", "A 21302-2022")</f>
        <v/>
      </c>
      <c r="X48">
        <f>HYPERLINK("https://klasma.github.io/Logging_2081/tillsyn/A 21302-2022 tillsynsbegäran.docx", "A 21302-2022")</f>
        <v/>
      </c>
      <c r="Y48">
        <f>HYPERLINK("https://klasma.github.io/Logging_2081/tillsynsmail/A 21302-2022 tillsynsbegäran mail.docx", "A 21302-2022")</f>
        <v/>
      </c>
    </row>
    <row r="49" ht="15" customHeight="1">
      <c r="A49" t="inlineStr">
        <is>
          <t>A 33694-2022</t>
        </is>
      </c>
      <c r="B49" s="1" t="n">
        <v>44789</v>
      </c>
      <c r="C49" s="1" t="n">
        <v>45356</v>
      </c>
      <c r="D49" t="inlineStr">
        <is>
          <t>DALARNAS LÄN</t>
        </is>
      </c>
      <c r="E49" t="inlineStr">
        <is>
          <t>BORLÄNGE</t>
        </is>
      </c>
      <c r="G49" t="n">
        <v>1.2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HYPERLINK("https://klasma.github.io/Logging_2081/artfynd/A 33694-2022 artfynd.xlsx", "A 33694-2022")</f>
        <v/>
      </c>
      <c r="T49">
        <f>HYPERLINK("https://klasma.github.io/Logging_2081/kartor/A 33694-2022 karta.png", "A 33694-2022")</f>
        <v/>
      </c>
      <c r="U49">
        <f>HYPERLINK("https://klasma.github.io/Logging_2081/knärot/A 33694-2022 karta knärot.png", "A 33694-2022")</f>
        <v/>
      </c>
      <c r="V49">
        <f>HYPERLINK("https://klasma.github.io/Logging_2081/klagomål/A 33694-2022 FSC-klagomål.docx", "A 33694-2022")</f>
        <v/>
      </c>
      <c r="W49">
        <f>HYPERLINK("https://klasma.github.io/Logging_2081/klagomålsmail/A 33694-2022 FSC-klagomål mail.docx", "A 33694-2022")</f>
        <v/>
      </c>
      <c r="X49">
        <f>HYPERLINK("https://klasma.github.io/Logging_2081/tillsyn/A 33694-2022 tillsynsbegäran.docx", "A 33694-2022")</f>
        <v/>
      </c>
      <c r="Y49">
        <f>HYPERLINK("https://klasma.github.io/Logging_2081/tillsynsmail/A 33694-2022 tillsynsbegäran mail.docx", "A 33694-2022")</f>
        <v/>
      </c>
    </row>
    <row r="50" ht="15" customHeight="1">
      <c r="A50" t="inlineStr">
        <is>
          <t>A 35370-2022</t>
        </is>
      </c>
      <c r="B50" s="1" t="n">
        <v>44798</v>
      </c>
      <c r="C50" s="1" t="n">
        <v>45356</v>
      </c>
      <c r="D50" t="inlineStr">
        <is>
          <t>DALARNAS LÄN</t>
        </is>
      </c>
      <c r="E50" t="inlineStr">
        <is>
          <t>BORLÄNGE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HYPERLINK("https://klasma.github.io/Logging_2081/artfynd/A 35370-2022 artfynd.xlsx", "A 35370-2022")</f>
        <v/>
      </c>
      <c r="T50">
        <f>HYPERLINK("https://klasma.github.io/Logging_2081/kartor/A 35370-2022 karta.png", "A 35370-2022")</f>
        <v/>
      </c>
      <c r="V50">
        <f>HYPERLINK("https://klasma.github.io/Logging_2081/klagomål/A 35370-2022 FSC-klagomål.docx", "A 35370-2022")</f>
        <v/>
      </c>
      <c r="W50">
        <f>HYPERLINK("https://klasma.github.io/Logging_2081/klagomålsmail/A 35370-2022 FSC-klagomål mail.docx", "A 35370-2022")</f>
        <v/>
      </c>
      <c r="X50">
        <f>HYPERLINK("https://klasma.github.io/Logging_2081/tillsyn/A 35370-2022 tillsynsbegäran.docx", "A 35370-2022")</f>
        <v/>
      </c>
      <c r="Y50">
        <f>HYPERLINK("https://klasma.github.io/Logging_2081/tillsynsmail/A 35370-2022 tillsynsbegäran mail.docx", "A 35370-2022")</f>
        <v/>
      </c>
    </row>
    <row r="51" ht="15" customHeight="1">
      <c r="A51" t="inlineStr">
        <is>
          <t>A 35389-2022</t>
        </is>
      </c>
      <c r="B51" s="1" t="n">
        <v>44798</v>
      </c>
      <c r="C51" s="1" t="n">
        <v>45356</v>
      </c>
      <c r="D51" t="inlineStr">
        <is>
          <t>DALARNAS LÄN</t>
        </is>
      </c>
      <c r="E51" t="inlineStr">
        <is>
          <t>BORLÄNGE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HYPERLINK("https://klasma.github.io/Logging_2081/artfynd/A 35389-2022 artfynd.xlsx", "A 35389-2022")</f>
        <v/>
      </c>
      <c r="T51">
        <f>HYPERLINK("https://klasma.github.io/Logging_2081/kartor/A 35389-2022 karta.png", "A 35389-2022")</f>
        <v/>
      </c>
      <c r="V51">
        <f>HYPERLINK("https://klasma.github.io/Logging_2081/klagomål/A 35389-2022 FSC-klagomål.docx", "A 35389-2022")</f>
        <v/>
      </c>
      <c r="W51">
        <f>HYPERLINK("https://klasma.github.io/Logging_2081/klagomålsmail/A 35389-2022 FSC-klagomål mail.docx", "A 35389-2022")</f>
        <v/>
      </c>
      <c r="X51">
        <f>HYPERLINK("https://klasma.github.io/Logging_2081/tillsyn/A 35389-2022 tillsynsbegäran.docx", "A 35389-2022")</f>
        <v/>
      </c>
      <c r="Y51">
        <f>HYPERLINK("https://klasma.github.io/Logging_2081/tillsynsmail/A 35389-2022 tillsynsbegäran mail.docx", "A 35389-2022")</f>
        <v/>
      </c>
    </row>
    <row r="52" ht="15" customHeight="1">
      <c r="A52" t="inlineStr">
        <is>
          <t>A 57693-2022</t>
        </is>
      </c>
      <c r="B52" s="1" t="n">
        <v>44897</v>
      </c>
      <c r="C52" s="1" t="n">
        <v>45356</v>
      </c>
      <c r="D52" t="inlineStr">
        <is>
          <t>DALARNAS LÄN</t>
        </is>
      </c>
      <c r="E52" t="inlineStr">
        <is>
          <t>BORLÄNGE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Nästlav</t>
        </is>
      </c>
      <c r="S52">
        <f>HYPERLINK("https://klasma.github.io/Logging_2081/artfynd/A 57693-2022 artfynd.xlsx", "A 57693-2022")</f>
        <v/>
      </c>
      <c r="T52">
        <f>HYPERLINK("https://klasma.github.io/Logging_2081/kartor/A 57693-2022 karta.png", "A 57693-2022")</f>
        <v/>
      </c>
      <c r="V52">
        <f>HYPERLINK("https://klasma.github.io/Logging_2081/klagomål/A 57693-2022 FSC-klagomål.docx", "A 57693-2022")</f>
        <v/>
      </c>
      <c r="W52">
        <f>HYPERLINK("https://klasma.github.io/Logging_2081/klagomålsmail/A 57693-2022 FSC-klagomål mail.docx", "A 57693-2022")</f>
        <v/>
      </c>
      <c r="X52">
        <f>HYPERLINK("https://klasma.github.io/Logging_2081/tillsyn/A 57693-2022 tillsynsbegäran.docx", "A 57693-2022")</f>
        <v/>
      </c>
      <c r="Y52">
        <f>HYPERLINK("https://klasma.github.io/Logging_2081/tillsynsmail/A 57693-2022 tillsynsbegäran mail.docx", "A 57693-2022")</f>
        <v/>
      </c>
    </row>
    <row r="53" ht="15" customHeight="1">
      <c r="A53" t="inlineStr">
        <is>
          <t>A 865-2023</t>
        </is>
      </c>
      <c r="B53" s="1" t="n">
        <v>44931</v>
      </c>
      <c r="C53" s="1" t="n">
        <v>45356</v>
      </c>
      <c r="D53" t="inlineStr">
        <is>
          <t>DALARNAS LÄN</t>
        </is>
      </c>
      <c r="E53" t="inlineStr">
        <is>
          <t>BORLÄNGE</t>
        </is>
      </c>
      <c r="G53" t="n">
        <v>3.1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HYPERLINK("https://klasma.github.io/Logging_2081/artfynd/A 865-2023 artfynd.xlsx", "A 865-2023")</f>
        <v/>
      </c>
      <c r="T53">
        <f>HYPERLINK("https://klasma.github.io/Logging_2081/kartor/A 865-2023 karta.png", "A 865-2023")</f>
        <v/>
      </c>
      <c r="U53">
        <f>HYPERLINK("https://klasma.github.io/Logging_2081/knärot/A 865-2023 karta knärot.png", "A 865-2023")</f>
        <v/>
      </c>
      <c r="V53">
        <f>HYPERLINK("https://klasma.github.io/Logging_2081/klagomål/A 865-2023 FSC-klagomål.docx", "A 865-2023")</f>
        <v/>
      </c>
      <c r="W53">
        <f>HYPERLINK("https://klasma.github.io/Logging_2081/klagomålsmail/A 865-2023 FSC-klagomål mail.docx", "A 865-2023")</f>
        <v/>
      </c>
      <c r="X53">
        <f>HYPERLINK("https://klasma.github.io/Logging_2081/tillsyn/A 865-2023 tillsynsbegäran.docx", "A 865-2023")</f>
        <v/>
      </c>
      <c r="Y53">
        <f>HYPERLINK("https://klasma.github.io/Logging_2081/tillsynsmail/A 865-2023 tillsynsbegäran mail.docx", "A 865-2023")</f>
        <v/>
      </c>
    </row>
    <row r="54" ht="15" customHeight="1">
      <c r="A54" t="inlineStr">
        <is>
          <t>A 15196-2023</t>
        </is>
      </c>
      <c r="B54" s="1" t="n">
        <v>45016</v>
      </c>
      <c r="C54" s="1" t="n">
        <v>45356</v>
      </c>
      <c r="D54" t="inlineStr">
        <is>
          <t>DALARNAS LÄN</t>
        </is>
      </c>
      <c r="E54" t="inlineStr">
        <is>
          <t>BORLÄNGE</t>
        </is>
      </c>
      <c r="G54" t="n">
        <v>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HYPERLINK("https://klasma.github.io/Logging_2081/artfynd/A 15196-2023 artfynd.xlsx", "A 15196-2023")</f>
        <v/>
      </c>
      <c r="T54">
        <f>HYPERLINK("https://klasma.github.io/Logging_2081/kartor/A 15196-2023 karta.png", "A 15196-2023")</f>
        <v/>
      </c>
      <c r="V54">
        <f>HYPERLINK("https://klasma.github.io/Logging_2081/klagomål/A 15196-2023 FSC-klagomål.docx", "A 15196-2023")</f>
        <v/>
      </c>
      <c r="W54">
        <f>HYPERLINK("https://klasma.github.io/Logging_2081/klagomålsmail/A 15196-2023 FSC-klagomål mail.docx", "A 15196-2023")</f>
        <v/>
      </c>
      <c r="X54">
        <f>HYPERLINK("https://klasma.github.io/Logging_2081/tillsyn/A 15196-2023 tillsynsbegäran.docx", "A 15196-2023")</f>
        <v/>
      </c>
      <c r="Y54">
        <f>HYPERLINK("https://klasma.github.io/Logging_2081/tillsynsmail/A 15196-2023 tillsynsbegäran mail.docx", "A 15196-2023")</f>
        <v/>
      </c>
    </row>
    <row r="55" ht="15" customHeight="1">
      <c r="A55" t="inlineStr">
        <is>
          <t>A 17576-2023</t>
        </is>
      </c>
      <c r="B55" s="1" t="n">
        <v>45036</v>
      </c>
      <c r="C55" s="1" t="n">
        <v>45356</v>
      </c>
      <c r="D55" t="inlineStr">
        <is>
          <t>DALARNAS LÄN</t>
        </is>
      </c>
      <c r="E55" t="inlineStr">
        <is>
          <t>BORLÄNGE</t>
        </is>
      </c>
      <c r="G55" t="n">
        <v>12.6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HYPERLINK("https://klasma.github.io/Logging_2081/artfynd/A 17576-2023 artfynd.xlsx", "A 17576-2023")</f>
        <v/>
      </c>
      <c r="T55">
        <f>HYPERLINK("https://klasma.github.io/Logging_2081/kartor/A 17576-2023 karta.png", "A 17576-2023")</f>
        <v/>
      </c>
      <c r="V55">
        <f>HYPERLINK("https://klasma.github.io/Logging_2081/klagomål/A 17576-2023 FSC-klagomål.docx", "A 17576-2023")</f>
        <v/>
      </c>
      <c r="W55">
        <f>HYPERLINK("https://klasma.github.io/Logging_2081/klagomålsmail/A 17576-2023 FSC-klagomål mail.docx", "A 17576-2023")</f>
        <v/>
      </c>
      <c r="X55">
        <f>HYPERLINK("https://klasma.github.io/Logging_2081/tillsyn/A 17576-2023 tillsynsbegäran.docx", "A 17576-2023")</f>
        <v/>
      </c>
      <c r="Y55">
        <f>HYPERLINK("https://klasma.github.io/Logging_2081/tillsynsmail/A 17576-2023 tillsynsbegäran mail.docx", "A 17576-2023")</f>
        <v/>
      </c>
      <c r="Z55">
        <f>HYPERLINK("https://klasma.github.io/Logging_2081/fåglar/A 17576-2023 prioriterade fågelarter.docx", "A 17576-2023")</f>
        <v/>
      </c>
    </row>
    <row r="56" ht="15" customHeight="1">
      <c r="A56" t="inlineStr">
        <is>
          <t>A 17571-2023</t>
        </is>
      </c>
      <c r="B56" s="1" t="n">
        <v>45036</v>
      </c>
      <c r="C56" s="1" t="n">
        <v>45356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HYPERLINK("https://klasma.github.io/Logging_2081/artfynd/A 17571-2023 artfynd.xlsx", "A 17571-2023")</f>
        <v/>
      </c>
      <c r="T56">
        <f>HYPERLINK("https://klasma.github.io/Logging_2081/kartor/A 17571-2023 karta.png", "A 17571-2023")</f>
        <v/>
      </c>
      <c r="V56">
        <f>HYPERLINK("https://klasma.github.io/Logging_2081/klagomål/A 17571-2023 FSC-klagomål.docx", "A 17571-2023")</f>
        <v/>
      </c>
      <c r="W56">
        <f>HYPERLINK("https://klasma.github.io/Logging_2081/klagomålsmail/A 17571-2023 FSC-klagomål mail.docx", "A 17571-2023")</f>
        <v/>
      </c>
      <c r="X56">
        <f>HYPERLINK("https://klasma.github.io/Logging_2081/tillsyn/A 17571-2023 tillsynsbegäran.docx", "A 17571-2023")</f>
        <v/>
      </c>
      <c r="Y56">
        <f>HYPERLINK("https://klasma.github.io/Logging_2081/tillsynsmail/A 17571-2023 tillsynsbegäran mail.docx", "A 17571-2023")</f>
        <v/>
      </c>
      <c r="Z56">
        <f>HYPERLINK("https://klasma.github.io/Logging_2081/fåglar/A 17571-2023 prioriterade fågelarter.docx", "A 17571-2023")</f>
        <v/>
      </c>
    </row>
    <row r="57" ht="15" customHeight="1">
      <c r="A57" t="inlineStr">
        <is>
          <t>A 17913-2023</t>
        </is>
      </c>
      <c r="B57" s="1" t="n">
        <v>45040</v>
      </c>
      <c r="C57" s="1" t="n">
        <v>45356</v>
      </c>
      <c r="D57" t="inlineStr">
        <is>
          <t>DALARNAS LÄN</t>
        </is>
      </c>
      <c r="E57" t="inlineStr">
        <is>
          <t>BORLÄNGE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HYPERLINK("https://klasma.github.io/Logging_2081/artfynd/A 17913-2023 artfynd.xlsx", "A 17913-2023")</f>
        <v/>
      </c>
      <c r="T57">
        <f>HYPERLINK("https://klasma.github.io/Logging_2081/kartor/A 17913-2023 karta.png", "A 17913-2023")</f>
        <v/>
      </c>
      <c r="V57">
        <f>HYPERLINK("https://klasma.github.io/Logging_2081/klagomål/A 17913-2023 FSC-klagomål.docx", "A 17913-2023")</f>
        <v/>
      </c>
      <c r="W57">
        <f>HYPERLINK("https://klasma.github.io/Logging_2081/klagomålsmail/A 17913-2023 FSC-klagomål mail.docx", "A 17913-2023")</f>
        <v/>
      </c>
      <c r="X57">
        <f>HYPERLINK("https://klasma.github.io/Logging_2081/tillsyn/A 17913-2023 tillsynsbegäran.docx", "A 17913-2023")</f>
        <v/>
      </c>
      <c r="Y57">
        <f>HYPERLINK("https://klasma.github.io/Logging_2081/tillsynsmail/A 17913-2023 tillsynsbegäran mail.docx", "A 17913-2023")</f>
        <v/>
      </c>
    </row>
    <row r="58" ht="15" customHeight="1">
      <c r="A58" t="inlineStr">
        <is>
          <t>A 20925-2023</t>
        </is>
      </c>
      <c r="B58" s="1" t="n">
        <v>45061</v>
      </c>
      <c r="C58" s="1" t="n">
        <v>45356</v>
      </c>
      <c r="D58" t="inlineStr">
        <is>
          <t>DALARNAS LÄN</t>
        </is>
      </c>
      <c r="E58" t="inlineStr">
        <is>
          <t>BORLÄNGE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20925-2023 artfynd.xlsx", "A 20925-2023")</f>
        <v/>
      </c>
      <c r="T58">
        <f>HYPERLINK("https://klasma.github.io/Logging_2081/kartor/A 20925-2023 karta.png", "A 20925-2023")</f>
        <v/>
      </c>
      <c r="U58">
        <f>HYPERLINK("https://klasma.github.io/Logging_2081/knärot/A 20925-2023 karta knärot.png", "A 20925-2023")</f>
        <v/>
      </c>
      <c r="V58">
        <f>HYPERLINK("https://klasma.github.io/Logging_2081/klagomål/A 20925-2023 FSC-klagomål.docx", "A 20925-2023")</f>
        <v/>
      </c>
      <c r="W58">
        <f>HYPERLINK("https://klasma.github.io/Logging_2081/klagomålsmail/A 20925-2023 FSC-klagomål mail.docx", "A 20925-2023")</f>
        <v/>
      </c>
      <c r="X58">
        <f>HYPERLINK("https://klasma.github.io/Logging_2081/tillsyn/A 20925-2023 tillsynsbegäran.docx", "A 20925-2023")</f>
        <v/>
      </c>
      <c r="Y58">
        <f>HYPERLINK("https://klasma.github.io/Logging_2081/tillsynsmail/A 20925-2023 tillsynsbegäran mail.docx", "A 20925-2023")</f>
        <v/>
      </c>
    </row>
    <row r="59" ht="15" customHeight="1">
      <c r="A59" t="inlineStr">
        <is>
          <t>A 21131-2023</t>
        </is>
      </c>
      <c r="B59" s="1" t="n">
        <v>45062</v>
      </c>
      <c r="C59" s="1" t="n">
        <v>45356</v>
      </c>
      <c r="D59" t="inlineStr">
        <is>
          <t>DALARNAS LÄN</t>
        </is>
      </c>
      <c r="E59" t="inlineStr">
        <is>
          <t>BORLÄNGE</t>
        </is>
      </c>
      <c r="G59" t="n">
        <v>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21131-2023 artfynd.xlsx", "A 21131-2023")</f>
        <v/>
      </c>
      <c r="T59">
        <f>HYPERLINK("https://klasma.github.io/Logging_2081/kartor/A 21131-2023 karta.png", "A 21131-2023")</f>
        <v/>
      </c>
      <c r="V59">
        <f>HYPERLINK("https://klasma.github.io/Logging_2081/klagomål/A 21131-2023 FSC-klagomål.docx", "A 21131-2023")</f>
        <v/>
      </c>
      <c r="W59">
        <f>HYPERLINK("https://klasma.github.io/Logging_2081/klagomålsmail/A 21131-2023 FSC-klagomål mail.docx", "A 21131-2023")</f>
        <v/>
      </c>
      <c r="X59">
        <f>HYPERLINK("https://klasma.github.io/Logging_2081/tillsyn/A 21131-2023 tillsynsbegäran.docx", "A 21131-2023")</f>
        <v/>
      </c>
      <c r="Y59">
        <f>HYPERLINK("https://klasma.github.io/Logging_2081/tillsynsmail/A 21131-2023 tillsynsbegäran mail.docx", "A 21131-2023")</f>
        <v/>
      </c>
    </row>
    <row r="60" ht="15" customHeight="1">
      <c r="A60" t="inlineStr">
        <is>
          <t>A 22900-2023</t>
        </is>
      </c>
      <c r="B60" s="1" t="n">
        <v>45072</v>
      </c>
      <c r="C60" s="1" t="n">
        <v>45356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22900-2023 artfynd.xlsx", "A 22900-2023")</f>
        <v/>
      </c>
      <c r="T60">
        <f>HYPERLINK("https://klasma.github.io/Logging_2081/kartor/A 22900-2023 karta.png", "A 22900-2023")</f>
        <v/>
      </c>
      <c r="V60">
        <f>HYPERLINK("https://klasma.github.io/Logging_2081/klagomål/A 22900-2023 FSC-klagomål.docx", "A 22900-2023")</f>
        <v/>
      </c>
      <c r="W60">
        <f>HYPERLINK("https://klasma.github.io/Logging_2081/klagomålsmail/A 22900-2023 FSC-klagomål mail.docx", "A 22900-2023")</f>
        <v/>
      </c>
      <c r="X60">
        <f>HYPERLINK("https://klasma.github.io/Logging_2081/tillsyn/A 22900-2023 tillsynsbegäran.docx", "A 22900-2023")</f>
        <v/>
      </c>
      <c r="Y60">
        <f>HYPERLINK("https://klasma.github.io/Logging_2081/tillsynsmail/A 22900-2023 tillsynsbegäran mail.docx", "A 22900-2023")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45356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45356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45356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45356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1751-2024</t>
        </is>
      </c>
      <c r="B65" s="1" t="n">
        <v>45307</v>
      </c>
      <c r="C65" s="1" t="n">
        <v>45356</v>
      </c>
      <c r="D65" t="inlineStr">
        <is>
          <t>DALARNAS LÄN</t>
        </is>
      </c>
      <c r="E65" t="inlineStr">
        <is>
          <t>BORLÄNGE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HYPERLINK("https://klasma.github.io/Logging_2081/artfynd/A 1751-2024 artfynd.xlsx", "A 1751-2024")</f>
        <v/>
      </c>
      <c r="T65">
        <f>HYPERLINK("https://klasma.github.io/Logging_2081/kartor/A 1751-2024 karta.png", "A 1751-2024")</f>
        <v/>
      </c>
      <c r="V65">
        <f>HYPERLINK("https://klasma.github.io/Logging_2081/klagomål/A 1751-2024 FSC-klagomål.docx", "A 1751-2024")</f>
        <v/>
      </c>
      <c r="W65">
        <f>HYPERLINK("https://klasma.github.io/Logging_2081/klagomålsmail/A 1751-2024 FSC-klagomål mail.docx", "A 1751-2024")</f>
        <v/>
      </c>
      <c r="X65">
        <f>HYPERLINK("https://klasma.github.io/Logging_2081/tillsyn/A 1751-2024 tillsynsbegäran.docx", "A 1751-2024")</f>
        <v/>
      </c>
      <c r="Y65">
        <f>HYPERLINK("https://klasma.github.io/Logging_2081/tillsynsmail/A 1751-2024 tillsynsbegäran mail.docx", "A 1751-2024")</f>
        <v/>
      </c>
    </row>
    <row r="66" ht="15" customHeight="1">
      <c r="A66" t="inlineStr">
        <is>
          <t>A 6823-2024</t>
        </is>
      </c>
      <c r="B66" s="1" t="n">
        <v>45342</v>
      </c>
      <c r="C66" s="1" t="n">
        <v>45356</v>
      </c>
      <c r="D66" t="inlineStr">
        <is>
          <t>DALARNAS LÄN</t>
        </is>
      </c>
      <c r="E66" t="inlineStr">
        <is>
          <t>BORLÄNGE</t>
        </is>
      </c>
      <c r="G66" t="n">
        <v>10.3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6823-2024 artfynd.xlsx", "A 6823-2024")</f>
        <v/>
      </c>
      <c r="T66">
        <f>HYPERLINK("https://klasma.github.io/Logging_2081/kartor/A 6823-2024 karta.png", "A 6823-2024")</f>
        <v/>
      </c>
      <c r="V66">
        <f>HYPERLINK("https://klasma.github.io/Logging_2081/klagomål/A 6823-2024 FSC-klagomål.docx", "A 6823-2024")</f>
        <v/>
      </c>
      <c r="W66">
        <f>HYPERLINK("https://klasma.github.io/Logging_2081/klagomålsmail/A 6823-2024 FSC-klagomål mail.docx", "A 6823-2024")</f>
        <v/>
      </c>
      <c r="X66">
        <f>HYPERLINK("https://klasma.github.io/Logging_2081/tillsyn/A 6823-2024 tillsynsbegäran.docx", "A 6823-2024")</f>
        <v/>
      </c>
      <c r="Y66">
        <f>HYPERLINK("https://klasma.github.io/Logging_2081/tillsynsmail/A 6823-2024 tillsynsbegäran mail.docx", "A 6823-2024")</f>
        <v/>
      </c>
    </row>
    <row r="67" ht="15" customHeight="1">
      <c r="A67" t="inlineStr">
        <is>
          <t>A 65139-2018</t>
        </is>
      </c>
      <c r="B67" s="1" t="n">
        <v>43432</v>
      </c>
      <c r="C67" s="1" t="n">
        <v>45356</v>
      </c>
      <c r="D67" t="inlineStr">
        <is>
          <t>DALARNAS LÄN</t>
        </is>
      </c>
      <c r="E67" t="inlineStr">
        <is>
          <t>BORLÄNGE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69942-2018</t>
        </is>
      </c>
      <c r="B68" s="1" t="n">
        <v>43447</v>
      </c>
      <c r="C68" s="1" t="n">
        <v>45356</v>
      </c>
      <c r="D68" t="inlineStr">
        <is>
          <t>DALARNAS LÄN</t>
        </is>
      </c>
      <c r="E68" t="inlineStr">
        <is>
          <t>BORLÄNGE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70110-2018</t>
        </is>
      </c>
      <c r="B69" s="1" t="n">
        <v>43448</v>
      </c>
      <c r="C69" s="1" t="n">
        <v>45356</v>
      </c>
      <c r="D69" t="inlineStr">
        <is>
          <t>DALARNAS LÄN</t>
        </is>
      </c>
      <c r="E69" t="inlineStr">
        <is>
          <t>BORLÄNGE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71069-2018</t>
        </is>
      </c>
      <c r="B70" s="1" t="n">
        <v>43452</v>
      </c>
      <c r="C70" s="1" t="n">
        <v>45356</v>
      </c>
      <c r="D70" t="inlineStr">
        <is>
          <t>DALARNAS LÄN</t>
        </is>
      </c>
      <c r="E70" t="inlineStr">
        <is>
          <t>BORLÄNGE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71411-2018</t>
        </is>
      </c>
      <c r="B71" s="1" t="n">
        <v>43453</v>
      </c>
      <c r="C71" s="1" t="n">
        <v>45356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71969-2018</t>
        </is>
      </c>
      <c r="B72" s="1" t="n">
        <v>43455</v>
      </c>
      <c r="C72" s="1" t="n">
        <v>45356</v>
      </c>
      <c r="D72" t="inlineStr">
        <is>
          <t>DALARNAS LÄN</t>
        </is>
      </c>
      <c r="E72" t="inlineStr">
        <is>
          <t>BORLÄNGE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72393-2018</t>
        </is>
      </c>
      <c r="B73" s="1" t="n">
        <v>43461</v>
      </c>
      <c r="C73" s="1" t="n">
        <v>45356</v>
      </c>
      <c r="D73" t="inlineStr">
        <is>
          <t>DALARNAS LÄN</t>
        </is>
      </c>
      <c r="E73" t="inlineStr">
        <is>
          <t>BORLÄNGE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1374-2019</t>
        </is>
      </c>
      <c r="B74" s="1" t="n">
        <v>43473</v>
      </c>
      <c r="C74" s="1" t="n">
        <v>45356</v>
      </c>
      <c r="D74" t="inlineStr">
        <is>
          <t>DALARNAS LÄN</t>
        </is>
      </c>
      <c r="E74" t="inlineStr">
        <is>
          <t>BORLÄNGE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1382-2019</t>
        </is>
      </c>
      <c r="B75" s="1" t="n">
        <v>43473</v>
      </c>
      <c r="C75" s="1" t="n">
        <v>45356</v>
      </c>
      <c r="D75" t="inlineStr">
        <is>
          <t>DALARNAS LÄN</t>
        </is>
      </c>
      <c r="E75" t="inlineStr">
        <is>
          <t>BORLÄNGE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6261-2019</t>
        </is>
      </c>
      <c r="B76" s="1" t="n">
        <v>43486</v>
      </c>
      <c r="C76" s="1" t="n">
        <v>45356</v>
      </c>
      <c r="D76" t="inlineStr">
        <is>
          <t>DALARNAS LÄN</t>
        </is>
      </c>
      <c r="E76" t="inlineStr">
        <is>
          <t>BORLÄNGE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9264-2019</t>
        </is>
      </c>
      <c r="B77" s="1" t="n">
        <v>43507</v>
      </c>
      <c r="C77" s="1" t="n">
        <v>45356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16087-2019</t>
        </is>
      </c>
      <c r="B78" s="1" t="n">
        <v>43544</v>
      </c>
      <c r="C78" s="1" t="n">
        <v>45356</v>
      </c>
      <c r="D78" t="inlineStr">
        <is>
          <t>DALARNAS LÄN</t>
        </is>
      </c>
      <c r="E78" t="inlineStr">
        <is>
          <t>BORLÄNGE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16081-2019</t>
        </is>
      </c>
      <c r="B79" s="1" t="n">
        <v>43544</v>
      </c>
      <c r="C79" s="1" t="n">
        <v>45356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16089-2019</t>
        </is>
      </c>
      <c r="B80" s="1" t="n">
        <v>43544</v>
      </c>
      <c r="C80" s="1" t="n">
        <v>45356</v>
      </c>
      <c r="D80" t="inlineStr">
        <is>
          <t>DALARNAS LÄN</t>
        </is>
      </c>
      <c r="E80" t="inlineStr">
        <is>
          <t>BORLÄNGE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16954-2019</t>
        </is>
      </c>
      <c r="B81" s="1" t="n">
        <v>43550</v>
      </c>
      <c r="C81" s="1" t="n">
        <v>45356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17996-2019</t>
        </is>
      </c>
      <c r="B82" s="1" t="n">
        <v>43556</v>
      </c>
      <c r="C82" s="1" t="n">
        <v>45356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21707-2019</t>
        </is>
      </c>
      <c r="B83" s="1" t="n">
        <v>43581</v>
      </c>
      <c r="C83" s="1" t="n">
        <v>45356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24586-2019</t>
        </is>
      </c>
      <c r="B84" s="1" t="n">
        <v>43601</v>
      </c>
      <c r="C84" s="1" t="n">
        <v>45356</v>
      </c>
      <c r="D84" t="inlineStr">
        <is>
          <t>DALARNAS LÄN</t>
        </is>
      </c>
      <c r="E84" t="inlineStr">
        <is>
          <t>BORLÄNGE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25421-2019</t>
        </is>
      </c>
      <c r="B85" s="1" t="n">
        <v>43606</v>
      </c>
      <c r="C85" s="1" t="n">
        <v>45356</v>
      </c>
      <c r="D85" t="inlineStr">
        <is>
          <t>DALARNAS LÄN</t>
        </is>
      </c>
      <c r="E85" t="inlineStr">
        <is>
          <t>BORLÄNGE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26874-2019</t>
        </is>
      </c>
      <c r="B86" s="1" t="n">
        <v>43613</v>
      </c>
      <c r="C86" s="1" t="n">
        <v>45356</v>
      </c>
      <c r="D86" t="inlineStr">
        <is>
          <t>DALARNAS LÄN</t>
        </is>
      </c>
      <c r="E86" t="inlineStr">
        <is>
          <t>BORLÄNGE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27062-2019</t>
        </is>
      </c>
      <c r="B87" s="1" t="n">
        <v>43614</v>
      </c>
      <c r="C87" s="1" t="n">
        <v>45356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27009-2019</t>
        </is>
      </c>
      <c r="B88" s="1" t="n">
        <v>43614</v>
      </c>
      <c r="C88" s="1" t="n">
        <v>45356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27008-2019</t>
        </is>
      </c>
      <c r="B89" s="1" t="n">
        <v>43614</v>
      </c>
      <c r="C89" s="1" t="n">
        <v>45356</v>
      </c>
      <c r="D89" t="inlineStr">
        <is>
          <t>DALARNAS LÄN</t>
        </is>
      </c>
      <c r="E89" t="inlineStr">
        <is>
          <t>BORLÄNGE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29697-2019</t>
        </is>
      </c>
      <c r="B90" s="1" t="n">
        <v>43630</v>
      </c>
      <c r="C90" s="1" t="n">
        <v>45356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31833-2019</t>
        </is>
      </c>
      <c r="B91" s="1" t="n">
        <v>43642</v>
      </c>
      <c r="C91" s="1" t="n">
        <v>45356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32826-2019</t>
        </is>
      </c>
      <c r="B92" s="1" t="n">
        <v>43648</v>
      </c>
      <c r="C92" s="1" t="n">
        <v>45356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33003-2019</t>
        </is>
      </c>
      <c r="B93" s="1" t="n">
        <v>43649</v>
      </c>
      <c r="C93" s="1" t="n">
        <v>45356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34992-2019</t>
        </is>
      </c>
      <c r="B94" s="1" t="n">
        <v>43660</v>
      </c>
      <c r="C94" s="1" t="n">
        <v>45356</v>
      </c>
      <c r="D94" t="inlineStr">
        <is>
          <t>DALARNAS LÄN</t>
        </is>
      </c>
      <c r="E94" t="inlineStr">
        <is>
          <t>BORLÄNGE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42531-2019</t>
        </is>
      </c>
      <c r="B95" s="1" t="n">
        <v>43704</v>
      </c>
      <c r="C95" s="1" t="n">
        <v>45356</v>
      </c>
      <c r="D95" t="inlineStr">
        <is>
          <t>DALARNAS LÄN</t>
        </is>
      </c>
      <c r="E95" t="inlineStr">
        <is>
          <t>BORLÄNGE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42540-2019</t>
        </is>
      </c>
      <c r="B96" s="1" t="n">
        <v>43704</v>
      </c>
      <c r="C96" s="1" t="n">
        <v>45356</v>
      </c>
      <c r="D96" t="inlineStr">
        <is>
          <t>DALARNAS LÄN</t>
        </is>
      </c>
      <c r="E96" t="inlineStr">
        <is>
          <t>BORLÄNGE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43835-2019</t>
        </is>
      </c>
      <c r="B97" s="1" t="n">
        <v>43707</v>
      </c>
      <c r="C97" s="1" t="n">
        <v>45356</v>
      </c>
      <c r="D97" t="inlineStr">
        <is>
          <t>DALARNAS LÄN</t>
        </is>
      </c>
      <c r="E97" t="inlineStr">
        <is>
          <t>BORLÄNGE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51019-2019</t>
        </is>
      </c>
      <c r="B98" s="1" t="n">
        <v>43739</v>
      </c>
      <c r="C98" s="1" t="n">
        <v>45356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57297-2019</t>
        </is>
      </c>
      <c r="B99" s="1" t="n">
        <v>43767</v>
      </c>
      <c r="C99" s="1" t="n">
        <v>45356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57618-2019</t>
        </is>
      </c>
      <c r="B100" s="1" t="n">
        <v>43768</v>
      </c>
      <c r="C100" s="1" t="n">
        <v>45356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61107-2019</t>
        </is>
      </c>
      <c r="B101" s="1" t="n">
        <v>43782</v>
      </c>
      <c r="C101" s="1" t="n">
        <v>45356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61288-2019</t>
        </is>
      </c>
      <c r="B102" s="1" t="n">
        <v>43783</v>
      </c>
      <c r="C102" s="1" t="n">
        <v>45356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66563-2019</t>
        </is>
      </c>
      <c r="B103" s="1" t="n">
        <v>43803</v>
      </c>
      <c r="C103" s="1" t="n">
        <v>45356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66159-2019</t>
        </is>
      </c>
      <c r="B104" s="1" t="n">
        <v>43808</v>
      </c>
      <c r="C104" s="1" t="n">
        <v>45356</v>
      </c>
      <c r="D104" t="inlineStr">
        <is>
          <t>DALARNAS LÄN</t>
        </is>
      </c>
      <c r="E104" t="inlineStr">
        <is>
          <t>BORLÄNGE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67435-2019</t>
        </is>
      </c>
      <c r="B105" s="1" t="n">
        <v>43812</v>
      </c>
      <c r="C105" s="1" t="n">
        <v>45356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9309-2020</t>
        </is>
      </c>
      <c r="B106" s="1" t="n">
        <v>43880</v>
      </c>
      <c r="C106" s="1" t="n">
        <v>45356</v>
      </c>
      <c r="D106" t="inlineStr">
        <is>
          <t>DALARNAS LÄN</t>
        </is>
      </c>
      <c r="E106" t="inlineStr">
        <is>
          <t>BORLÄNGE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11590-2020</t>
        </is>
      </c>
      <c r="B107" s="1" t="n">
        <v>43893</v>
      </c>
      <c r="C107" s="1" t="n">
        <v>45356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13404-2020</t>
        </is>
      </c>
      <c r="B108" s="1" t="n">
        <v>43902</v>
      </c>
      <c r="C108" s="1" t="n">
        <v>45356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14736-2020</t>
        </is>
      </c>
      <c r="B109" s="1" t="n">
        <v>43909</v>
      </c>
      <c r="C109" s="1" t="n">
        <v>45356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15089-2020</t>
        </is>
      </c>
      <c r="B110" s="1" t="n">
        <v>43910</v>
      </c>
      <c r="C110" s="1" t="n">
        <v>45356</v>
      </c>
      <c r="D110" t="inlineStr">
        <is>
          <t>DALARNAS LÄN</t>
        </is>
      </c>
      <c r="E110" t="inlineStr">
        <is>
          <t>BORLÄNGE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16404-2020</t>
        </is>
      </c>
      <c r="B111" s="1" t="n">
        <v>43918</v>
      </c>
      <c r="C111" s="1" t="n">
        <v>45356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18108-2020</t>
        </is>
      </c>
      <c r="B112" s="1" t="n">
        <v>43927</v>
      </c>
      <c r="C112" s="1" t="n">
        <v>45356</v>
      </c>
      <c r="D112" t="inlineStr">
        <is>
          <t>DALARNAS LÄN</t>
        </is>
      </c>
      <c r="E112" t="inlineStr">
        <is>
          <t>BORLÄNGE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19446-2020</t>
        </is>
      </c>
      <c r="B113" s="1" t="n">
        <v>43938</v>
      </c>
      <c r="C113" s="1" t="n">
        <v>45356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19667-2020</t>
        </is>
      </c>
      <c r="B114" s="1" t="n">
        <v>43941</v>
      </c>
      <c r="C114" s="1" t="n">
        <v>45356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20501-2020</t>
        </is>
      </c>
      <c r="B115" s="1" t="n">
        <v>43948</v>
      </c>
      <c r="C115" s="1" t="n">
        <v>45356</v>
      </c>
      <c r="D115" t="inlineStr">
        <is>
          <t>DALARNAS LÄN</t>
        </is>
      </c>
      <c r="E115" t="inlineStr">
        <is>
          <t>BORLÄNGE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21684-2020</t>
        </is>
      </c>
      <c r="B116" s="1" t="n">
        <v>43957</v>
      </c>
      <c r="C116" s="1" t="n">
        <v>45356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23998-2020</t>
        </is>
      </c>
      <c r="B117" s="1" t="n">
        <v>43971</v>
      </c>
      <c r="C117" s="1" t="n">
        <v>45356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27064-2020</t>
        </is>
      </c>
      <c r="B118" s="1" t="n">
        <v>43991</v>
      </c>
      <c r="C118" s="1" t="n">
        <v>45356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39449-2020</t>
        </is>
      </c>
      <c r="B119" s="1" t="n">
        <v>44064</v>
      </c>
      <c r="C119" s="1" t="n">
        <v>45356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44111-2020</t>
        </is>
      </c>
      <c r="B120" s="1" t="n">
        <v>44083</v>
      </c>
      <c r="C120" s="1" t="n">
        <v>45356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44118-2020</t>
        </is>
      </c>
      <c r="B121" s="1" t="n">
        <v>44083</v>
      </c>
      <c r="C121" s="1" t="n">
        <v>45356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50164-2020</t>
        </is>
      </c>
      <c r="B122" s="1" t="n">
        <v>44104</v>
      </c>
      <c r="C122" s="1" t="n">
        <v>45356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49348-2020</t>
        </is>
      </c>
      <c r="B123" s="1" t="n">
        <v>44105</v>
      </c>
      <c r="C123" s="1" t="n">
        <v>45356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50459-2020</t>
        </is>
      </c>
      <c r="B124" s="1" t="n">
        <v>44110</v>
      </c>
      <c r="C124" s="1" t="n">
        <v>45356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50437-2020</t>
        </is>
      </c>
      <c r="B125" s="1" t="n">
        <v>44110</v>
      </c>
      <c r="C125" s="1" t="n">
        <v>45356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50496-2020</t>
        </is>
      </c>
      <c r="B126" s="1" t="n">
        <v>44110</v>
      </c>
      <c r="C126" s="1" t="n">
        <v>45356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50441-2020</t>
        </is>
      </c>
      <c r="B127" s="1" t="n">
        <v>44110</v>
      </c>
      <c r="C127" s="1" t="n">
        <v>45356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52515-2020</t>
        </is>
      </c>
      <c r="B128" s="1" t="n">
        <v>44118</v>
      </c>
      <c r="C128" s="1" t="n">
        <v>45356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52957-2020</t>
        </is>
      </c>
      <c r="B129" s="1" t="n">
        <v>44120</v>
      </c>
      <c r="C129" s="1" t="n">
        <v>45356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52943-2020</t>
        </is>
      </c>
      <c r="B130" s="1" t="n">
        <v>44120</v>
      </c>
      <c r="C130" s="1" t="n">
        <v>45356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55730-2020</t>
        </is>
      </c>
      <c r="B131" s="1" t="n">
        <v>44132</v>
      </c>
      <c r="C131" s="1" t="n">
        <v>45356</v>
      </c>
      <c r="D131" t="inlineStr">
        <is>
          <t>DALARNAS LÄN</t>
        </is>
      </c>
      <c r="E131" t="inlineStr">
        <is>
          <t>BORLÄNGE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58625-2020</t>
        </is>
      </c>
      <c r="B132" s="1" t="n">
        <v>44145</v>
      </c>
      <c r="C132" s="1" t="n">
        <v>45356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59228-2020</t>
        </is>
      </c>
      <c r="B133" s="1" t="n">
        <v>44147</v>
      </c>
      <c r="C133" s="1" t="n">
        <v>45356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60899-2020</t>
        </is>
      </c>
      <c r="B134" s="1" t="n">
        <v>44154</v>
      </c>
      <c r="C134" s="1" t="n">
        <v>45356</v>
      </c>
      <c r="D134" t="inlineStr">
        <is>
          <t>DALARNAS LÄN</t>
        </is>
      </c>
      <c r="E134" t="inlineStr">
        <is>
          <t>BORLÄNGE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64036-2020</t>
        </is>
      </c>
      <c r="B135" s="1" t="n">
        <v>44167</v>
      </c>
      <c r="C135" s="1" t="n">
        <v>45356</v>
      </c>
      <c r="D135" t="inlineStr">
        <is>
          <t>DALARNAS LÄN</t>
        </is>
      </c>
      <c r="E135" t="inlineStr">
        <is>
          <t>BORLÄNGE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64051-2020</t>
        </is>
      </c>
      <c r="B136" s="1" t="n">
        <v>44167</v>
      </c>
      <c r="C136" s="1" t="n">
        <v>45356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64260-2020</t>
        </is>
      </c>
      <c r="B137" s="1" t="n">
        <v>44168</v>
      </c>
      <c r="C137" s="1" t="n">
        <v>45356</v>
      </c>
      <c r="D137" t="inlineStr">
        <is>
          <t>DALARNAS LÄN</t>
        </is>
      </c>
      <c r="E137" t="inlineStr">
        <is>
          <t>BORLÄNGE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64934-2020</t>
        </is>
      </c>
      <c r="B138" s="1" t="n">
        <v>44172</v>
      </c>
      <c r="C138" s="1" t="n">
        <v>45356</v>
      </c>
      <c r="D138" t="inlineStr">
        <is>
          <t>DALARNAS LÄN</t>
        </is>
      </c>
      <c r="E138" t="inlineStr">
        <is>
          <t>BORLÄNGE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65908-2020</t>
        </is>
      </c>
      <c r="B139" s="1" t="n">
        <v>44174</v>
      </c>
      <c r="C139" s="1" t="n">
        <v>45356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599-2021</t>
        </is>
      </c>
      <c r="B140" s="1" t="n">
        <v>44203</v>
      </c>
      <c r="C140" s="1" t="n">
        <v>45356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3964-2021</t>
        </is>
      </c>
      <c r="B141" s="1" t="n">
        <v>44222</v>
      </c>
      <c r="C141" s="1" t="n">
        <v>45356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5058-2021</t>
        </is>
      </c>
      <c r="B142" s="1" t="n">
        <v>44228</v>
      </c>
      <c r="C142" s="1" t="n">
        <v>45356</v>
      </c>
      <c r="D142" t="inlineStr">
        <is>
          <t>DALARNAS LÄN</t>
        </is>
      </c>
      <c r="E142" t="inlineStr">
        <is>
          <t>BORLÄNGE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8208-2021</t>
        </is>
      </c>
      <c r="B143" s="1" t="n">
        <v>44244</v>
      </c>
      <c r="C143" s="1" t="n">
        <v>45356</v>
      </c>
      <c r="D143" t="inlineStr">
        <is>
          <t>DALARNAS LÄN</t>
        </is>
      </c>
      <c r="E143" t="inlineStr">
        <is>
          <t>BORLÄNGE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11568-2021</t>
        </is>
      </c>
      <c r="B144" s="1" t="n">
        <v>44264</v>
      </c>
      <c r="C144" s="1" t="n">
        <v>45356</v>
      </c>
      <c r="D144" t="inlineStr">
        <is>
          <t>DALARNAS LÄN</t>
        </is>
      </c>
      <c r="E144" t="inlineStr">
        <is>
          <t>BORLÄNGE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</v>
      </c>
      <c r="C145" s="1" t="n">
        <v>45356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13702-2021</t>
        </is>
      </c>
      <c r="B146" s="1" t="n">
        <v>44274</v>
      </c>
      <c r="C146" s="1" t="n">
        <v>45356</v>
      </c>
      <c r="D146" t="inlineStr">
        <is>
          <t>DALARNAS LÄN</t>
        </is>
      </c>
      <c r="E146" t="inlineStr">
        <is>
          <t>BORLÄNGE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14432-2021</t>
        </is>
      </c>
      <c r="B147" s="1" t="n">
        <v>44279</v>
      </c>
      <c r="C147" s="1" t="n">
        <v>45356</v>
      </c>
      <c r="D147" t="inlineStr">
        <is>
          <t>DALARNAS LÄN</t>
        </is>
      </c>
      <c r="E147" t="inlineStr">
        <is>
          <t>BORLÄNGE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14691-2021</t>
        </is>
      </c>
      <c r="B148" s="1" t="n">
        <v>44280</v>
      </c>
      <c r="C148" s="1" t="n">
        <v>45356</v>
      </c>
      <c r="D148" t="inlineStr">
        <is>
          <t>DALARNAS LÄN</t>
        </is>
      </c>
      <c r="E148" t="inlineStr">
        <is>
          <t>BORLÄNGE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45356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15786-2021</t>
        </is>
      </c>
      <c r="B150" s="1" t="n">
        <v>44286</v>
      </c>
      <c r="C150" s="1" t="n">
        <v>45356</v>
      </c>
      <c r="D150" t="inlineStr">
        <is>
          <t>DALARNAS LÄN</t>
        </is>
      </c>
      <c r="E150" t="inlineStr">
        <is>
          <t>BORLÄNGE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15979-2021</t>
        </is>
      </c>
      <c r="B151" s="1" t="n">
        <v>44287</v>
      </c>
      <c r="C151" s="1" t="n">
        <v>45356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16377-2021</t>
        </is>
      </c>
      <c r="B152" s="1" t="n">
        <v>44293</v>
      </c>
      <c r="C152" s="1" t="n">
        <v>45356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16413-2021</t>
        </is>
      </c>
      <c r="B153" s="1" t="n">
        <v>44293</v>
      </c>
      <c r="C153" s="1" t="n">
        <v>45356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16711-2021</t>
        </is>
      </c>
      <c r="B154" s="1" t="n">
        <v>44294</v>
      </c>
      <c r="C154" s="1" t="n">
        <v>45356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16706-2021</t>
        </is>
      </c>
      <c r="B155" s="1" t="n">
        <v>44294</v>
      </c>
      <c r="C155" s="1" t="n">
        <v>45356</v>
      </c>
      <c r="D155" t="inlineStr">
        <is>
          <t>DALARNAS LÄN</t>
        </is>
      </c>
      <c r="E155" t="inlineStr">
        <is>
          <t>BORLÄNGE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17204-2021</t>
        </is>
      </c>
      <c r="B156" s="1" t="n">
        <v>44298</v>
      </c>
      <c r="C156" s="1" t="n">
        <v>45356</v>
      </c>
      <c r="D156" t="inlineStr">
        <is>
          <t>DALARNAS LÄN</t>
        </is>
      </c>
      <c r="E156" t="inlineStr">
        <is>
          <t>BORLÄNGE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17572-2021</t>
        </is>
      </c>
      <c r="B157" s="1" t="n">
        <v>44299</v>
      </c>
      <c r="C157" s="1" t="n">
        <v>45356</v>
      </c>
      <c r="D157" t="inlineStr">
        <is>
          <t>DALARNAS LÄN</t>
        </is>
      </c>
      <c r="E157" t="inlineStr">
        <is>
          <t>BORLÄNGE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17887-2021</t>
        </is>
      </c>
      <c r="B158" s="1" t="n">
        <v>44301</v>
      </c>
      <c r="C158" s="1" t="n">
        <v>45356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18393-2021</t>
        </is>
      </c>
      <c r="B159" s="1" t="n">
        <v>44305</v>
      </c>
      <c r="C159" s="1" t="n">
        <v>45356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18481-2021</t>
        </is>
      </c>
      <c r="B160" s="1" t="n">
        <v>44306</v>
      </c>
      <c r="C160" s="1" t="n">
        <v>45356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18715-2021</t>
        </is>
      </c>
      <c r="B161" s="1" t="n">
        <v>44307</v>
      </c>
      <c r="C161" s="1" t="n">
        <v>45356</v>
      </c>
      <c r="D161" t="inlineStr">
        <is>
          <t>DALARNAS LÄN</t>
        </is>
      </c>
      <c r="E161" t="inlineStr">
        <is>
          <t>BORLÄNGE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19096-2021</t>
        </is>
      </c>
      <c r="B162" s="1" t="n">
        <v>44308</v>
      </c>
      <c r="C162" s="1" t="n">
        <v>45356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20052-2021</t>
        </is>
      </c>
      <c r="B163" s="1" t="n">
        <v>44314</v>
      </c>
      <c r="C163" s="1" t="n">
        <v>45356</v>
      </c>
      <c r="D163" t="inlineStr">
        <is>
          <t>DALARNAS LÄN</t>
        </is>
      </c>
      <c r="E163" t="inlineStr">
        <is>
          <t>BORLÄNGE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24317-2021</t>
        </is>
      </c>
      <c r="B164" s="1" t="n">
        <v>44337</v>
      </c>
      <c r="C164" s="1" t="n">
        <v>45356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24284-2021</t>
        </is>
      </c>
      <c r="B165" s="1" t="n">
        <v>44337</v>
      </c>
      <c r="C165" s="1" t="n">
        <v>45356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24438-2021</t>
        </is>
      </c>
      <c r="B166" s="1" t="n">
        <v>44337</v>
      </c>
      <c r="C166" s="1" t="n">
        <v>45356</v>
      </c>
      <c r="D166" t="inlineStr">
        <is>
          <t>DALARNAS LÄN</t>
        </is>
      </c>
      <c r="E166" t="inlineStr">
        <is>
          <t>BORLÄNGE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24426-2021</t>
        </is>
      </c>
      <c r="B167" s="1" t="n">
        <v>44337</v>
      </c>
      <c r="C167" s="1" t="n">
        <v>45356</v>
      </c>
      <c r="D167" t="inlineStr">
        <is>
          <t>DALARNAS LÄN</t>
        </is>
      </c>
      <c r="E167" t="inlineStr">
        <is>
          <t>BORLÄNGE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24961-2021</t>
        </is>
      </c>
      <c r="B168" s="1" t="n">
        <v>44341</v>
      </c>
      <c r="C168" s="1" t="n">
        <v>45356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24992-2021</t>
        </is>
      </c>
      <c r="B169" s="1" t="n">
        <v>44341</v>
      </c>
      <c r="C169" s="1" t="n">
        <v>45356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24949-2021</t>
        </is>
      </c>
      <c r="B170" s="1" t="n">
        <v>44341</v>
      </c>
      <c r="C170" s="1" t="n">
        <v>45356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25296-2021</t>
        </is>
      </c>
      <c r="B171" s="1" t="n">
        <v>44342</v>
      </c>
      <c r="C171" s="1" t="n">
        <v>45356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27853-2021</t>
        </is>
      </c>
      <c r="B172" s="1" t="n">
        <v>44354</v>
      </c>
      <c r="C172" s="1" t="n">
        <v>45356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28395-2021</t>
        </is>
      </c>
      <c r="B173" s="1" t="n">
        <v>44356</v>
      </c>
      <c r="C173" s="1" t="n">
        <v>45356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29135-2021</t>
        </is>
      </c>
      <c r="B174" s="1" t="n">
        <v>44358</v>
      </c>
      <c r="C174" s="1" t="n">
        <v>45356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29305-2021</t>
        </is>
      </c>
      <c r="B175" s="1" t="n">
        <v>44361</v>
      </c>
      <c r="C175" s="1" t="n">
        <v>45356</v>
      </c>
      <c r="D175" t="inlineStr">
        <is>
          <t>DALARNAS LÄN</t>
        </is>
      </c>
      <c r="E175" t="inlineStr">
        <is>
          <t>BORLÄNGE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32181-2021</t>
        </is>
      </c>
      <c r="B176" s="1" t="n">
        <v>44371</v>
      </c>
      <c r="C176" s="1" t="n">
        <v>45356</v>
      </c>
      <c r="D176" t="inlineStr">
        <is>
          <t>DALARNAS LÄN</t>
        </is>
      </c>
      <c r="E176" t="inlineStr">
        <is>
          <t>BORLÄNGE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32206-2021</t>
        </is>
      </c>
      <c r="B177" s="1" t="n">
        <v>44371</v>
      </c>
      <c r="C177" s="1" t="n">
        <v>45356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32977-2021</t>
        </is>
      </c>
      <c r="B178" s="1" t="n">
        <v>44376</v>
      </c>
      <c r="C178" s="1" t="n">
        <v>45356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33460-2021</t>
        </is>
      </c>
      <c r="B179" s="1" t="n">
        <v>44377</v>
      </c>
      <c r="C179" s="1" t="n">
        <v>45356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34107-2021</t>
        </is>
      </c>
      <c r="B180" s="1" t="n">
        <v>44379</v>
      </c>
      <c r="C180" s="1" t="n">
        <v>45356</v>
      </c>
      <c r="D180" t="inlineStr">
        <is>
          <t>DALARNAS LÄN</t>
        </is>
      </c>
      <c r="E180" t="inlineStr">
        <is>
          <t>BORLÄNGE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34087-2021</t>
        </is>
      </c>
      <c r="B181" s="1" t="n">
        <v>44379</v>
      </c>
      <c r="C181" s="1" t="n">
        <v>45356</v>
      </c>
      <c r="D181" t="inlineStr">
        <is>
          <t>DALARNAS LÄN</t>
        </is>
      </c>
      <c r="E181" t="inlineStr">
        <is>
          <t>BORLÄNGE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35237-2021</t>
        </is>
      </c>
      <c r="B182" s="1" t="n">
        <v>44384</v>
      </c>
      <c r="C182" s="1" t="n">
        <v>45356</v>
      </c>
      <c r="D182" t="inlineStr">
        <is>
          <t>DALARNAS LÄN</t>
        </is>
      </c>
      <c r="E182" t="inlineStr">
        <is>
          <t>BORLÄNGE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36349-2021</t>
        </is>
      </c>
      <c r="B183" s="1" t="n">
        <v>44384</v>
      </c>
      <c r="C183" s="1" t="n">
        <v>45356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36356-2021</t>
        </is>
      </c>
      <c r="B184" s="1" t="n">
        <v>44384</v>
      </c>
      <c r="C184" s="1" t="n">
        <v>45356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36269-2021</t>
        </is>
      </c>
      <c r="B185" s="1" t="n">
        <v>44389</v>
      </c>
      <c r="C185" s="1" t="n">
        <v>45356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36261-2021</t>
        </is>
      </c>
      <c r="B186" s="1" t="n">
        <v>44389</v>
      </c>
      <c r="C186" s="1" t="n">
        <v>45356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36863-2021</t>
        </is>
      </c>
      <c r="B187" s="1" t="n">
        <v>44393</v>
      </c>
      <c r="C187" s="1" t="n">
        <v>45356</v>
      </c>
      <c r="D187" t="inlineStr">
        <is>
          <t>DALARNAS LÄN</t>
        </is>
      </c>
      <c r="E187" t="inlineStr">
        <is>
          <t>BORLÄNGE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36860-2021</t>
        </is>
      </c>
      <c r="B188" s="1" t="n">
        <v>44393</v>
      </c>
      <c r="C188" s="1" t="n">
        <v>45356</v>
      </c>
      <c r="D188" t="inlineStr">
        <is>
          <t>DALARNAS LÄN</t>
        </is>
      </c>
      <c r="E188" t="inlineStr">
        <is>
          <t>BORLÄNGE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37534-2021</t>
        </is>
      </c>
      <c r="B189" s="1" t="n">
        <v>44399</v>
      </c>
      <c r="C189" s="1" t="n">
        <v>45356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37535-2021</t>
        </is>
      </c>
      <c r="B190" s="1" t="n">
        <v>44399</v>
      </c>
      <c r="C190" s="1" t="n">
        <v>45356</v>
      </c>
      <c r="D190" t="inlineStr">
        <is>
          <t>DALARNAS LÄN</t>
        </is>
      </c>
      <c r="E190" t="inlineStr">
        <is>
          <t>BORLÄNGE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39970-2021</t>
        </is>
      </c>
      <c r="B191" s="1" t="n">
        <v>44417</v>
      </c>
      <c r="C191" s="1" t="n">
        <v>45356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40570-2021</t>
        </is>
      </c>
      <c r="B192" s="1" t="n">
        <v>44420</v>
      </c>
      <c r="C192" s="1" t="n">
        <v>45356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40922-2021</t>
        </is>
      </c>
      <c r="B193" s="1" t="n">
        <v>44421</v>
      </c>
      <c r="C193" s="1" t="n">
        <v>45356</v>
      </c>
      <c r="D193" t="inlineStr">
        <is>
          <t>DALARNAS LÄN</t>
        </is>
      </c>
      <c r="E193" t="inlineStr">
        <is>
          <t>BORLÄNGE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41636-2021</t>
        </is>
      </c>
      <c r="B194" s="1" t="n">
        <v>44425</v>
      </c>
      <c r="C194" s="1" t="n">
        <v>45356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41705-2021</t>
        </is>
      </c>
      <c r="B195" s="1" t="n">
        <v>44425</v>
      </c>
      <c r="C195" s="1" t="n">
        <v>45356</v>
      </c>
      <c r="D195" t="inlineStr">
        <is>
          <t>DALARNAS LÄN</t>
        </is>
      </c>
      <c r="E195" t="inlineStr">
        <is>
          <t>BORLÄNGE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41857-2021</t>
        </is>
      </c>
      <c r="B196" s="1" t="n">
        <v>44426</v>
      </c>
      <c r="C196" s="1" t="n">
        <v>45356</v>
      </c>
      <c r="D196" t="inlineStr">
        <is>
          <t>DALARNAS LÄN</t>
        </is>
      </c>
      <c r="E196" t="inlineStr">
        <is>
          <t>BORLÄNGE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42117-2021</t>
        </is>
      </c>
      <c r="B197" s="1" t="n">
        <v>44426</v>
      </c>
      <c r="C197" s="1" t="n">
        <v>45356</v>
      </c>
      <c r="D197" t="inlineStr">
        <is>
          <t>DALARNAS LÄN</t>
        </is>
      </c>
      <c r="E197" t="inlineStr">
        <is>
          <t>BORLÄNGE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42478-2021</t>
        </is>
      </c>
      <c r="B198" s="1" t="n">
        <v>44427</v>
      </c>
      <c r="C198" s="1" t="n">
        <v>45356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43531-2021</t>
        </is>
      </c>
      <c r="B199" s="1" t="n">
        <v>44433</v>
      </c>
      <c r="C199" s="1" t="n">
        <v>45356</v>
      </c>
      <c r="D199" t="inlineStr">
        <is>
          <t>DALARNAS LÄN</t>
        </is>
      </c>
      <c r="E199" t="inlineStr">
        <is>
          <t>BORLÄNGE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43944-2021</t>
        </is>
      </c>
      <c r="B200" s="1" t="n">
        <v>44434</v>
      </c>
      <c r="C200" s="1" t="n">
        <v>45356</v>
      </c>
      <c r="D200" t="inlineStr">
        <is>
          <t>DALARNAS LÄN</t>
        </is>
      </c>
      <c r="E200" t="inlineStr">
        <is>
          <t>BORLÄNGE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44422-2021</t>
        </is>
      </c>
      <c r="B201" s="1" t="n">
        <v>44435</v>
      </c>
      <c r="C201" s="1" t="n">
        <v>45356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45083-2021</t>
        </is>
      </c>
      <c r="B202" s="1" t="n">
        <v>44438</v>
      </c>
      <c r="C202" s="1" t="n">
        <v>45356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50325-2021</t>
        </is>
      </c>
      <c r="B203" s="1" t="n">
        <v>44438</v>
      </c>
      <c r="C203" s="1" t="n">
        <v>45356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50418-2021</t>
        </is>
      </c>
      <c r="B204" s="1" t="n">
        <v>44438</v>
      </c>
      <c r="C204" s="1" t="n">
        <v>45356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45078-2021</t>
        </is>
      </c>
      <c r="B205" s="1" t="n">
        <v>44439</v>
      </c>
      <c r="C205" s="1" t="n">
        <v>45356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45085-2021</t>
        </is>
      </c>
      <c r="B206" s="1" t="n">
        <v>44439</v>
      </c>
      <c r="C206" s="1" t="n">
        <v>45356</v>
      </c>
      <c r="D206" t="inlineStr">
        <is>
          <t>DALARNAS LÄN</t>
        </is>
      </c>
      <c r="E206" t="inlineStr">
        <is>
          <t>BORLÄNGE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45755-2021</t>
        </is>
      </c>
      <c r="B207" s="1" t="n">
        <v>44441</v>
      </c>
      <c r="C207" s="1" t="n">
        <v>45356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48450-2021</t>
        </is>
      </c>
      <c r="B208" s="1" t="n">
        <v>44452</v>
      </c>
      <c r="C208" s="1" t="n">
        <v>45356</v>
      </c>
      <c r="D208" t="inlineStr">
        <is>
          <t>DALARNAS LÄN</t>
        </is>
      </c>
      <c r="E208" t="inlineStr">
        <is>
          <t>BORLÄNGE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48493-2021</t>
        </is>
      </c>
      <c r="B209" s="1" t="n">
        <v>44452</v>
      </c>
      <c r="C209" s="1" t="n">
        <v>45356</v>
      </c>
      <c r="D209" t="inlineStr">
        <is>
          <t>DALARNAS LÄN</t>
        </is>
      </c>
      <c r="E209" t="inlineStr">
        <is>
          <t>BORLÄNGE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48511-2021</t>
        </is>
      </c>
      <c r="B210" s="1" t="n">
        <v>44452</v>
      </c>
      <c r="C210" s="1" t="n">
        <v>45356</v>
      </c>
      <c r="D210" t="inlineStr">
        <is>
          <t>DALARNAS LÄN</t>
        </is>
      </c>
      <c r="E210" t="inlineStr">
        <is>
          <t>BORLÄNGE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49737-2021</t>
        </is>
      </c>
      <c r="B211" s="1" t="n">
        <v>44454</v>
      </c>
      <c r="C211" s="1" t="n">
        <v>45356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50259-2021</t>
        </is>
      </c>
      <c r="B212" s="1" t="n">
        <v>44458</v>
      </c>
      <c r="C212" s="1" t="n">
        <v>45356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51308-2021</t>
        </is>
      </c>
      <c r="B213" s="1" t="n">
        <v>44461</v>
      </c>
      <c r="C213" s="1" t="n">
        <v>45356</v>
      </c>
      <c r="D213" t="inlineStr">
        <is>
          <t>DALARNAS LÄN</t>
        </is>
      </c>
      <c r="E213" t="inlineStr">
        <is>
          <t>BORLÄNGE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51527-2021</t>
        </is>
      </c>
      <c r="B214" s="1" t="n">
        <v>44462</v>
      </c>
      <c r="C214" s="1" t="n">
        <v>45356</v>
      </c>
      <c r="D214" t="inlineStr">
        <is>
          <t>DALARNAS LÄN</t>
        </is>
      </c>
      <c r="E214" t="inlineStr">
        <is>
          <t>BORLÄNGE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52681-2021</t>
        </is>
      </c>
      <c r="B215" s="1" t="n">
        <v>44466</v>
      </c>
      <c r="C215" s="1" t="n">
        <v>45356</v>
      </c>
      <c r="D215" t="inlineStr">
        <is>
          <t>DALARNAS LÄN</t>
        </is>
      </c>
      <c r="E215" t="inlineStr">
        <is>
          <t>BORLÄNGE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53092-2021</t>
        </is>
      </c>
      <c r="B216" s="1" t="n">
        <v>44467</v>
      </c>
      <c r="C216" s="1" t="n">
        <v>45356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53455-2021</t>
        </is>
      </c>
      <c r="B217" s="1" t="n">
        <v>44468</v>
      </c>
      <c r="C217" s="1" t="n">
        <v>45356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54697-2021</t>
        </is>
      </c>
      <c r="B218" s="1" t="n">
        <v>44473</v>
      </c>
      <c r="C218" s="1" t="n">
        <v>45356</v>
      </c>
      <c r="D218" t="inlineStr">
        <is>
          <t>DALARNAS LÄN</t>
        </is>
      </c>
      <c r="E218" t="inlineStr">
        <is>
          <t>BORLÄNGE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55525-2021</t>
        </is>
      </c>
      <c r="B219" s="1" t="n">
        <v>44475</v>
      </c>
      <c r="C219" s="1" t="n">
        <v>45356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55707-2021</t>
        </is>
      </c>
      <c r="B220" s="1" t="n">
        <v>44475</v>
      </c>
      <c r="C220" s="1" t="n">
        <v>45356</v>
      </c>
      <c r="D220" t="inlineStr">
        <is>
          <t>DALARNAS LÄN</t>
        </is>
      </c>
      <c r="E220" t="inlineStr">
        <is>
          <t>BORLÄNGE</t>
        </is>
      </c>
      <c r="F220" t="inlineStr">
        <is>
          <t>Övriga statliga verk och myndigheter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58237-2021</t>
        </is>
      </c>
      <c r="B221" s="1" t="n">
        <v>44487</v>
      </c>
      <c r="C221" s="1" t="n">
        <v>45356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58242-2021</t>
        </is>
      </c>
      <c r="B222" s="1" t="n">
        <v>44487</v>
      </c>
      <c r="C222" s="1" t="n">
        <v>45356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58556-2021</t>
        </is>
      </c>
      <c r="B223" s="1" t="n">
        <v>44488</v>
      </c>
      <c r="C223" s="1" t="n">
        <v>45356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45356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45356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45356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45356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45356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45356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45356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45356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45356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45356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45356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45356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45356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45356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45356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45356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45356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45356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45356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45356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45356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45356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45356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45356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45356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45356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45356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45356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45356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45356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45356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45356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45356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45356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45356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45356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45356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4750-2022</t>
        </is>
      </c>
      <c r="B261" s="1" t="n">
        <v>44592</v>
      </c>
      <c r="C261" s="1" t="n">
        <v>45356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45356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45356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45356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45356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45356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45356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45356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45356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45356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45356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45356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45356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45356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45356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45356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45356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45356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45356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45356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45356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45356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45356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45356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45356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45356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45356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45356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45356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45356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45356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45356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45356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45356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45356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45356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45356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45356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45356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45356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45356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45356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45356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45356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45356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45356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45356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45356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45356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45356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45356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45356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45356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45356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45356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45356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45356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45356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45356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45356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45356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43639-2022</t>
        </is>
      </c>
      <c r="B322" s="1" t="n">
        <v>44837</v>
      </c>
      <c r="C322" s="1" t="n">
        <v>45356</v>
      </c>
      <c r="D322" t="inlineStr">
        <is>
          <t>DALARNAS LÄN</t>
        </is>
      </c>
      <c r="E322" t="inlineStr">
        <is>
          <t>BORLÄNGE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43662-2022</t>
        </is>
      </c>
      <c r="B323" s="1" t="n">
        <v>44837</v>
      </c>
      <c r="C323" s="1" t="n">
        <v>45356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50695-2022</t>
        </is>
      </c>
      <c r="B324" s="1" t="n">
        <v>44867</v>
      </c>
      <c r="C324" s="1" t="n">
        <v>45356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50693-2022</t>
        </is>
      </c>
      <c r="B325" s="1" t="n">
        <v>44867</v>
      </c>
      <c r="C325" s="1" t="n">
        <v>45356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52278-2022</t>
        </is>
      </c>
      <c r="B326" s="1" t="n">
        <v>44869</v>
      </c>
      <c r="C326" s="1" t="n">
        <v>45356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45356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45356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45356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45356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45356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45356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45356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45356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45356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45356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45356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45356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45356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45356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45356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45356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45356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45356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45356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45356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45356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45356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45356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45356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45356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45356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45356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45356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45356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45356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45356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45356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45356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45356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45356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45356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45356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11846-2023</t>
        </is>
      </c>
      <c r="B364" s="1" t="n">
        <v>44995</v>
      </c>
      <c r="C364" s="1" t="n">
        <v>45356</v>
      </c>
      <c r="D364" t="inlineStr">
        <is>
          <t>DALARNAS LÄN</t>
        </is>
      </c>
      <c r="E364" t="inlineStr">
        <is>
          <t>BORLÄNGE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45356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45356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45356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45356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45356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45356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45356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45356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45356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45356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45356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45356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45356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45356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45356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45356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45356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45356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45356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45356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45356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45356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45356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45356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45356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45356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45356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45356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45356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45356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45356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45356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45356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45356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45356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45356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45356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45356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45356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45356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45356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45356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29266-2023</t>
        </is>
      </c>
      <c r="B407" s="1" t="n">
        <v>45105</v>
      </c>
      <c r="C407" s="1" t="n">
        <v>45356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45356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45356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45356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45356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45356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45356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45356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45356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45356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45356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45356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45356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45356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45356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45356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45356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45356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45356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45356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45356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45356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45356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45356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45356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45356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45356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45356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45356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45356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45356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45356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45356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45356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45356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45356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45356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45356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45356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45356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45356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45356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47211-2023</t>
        </is>
      </c>
      <c r="B449" s="1" t="n">
        <v>45202</v>
      </c>
      <c r="C449" s="1" t="n">
        <v>45356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45356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45356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45356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45356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45356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45356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45356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45356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45356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45356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45356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45356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45356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45356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45356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45356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45356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45356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54154-2023</t>
        </is>
      </c>
      <c r="B468" s="1" t="n">
        <v>45232</v>
      </c>
      <c r="C468" s="1" t="n">
        <v>45356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54148-2023</t>
        </is>
      </c>
      <c r="B469" s="1" t="n">
        <v>45232</v>
      </c>
      <c r="C469" s="1" t="n">
        <v>45356</v>
      </c>
      <c r="D469" t="inlineStr">
        <is>
          <t>DALARNAS LÄN</t>
        </is>
      </c>
      <c r="E469" t="inlineStr">
        <is>
          <t>BORLÄNGE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55059-2023</t>
        </is>
      </c>
      <c r="B470" s="1" t="n">
        <v>45237</v>
      </c>
      <c r="C470" s="1" t="n">
        <v>45356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55133-2023</t>
        </is>
      </c>
      <c r="B471" s="1" t="n">
        <v>45237</v>
      </c>
      <c r="C471" s="1" t="n">
        <v>45356</v>
      </c>
      <c r="D471" t="inlineStr">
        <is>
          <t>DALARNAS LÄN</t>
        </is>
      </c>
      <c r="E471" t="inlineStr">
        <is>
          <t>BORLÄNGE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55056-2023</t>
        </is>
      </c>
      <c r="B472" s="1" t="n">
        <v>45237</v>
      </c>
      <c r="C472" s="1" t="n">
        <v>45356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55057-2023</t>
        </is>
      </c>
      <c r="B473" s="1" t="n">
        <v>45237</v>
      </c>
      <c r="C473" s="1" t="n">
        <v>45356</v>
      </c>
      <c r="D473" t="inlineStr">
        <is>
          <t>DALARNAS LÄN</t>
        </is>
      </c>
      <c r="E473" t="inlineStr">
        <is>
          <t>BORLÄNGE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55298-2023</t>
        </is>
      </c>
      <c r="B474" s="1" t="n">
        <v>45237</v>
      </c>
      <c r="C474" s="1" t="n">
        <v>45356</v>
      </c>
      <c r="D474" t="inlineStr">
        <is>
          <t>DALARNAS LÄN</t>
        </is>
      </c>
      <c r="E474" t="inlineStr">
        <is>
          <t>BORLÄNGE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55735-2023</t>
        </is>
      </c>
      <c r="B475" s="1" t="n">
        <v>45239</v>
      </c>
      <c r="C475" s="1" t="n">
        <v>45356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57160-2023</t>
        </is>
      </c>
      <c r="B476" s="1" t="n">
        <v>45245</v>
      </c>
      <c r="C476" s="1" t="n">
        <v>45356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57533-2023</t>
        </is>
      </c>
      <c r="B477" s="1" t="n">
        <v>45246</v>
      </c>
      <c r="C477" s="1" t="n">
        <v>45356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57530-2023</t>
        </is>
      </c>
      <c r="B478" s="1" t="n">
        <v>45246</v>
      </c>
      <c r="C478" s="1" t="n">
        <v>45356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58616-2023</t>
        </is>
      </c>
      <c r="B479" s="1" t="n">
        <v>45251</v>
      </c>
      <c r="C479" s="1" t="n">
        <v>45356</v>
      </c>
      <c r="D479" t="inlineStr">
        <is>
          <t>DALARNAS LÄN</t>
        </is>
      </c>
      <c r="E479" t="inlineStr">
        <is>
          <t>BORLÄNGE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58640-2023</t>
        </is>
      </c>
      <c r="B480" s="1" t="n">
        <v>45251</v>
      </c>
      <c r="C480" s="1" t="n">
        <v>45356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58901-2023</t>
        </is>
      </c>
      <c r="B481" s="1" t="n">
        <v>45252</v>
      </c>
      <c r="C481" s="1" t="n">
        <v>45356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58903-2023</t>
        </is>
      </c>
      <c r="B482" s="1" t="n">
        <v>45252</v>
      </c>
      <c r="C482" s="1" t="n">
        <v>45356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58897-2023</t>
        </is>
      </c>
      <c r="B483" s="1" t="n">
        <v>45252</v>
      </c>
      <c r="C483" s="1" t="n">
        <v>45356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59534-2023</t>
        </is>
      </c>
      <c r="B484" s="1" t="n">
        <v>45254</v>
      </c>
      <c r="C484" s="1" t="n">
        <v>45356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59935-2023</t>
        </is>
      </c>
      <c r="B485" s="1" t="n">
        <v>45257</v>
      </c>
      <c r="C485" s="1" t="n">
        <v>45356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45356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60086-2023</t>
        </is>
      </c>
      <c r="B487" s="1" t="n">
        <v>45258</v>
      </c>
      <c r="C487" s="1" t="n">
        <v>45356</v>
      </c>
      <c r="D487" t="inlineStr">
        <is>
          <t>DALARNAS LÄN</t>
        </is>
      </c>
      <c r="E487" t="inlineStr">
        <is>
          <t>BORLÄNGE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60152-2023</t>
        </is>
      </c>
      <c r="B488" s="1" t="n">
        <v>45258</v>
      </c>
      <c r="C488" s="1" t="n">
        <v>45356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60072-2023</t>
        </is>
      </c>
      <c r="B489" s="1" t="n">
        <v>45258</v>
      </c>
      <c r="C489" s="1" t="n">
        <v>45356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45356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45356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60512-2023</t>
        </is>
      </c>
      <c r="B492" s="1" t="n">
        <v>45259</v>
      </c>
      <c r="C492" s="1" t="n">
        <v>45356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60368-2023</t>
        </is>
      </c>
      <c r="B493" s="1" t="n">
        <v>45259</v>
      </c>
      <c r="C493" s="1" t="n">
        <v>45356</v>
      </c>
      <c r="D493" t="inlineStr">
        <is>
          <t>DALARNAS LÄN</t>
        </is>
      </c>
      <c r="E493" t="inlineStr">
        <is>
          <t>BORLÄNGE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45356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60625-2023</t>
        </is>
      </c>
      <c r="B495" s="1" t="n">
        <v>45260</v>
      </c>
      <c r="C495" s="1" t="n">
        <v>45356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60908-2023</t>
        </is>
      </c>
      <c r="B496" s="1" t="n">
        <v>45261</v>
      </c>
      <c r="C496" s="1" t="n">
        <v>45356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61195-2023</t>
        </is>
      </c>
      <c r="B497" s="1" t="n">
        <v>45264</v>
      </c>
      <c r="C497" s="1" t="n">
        <v>45356</v>
      </c>
      <c r="D497" t="inlineStr">
        <is>
          <t>DALARNAS LÄN</t>
        </is>
      </c>
      <c r="E497" t="inlineStr">
        <is>
          <t>BORLÄNGE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61587-2023</t>
        </is>
      </c>
      <c r="B498" s="1" t="n">
        <v>45265</v>
      </c>
      <c r="C498" s="1" t="n">
        <v>45356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61565-2023</t>
        </is>
      </c>
      <c r="B499" s="1" t="n">
        <v>45265</v>
      </c>
      <c r="C499" s="1" t="n">
        <v>45356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62214-2023</t>
        </is>
      </c>
      <c r="B500" s="1" t="n">
        <v>45267</v>
      </c>
      <c r="C500" s="1" t="n">
        <v>45356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62569-2023</t>
        </is>
      </c>
      <c r="B501" s="1" t="n">
        <v>45269</v>
      </c>
      <c r="C501" s="1" t="n">
        <v>45356</v>
      </c>
      <c r="D501" t="inlineStr">
        <is>
          <t>DALARNAS LÄN</t>
        </is>
      </c>
      <c r="E501" t="inlineStr">
        <is>
          <t>BORLÄNGE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63192-2023</t>
        </is>
      </c>
      <c r="B502" s="1" t="n">
        <v>45273</v>
      </c>
      <c r="C502" s="1" t="n">
        <v>45356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63791-2023</t>
        </is>
      </c>
      <c r="B503" s="1" t="n">
        <v>45278</v>
      </c>
      <c r="C503" s="1" t="n">
        <v>45356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64688-2023</t>
        </is>
      </c>
      <c r="B504" s="1" t="n">
        <v>45281</v>
      </c>
      <c r="C504" s="1" t="n">
        <v>45356</v>
      </c>
      <c r="D504" t="inlineStr">
        <is>
          <t>DALARNAS LÄN</t>
        </is>
      </c>
      <c r="E504" t="inlineStr">
        <is>
          <t>BORLÄNGE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26-2024</t>
        </is>
      </c>
      <c r="B505" s="1" t="n">
        <v>45289</v>
      </c>
      <c r="C505" s="1" t="n">
        <v>45356</v>
      </c>
      <c r="D505" t="inlineStr">
        <is>
          <t>DALARNAS LÄN</t>
        </is>
      </c>
      <c r="E505" t="inlineStr">
        <is>
          <t>BORLÄNGE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65254-2023</t>
        </is>
      </c>
      <c r="B506" s="1" t="n">
        <v>45290</v>
      </c>
      <c r="C506" s="1" t="n">
        <v>45356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128-2024</t>
        </is>
      </c>
      <c r="B507" s="1" t="n">
        <v>45294</v>
      </c>
      <c r="C507" s="1" t="n">
        <v>45356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497-2024</t>
        </is>
      </c>
      <c r="B508" s="1" t="n">
        <v>45299</v>
      </c>
      <c r="C508" s="1" t="n">
        <v>45356</v>
      </c>
      <c r="D508" t="inlineStr">
        <is>
          <t>DALARNAS LÄN</t>
        </is>
      </c>
      <c r="E508" t="inlineStr">
        <is>
          <t>BORLÄNGE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619-2024</t>
        </is>
      </c>
      <c r="B509" s="1" t="n">
        <v>45299</v>
      </c>
      <c r="C509" s="1" t="n">
        <v>45356</v>
      </c>
      <c r="D509" t="inlineStr">
        <is>
          <t>DALARNAS LÄN</t>
        </is>
      </c>
      <c r="E509" t="inlineStr">
        <is>
          <t>BORLÄNGE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1737-2024</t>
        </is>
      </c>
      <c r="B510" s="1" t="n">
        <v>45307</v>
      </c>
      <c r="C510" s="1" t="n">
        <v>45356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1966-2024</t>
        </is>
      </c>
      <c r="B511" s="1" t="n">
        <v>45308</v>
      </c>
      <c r="C511" s="1" t="n">
        <v>45356</v>
      </c>
      <c r="D511" t="inlineStr">
        <is>
          <t>DALARNAS LÄN</t>
        </is>
      </c>
      <c r="E511" t="inlineStr">
        <is>
          <t>BORLÄNGE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2516-2024</t>
        </is>
      </c>
      <c r="B512" s="1" t="n">
        <v>45313</v>
      </c>
      <c r="C512" s="1" t="n">
        <v>45356</v>
      </c>
      <c r="D512" t="inlineStr">
        <is>
          <t>DALARNAS LÄN</t>
        </is>
      </c>
      <c r="E512" t="inlineStr">
        <is>
          <t>BORLÄNGE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6654-2024</t>
        </is>
      </c>
      <c r="B513" s="1" t="n">
        <v>45341</v>
      </c>
      <c r="C513" s="1" t="n">
        <v>45356</v>
      </c>
      <c r="D513" t="inlineStr">
        <is>
          <t>DALARNAS LÄN</t>
        </is>
      </c>
      <c r="E513" t="inlineStr">
        <is>
          <t>BORLÄNGE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6526-2024</t>
        </is>
      </c>
      <c r="B514" s="1" t="n">
        <v>45341</v>
      </c>
      <c r="C514" s="1" t="n">
        <v>45356</v>
      </c>
      <c r="D514" t="inlineStr">
        <is>
          <t>DALARNAS LÄN</t>
        </is>
      </c>
      <c r="E514" t="inlineStr">
        <is>
          <t>BORLÄNGE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6798-2024</t>
        </is>
      </c>
      <c r="B515" s="1" t="n">
        <v>45342</v>
      </c>
      <c r="C515" s="1" t="n">
        <v>45356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6803-2024</t>
        </is>
      </c>
      <c r="B516" s="1" t="n">
        <v>45342</v>
      </c>
      <c r="C516" s="1" t="n">
        <v>45356</v>
      </c>
      <c r="D516" t="inlineStr">
        <is>
          <t>DALARNAS LÄN</t>
        </is>
      </c>
      <c r="E516" t="inlineStr">
        <is>
          <t>BORLÄNGE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2024-03-05T13:19:16Z</dcterms:created>
  <dcterms:modified xmlns:dcterms="http://purl.org/dc/terms/" xmlns:xsi="http://www.w3.org/2001/XMLSchema-instance" xsi:type="dcterms:W3CDTF">2024-03-05T13:19:16Z</dcterms:modified>
</cp:coreProperties>
</file>