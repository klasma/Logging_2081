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45626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45626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45626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45626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45626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45626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45626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45626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45626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45626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45626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45626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45626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45626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45626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45626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45626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45626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45626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45626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45626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45626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45626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45626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45626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45626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45626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45626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45626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45626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45626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45626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45626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45626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45626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45626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45626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45626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45626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45626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45626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45626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45626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45626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45626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45626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37723-2024</t>
        </is>
      </c>
      <c r="B48" s="1" t="n">
        <v>45541</v>
      </c>
      <c r="C48" s="1" t="n">
        <v>45626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Rosenticka
Ullticka</t>
        </is>
      </c>
      <c r="S48">
        <f>HYPERLINK("https://klasma.github.io/Logging_2081/artfynd/A 37723-2024 artfynd.xlsx", "A 37723-2024")</f>
        <v/>
      </c>
      <c r="T48">
        <f>HYPERLINK("https://klasma.github.io/Logging_2081/kartor/A 37723-2024 karta.png", "A 37723-2024")</f>
        <v/>
      </c>
      <c r="V48">
        <f>HYPERLINK("https://klasma.github.io/Logging_2081/klagomål/A 37723-2024 FSC-klagomål.docx", "A 37723-2024")</f>
        <v/>
      </c>
      <c r="W48">
        <f>HYPERLINK("https://klasma.github.io/Logging_2081/klagomålsmail/A 37723-2024 FSC-klagomål mail.docx", "A 37723-2024")</f>
        <v/>
      </c>
      <c r="X48">
        <f>HYPERLINK("https://klasma.github.io/Logging_2081/tillsyn/A 37723-2024 tillsynsbegäran.docx", "A 37723-2024")</f>
        <v/>
      </c>
      <c r="Y48">
        <f>HYPERLINK("https://klasma.github.io/Logging_2081/tillsynsmail/A 37723-2024 tillsynsbegäran mail.docx", "A 37723-2024")</f>
        <v/>
      </c>
    </row>
    <row r="49" ht="15" customHeight="1">
      <c r="A49" t="inlineStr">
        <is>
          <t>A 23553-2020</t>
        </is>
      </c>
      <c r="B49" s="1" t="n">
        <v>43969</v>
      </c>
      <c r="C49" s="1" t="n">
        <v>45626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HYPERLINK("https://klasma.github.io/Logging_2081/artfynd/A 23553-2020 artfynd.xlsx", "A 23553-2020")</f>
        <v/>
      </c>
      <c r="T49">
        <f>HYPERLINK("https://klasma.github.io/Logging_2081/kartor/A 23553-2020 karta.png", "A 23553-2020")</f>
        <v/>
      </c>
      <c r="V49">
        <f>HYPERLINK("https://klasma.github.io/Logging_2081/klagomål/A 23553-2020 FSC-klagomål.docx", "A 23553-2020")</f>
        <v/>
      </c>
      <c r="W49">
        <f>HYPERLINK("https://klasma.github.io/Logging_2081/klagomålsmail/A 23553-2020 FSC-klagomål mail.docx", "A 23553-2020")</f>
        <v/>
      </c>
      <c r="X49">
        <f>HYPERLINK("https://klasma.github.io/Logging_2081/tillsyn/A 23553-2020 tillsynsbegäran.docx", "A 23553-2020")</f>
        <v/>
      </c>
      <c r="Y49">
        <f>HYPERLINK("https://klasma.github.io/Logging_2081/tillsynsmail/A 23553-2020 tillsynsbegäran mail.docx", "A 23553-2020")</f>
        <v/>
      </c>
    </row>
    <row r="50" ht="15" customHeight="1">
      <c r="A50" t="inlineStr">
        <is>
          <t>A 38708-2021</t>
        </is>
      </c>
      <c r="B50" s="1" t="n">
        <v>44410</v>
      </c>
      <c r="C50" s="1" t="n">
        <v>45626</v>
      </c>
      <c r="D50" t="inlineStr">
        <is>
          <t>DALARNAS LÄN</t>
        </is>
      </c>
      <c r="E50" t="inlineStr">
        <is>
          <t>BORLÄNGE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Äggvaxskivling</t>
        </is>
      </c>
      <c r="S50">
        <f>HYPERLINK("https://klasma.github.io/Logging_2081/artfynd/A 38708-2021 artfynd.xlsx", "A 38708-2021")</f>
        <v/>
      </c>
      <c r="T50">
        <f>HYPERLINK("https://klasma.github.io/Logging_2081/kartor/A 38708-2021 karta.png", "A 38708-2021")</f>
        <v/>
      </c>
      <c r="V50">
        <f>HYPERLINK("https://klasma.github.io/Logging_2081/klagomål/A 38708-2021 FSC-klagomål.docx", "A 38708-2021")</f>
        <v/>
      </c>
      <c r="W50">
        <f>HYPERLINK("https://klasma.github.io/Logging_2081/klagomålsmail/A 38708-2021 FSC-klagomål mail.docx", "A 38708-2021")</f>
        <v/>
      </c>
      <c r="X50">
        <f>HYPERLINK("https://klasma.github.io/Logging_2081/tillsyn/A 38708-2021 tillsynsbegäran.docx", "A 38708-2021")</f>
        <v/>
      </c>
      <c r="Y50">
        <f>HYPERLINK("https://klasma.github.io/Logging_2081/tillsynsmail/A 38708-2021 tillsynsbegäran mail.docx", "A 38708-2021")</f>
        <v/>
      </c>
    </row>
    <row r="51" ht="15" customHeight="1">
      <c r="A51" t="inlineStr">
        <is>
          <t>A 41874-2021</t>
        </is>
      </c>
      <c r="B51" s="1" t="n">
        <v>44426</v>
      </c>
      <c r="C51" s="1" t="n">
        <v>45626</v>
      </c>
      <c r="D51" t="inlineStr">
        <is>
          <t>DALARNAS LÄN</t>
        </is>
      </c>
      <c r="E51" t="inlineStr">
        <is>
          <t>BORLÄNGE</t>
        </is>
      </c>
      <c r="G51" t="n">
        <v>13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HYPERLINK("https://klasma.github.io/Logging_2081/artfynd/A 41874-2021 artfynd.xlsx", "A 41874-2021")</f>
        <v/>
      </c>
      <c r="T51">
        <f>HYPERLINK("https://klasma.github.io/Logging_2081/kartor/A 41874-2021 karta.png", "A 41874-2021")</f>
        <v/>
      </c>
      <c r="V51">
        <f>HYPERLINK("https://klasma.github.io/Logging_2081/klagomål/A 41874-2021 FSC-klagomål.docx", "A 41874-2021")</f>
        <v/>
      </c>
      <c r="W51">
        <f>HYPERLINK("https://klasma.github.io/Logging_2081/klagomålsmail/A 41874-2021 FSC-klagomål mail.docx", "A 41874-2021")</f>
        <v/>
      </c>
      <c r="X51">
        <f>HYPERLINK("https://klasma.github.io/Logging_2081/tillsyn/A 41874-2021 tillsynsbegäran.docx", "A 41874-2021")</f>
        <v/>
      </c>
      <c r="Y51">
        <f>HYPERLINK("https://klasma.github.io/Logging_2081/tillsynsmail/A 41874-2021 tillsynsbegäran mail.docx", "A 41874-2021")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45626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</v>
      </c>
      <c r="C53" s="1" t="n">
        <v>45626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54045-2021</t>
        </is>
      </c>
      <c r="B54" s="1" t="n">
        <v>44470</v>
      </c>
      <c r="C54" s="1" t="n">
        <v>45626</v>
      </c>
      <c r="D54" t="inlineStr">
        <is>
          <t>DALARNAS LÄN</t>
        </is>
      </c>
      <c r="E54" t="inlineStr">
        <is>
          <t>BORLÄNGE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HYPERLINK("https://klasma.github.io/Logging_2081/artfynd/A 54045-2021 artfynd.xlsx", "A 54045-2021")</f>
        <v/>
      </c>
      <c r="T54">
        <f>HYPERLINK("https://klasma.github.io/Logging_2081/kartor/A 54045-2021 karta.png", "A 54045-2021")</f>
        <v/>
      </c>
      <c r="V54">
        <f>HYPERLINK("https://klasma.github.io/Logging_2081/klagomål/A 54045-2021 FSC-klagomål.docx", "A 54045-2021")</f>
        <v/>
      </c>
      <c r="W54">
        <f>HYPERLINK("https://klasma.github.io/Logging_2081/klagomålsmail/A 54045-2021 FSC-klagomål mail.docx", "A 54045-2021")</f>
        <v/>
      </c>
      <c r="X54">
        <f>HYPERLINK("https://klasma.github.io/Logging_2081/tillsyn/A 54045-2021 tillsynsbegäran.docx", "A 54045-2021")</f>
        <v/>
      </c>
      <c r="Y54">
        <f>HYPERLINK("https://klasma.github.io/Logging_2081/tillsynsmail/A 54045-2021 tillsynsbegäran mail.docx", "A 54045-2021")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45626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13779-2022</t>
        </is>
      </c>
      <c r="B56" s="1" t="n">
        <v>44649</v>
      </c>
      <c r="C56" s="1" t="n">
        <v>45626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HYPERLINK("https://klasma.github.io/Logging_2081/artfynd/A 13779-2022 artfynd.xlsx", "A 13779-2022")</f>
        <v/>
      </c>
      <c r="T56">
        <f>HYPERLINK("https://klasma.github.io/Logging_2081/kartor/A 13779-2022 karta.png", "A 13779-2022")</f>
        <v/>
      </c>
      <c r="V56">
        <f>HYPERLINK("https://klasma.github.io/Logging_2081/klagomål/A 13779-2022 FSC-klagomål.docx", "A 13779-2022")</f>
        <v/>
      </c>
      <c r="W56">
        <f>HYPERLINK("https://klasma.github.io/Logging_2081/klagomålsmail/A 13779-2022 FSC-klagomål mail.docx", "A 13779-2022")</f>
        <v/>
      </c>
      <c r="X56">
        <f>HYPERLINK("https://klasma.github.io/Logging_2081/tillsyn/A 13779-2022 tillsynsbegäran.docx", "A 13779-2022")</f>
        <v/>
      </c>
      <c r="Y56">
        <f>HYPERLINK("https://klasma.github.io/Logging_2081/tillsynsmail/A 13779-2022 tillsynsbegäran mail.docx", "A 13779-2022")</f>
        <v/>
      </c>
      <c r="Z56">
        <f>HYPERLINK("https://klasma.github.io/Logging_2081/fåglar/A 13779-2022 prioriterade fågelarter.docx", "A 13779-2022")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45626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33694-2022</t>
        </is>
      </c>
      <c r="B58" s="1" t="n">
        <v>44789</v>
      </c>
      <c r="C58" s="1" t="n">
        <v>45626</v>
      </c>
      <c r="D58" t="inlineStr">
        <is>
          <t>DALARNAS LÄN</t>
        </is>
      </c>
      <c r="E58" t="inlineStr">
        <is>
          <t>BORLÄNGE</t>
        </is>
      </c>
      <c r="G58" t="n">
        <v>1.2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33694-2022 artfynd.xlsx", "A 33694-2022")</f>
        <v/>
      </c>
      <c r="T58">
        <f>HYPERLINK("https://klasma.github.io/Logging_2081/kartor/A 33694-2022 karta.png", "A 33694-2022")</f>
        <v/>
      </c>
      <c r="U58">
        <f>HYPERLINK("https://klasma.github.io/Logging_2081/knärot/A 33694-2022 karta knärot.png", "A 33694-2022")</f>
        <v/>
      </c>
      <c r="V58">
        <f>HYPERLINK("https://klasma.github.io/Logging_2081/klagomål/A 33694-2022 FSC-klagomål.docx", "A 33694-2022")</f>
        <v/>
      </c>
      <c r="W58">
        <f>HYPERLINK("https://klasma.github.io/Logging_2081/klagomålsmail/A 33694-2022 FSC-klagomål mail.docx", "A 33694-2022")</f>
        <v/>
      </c>
      <c r="X58">
        <f>HYPERLINK("https://klasma.github.io/Logging_2081/tillsyn/A 33694-2022 tillsynsbegäran.docx", "A 33694-2022")</f>
        <v/>
      </c>
      <c r="Y58">
        <f>HYPERLINK("https://klasma.github.io/Logging_2081/tillsynsmail/A 33694-2022 tillsynsbegäran mail.docx", "A 33694-2022")</f>
        <v/>
      </c>
    </row>
    <row r="59" ht="15" customHeight="1">
      <c r="A59" t="inlineStr">
        <is>
          <t>A 35370-2022</t>
        </is>
      </c>
      <c r="B59" s="1" t="n">
        <v>44798</v>
      </c>
      <c r="C59" s="1" t="n">
        <v>45626</v>
      </c>
      <c r="D59" t="inlineStr">
        <is>
          <t>DALARNAS LÄN</t>
        </is>
      </c>
      <c r="E59" t="inlineStr">
        <is>
          <t>BORLÄNGE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35370-2022 artfynd.xlsx", "A 35370-2022")</f>
        <v/>
      </c>
      <c r="T59">
        <f>HYPERLINK("https://klasma.github.io/Logging_2081/kartor/A 35370-2022 karta.png", "A 35370-2022")</f>
        <v/>
      </c>
      <c r="V59">
        <f>HYPERLINK("https://klasma.github.io/Logging_2081/klagomål/A 35370-2022 FSC-klagomål.docx", "A 35370-2022")</f>
        <v/>
      </c>
      <c r="W59">
        <f>HYPERLINK("https://klasma.github.io/Logging_2081/klagomålsmail/A 35370-2022 FSC-klagomål mail.docx", "A 35370-2022")</f>
        <v/>
      </c>
      <c r="X59">
        <f>HYPERLINK("https://klasma.github.io/Logging_2081/tillsyn/A 35370-2022 tillsynsbegäran.docx", "A 35370-2022")</f>
        <v/>
      </c>
      <c r="Y59">
        <f>HYPERLINK("https://klasma.github.io/Logging_2081/tillsynsmail/A 35370-2022 tillsynsbegäran mail.docx", "A 35370-2022")</f>
        <v/>
      </c>
    </row>
    <row r="60" ht="15" customHeight="1">
      <c r="A60" t="inlineStr">
        <is>
          <t>A 35389-2022</t>
        </is>
      </c>
      <c r="B60" s="1" t="n">
        <v>44798</v>
      </c>
      <c r="C60" s="1" t="n">
        <v>45626</v>
      </c>
      <c r="D60" t="inlineStr">
        <is>
          <t>DALARNAS LÄN</t>
        </is>
      </c>
      <c r="E60" t="inlineStr">
        <is>
          <t>BORLÄNGE</t>
        </is>
      </c>
      <c r="G60" t="n">
        <v>0.5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35389-2022 artfynd.xlsx", "A 35389-2022")</f>
        <v/>
      </c>
      <c r="T60">
        <f>HYPERLINK("https://klasma.github.io/Logging_2081/kartor/A 35389-2022 karta.png", "A 35389-2022")</f>
        <v/>
      </c>
      <c r="V60">
        <f>HYPERLINK("https://klasma.github.io/Logging_2081/klagomål/A 35389-2022 FSC-klagomål.docx", "A 35389-2022")</f>
        <v/>
      </c>
      <c r="W60">
        <f>HYPERLINK("https://klasma.github.io/Logging_2081/klagomålsmail/A 35389-2022 FSC-klagomål mail.docx", "A 35389-2022")</f>
        <v/>
      </c>
      <c r="X60">
        <f>HYPERLINK("https://klasma.github.io/Logging_2081/tillsyn/A 35389-2022 tillsynsbegäran.docx", "A 35389-2022")</f>
        <v/>
      </c>
      <c r="Y60">
        <f>HYPERLINK("https://klasma.github.io/Logging_2081/tillsynsmail/A 35389-2022 tillsynsbegäran mail.docx", "A 35389-2022")</f>
        <v/>
      </c>
    </row>
    <row r="61" ht="15" customHeight="1">
      <c r="A61" t="inlineStr">
        <is>
          <t>A 43639-2022</t>
        </is>
      </c>
      <c r="B61" s="1" t="n">
        <v>44837</v>
      </c>
      <c r="C61" s="1" t="n">
        <v>45626</v>
      </c>
      <c r="D61" t="inlineStr">
        <is>
          <t>DALARNAS LÄN</t>
        </is>
      </c>
      <c r="E61" t="inlineStr">
        <is>
          <t>BORLÄNGE</t>
        </is>
      </c>
      <c r="G61" t="n">
        <v>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HYPERLINK("https://klasma.github.io/Logging_2081/artfynd/A 43639-2022 artfynd.xlsx", "A 43639-2022")</f>
        <v/>
      </c>
      <c r="T61">
        <f>HYPERLINK("https://klasma.github.io/Logging_2081/kartor/A 43639-2022 karta.png", "A 43639-2022")</f>
        <v/>
      </c>
      <c r="V61">
        <f>HYPERLINK("https://klasma.github.io/Logging_2081/klagomål/A 43639-2022 FSC-klagomål.docx", "A 43639-2022")</f>
        <v/>
      </c>
      <c r="W61">
        <f>HYPERLINK("https://klasma.github.io/Logging_2081/klagomålsmail/A 43639-2022 FSC-klagomål mail.docx", "A 43639-2022")</f>
        <v/>
      </c>
      <c r="X61">
        <f>HYPERLINK("https://klasma.github.io/Logging_2081/tillsyn/A 43639-2022 tillsynsbegäran.docx", "A 43639-2022")</f>
        <v/>
      </c>
      <c r="Y61">
        <f>HYPERLINK("https://klasma.github.io/Logging_2081/tillsynsmail/A 43639-2022 tillsynsbegäran mail.docx", "A 43639-2022")</f>
        <v/>
      </c>
    </row>
    <row r="62" ht="15" customHeight="1">
      <c r="A62" t="inlineStr">
        <is>
          <t>A 52278-2022</t>
        </is>
      </c>
      <c r="B62" s="1" t="n">
        <v>44869</v>
      </c>
      <c r="C62" s="1" t="n">
        <v>45626</v>
      </c>
      <c r="D62" t="inlineStr">
        <is>
          <t>DALARNAS LÄN</t>
        </is>
      </c>
      <c r="E62" t="inlineStr">
        <is>
          <t>BORLÄNGE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52278-2022 artfynd.xlsx", "A 52278-2022")</f>
        <v/>
      </c>
      <c r="T62">
        <f>HYPERLINK("https://klasma.github.io/Logging_2081/kartor/A 52278-2022 karta.png", "A 52278-2022")</f>
        <v/>
      </c>
      <c r="V62">
        <f>HYPERLINK("https://klasma.github.io/Logging_2081/klagomål/A 52278-2022 FSC-klagomål.docx", "A 52278-2022")</f>
        <v/>
      </c>
      <c r="W62">
        <f>HYPERLINK("https://klasma.github.io/Logging_2081/klagomålsmail/A 52278-2022 FSC-klagomål mail.docx", "A 52278-2022")</f>
        <v/>
      </c>
      <c r="X62">
        <f>HYPERLINK("https://klasma.github.io/Logging_2081/tillsyn/A 52278-2022 tillsynsbegäran.docx", "A 52278-2022")</f>
        <v/>
      </c>
      <c r="Y62">
        <f>HYPERLINK("https://klasma.github.io/Logging_2081/tillsynsmail/A 52278-2022 tillsynsbegäran mail.docx", "A 52278-2022")</f>
        <v/>
      </c>
    </row>
    <row r="63" ht="15" customHeight="1">
      <c r="A63" t="inlineStr">
        <is>
          <t>A 57693-2022</t>
        </is>
      </c>
      <c r="B63" s="1" t="n">
        <v>44897</v>
      </c>
      <c r="C63" s="1" t="n">
        <v>45626</v>
      </c>
      <c r="D63" t="inlineStr">
        <is>
          <t>DALARNAS LÄN</t>
        </is>
      </c>
      <c r="E63" t="inlineStr">
        <is>
          <t>BORLÄNGE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Nästlav</t>
        </is>
      </c>
      <c r="S63">
        <f>HYPERLINK("https://klasma.github.io/Logging_2081/artfynd/A 57693-2022 artfynd.xlsx", "A 57693-2022")</f>
        <v/>
      </c>
      <c r="T63">
        <f>HYPERLINK("https://klasma.github.io/Logging_2081/kartor/A 57693-2022 karta.png", "A 57693-2022")</f>
        <v/>
      </c>
      <c r="V63">
        <f>HYPERLINK("https://klasma.github.io/Logging_2081/klagomål/A 57693-2022 FSC-klagomål.docx", "A 57693-2022")</f>
        <v/>
      </c>
      <c r="W63">
        <f>HYPERLINK("https://klasma.github.io/Logging_2081/klagomålsmail/A 57693-2022 FSC-klagomål mail.docx", "A 57693-2022")</f>
        <v/>
      </c>
      <c r="X63">
        <f>HYPERLINK("https://klasma.github.io/Logging_2081/tillsyn/A 57693-2022 tillsynsbegäran.docx", "A 57693-2022")</f>
        <v/>
      </c>
      <c r="Y63">
        <f>HYPERLINK("https://klasma.github.io/Logging_2081/tillsynsmail/A 57693-2022 tillsynsbegäran mail.docx", "A 57693-2022")</f>
        <v/>
      </c>
    </row>
    <row r="64" ht="15" customHeight="1">
      <c r="A64" t="inlineStr">
        <is>
          <t>A 865-2023</t>
        </is>
      </c>
      <c r="B64" s="1" t="n">
        <v>44931</v>
      </c>
      <c r="C64" s="1" t="n">
        <v>45626</v>
      </c>
      <c r="D64" t="inlineStr">
        <is>
          <t>DALARNAS LÄN</t>
        </is>
      </c>
      <c r="E64" t="inlineStr">
        <is>
          <t>BORLÄNGE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865-2023 artfynd.xlsx", "A 865-2023")</f>
        <v/>
      </c>
      <c r="T64">
        <f>HYPERLINK("https://klasma.github.io/Logging_2081/kartor/A 865-2023 karta.png", "A 865-2023")</f>
        <v/>
      </c>
      <c r="U64">
        <f>HYPERLINK("https://klasma.github.io/Logging_2081/knärot/A 865-2023 karta knärot.png", "A 865-2023")</f>
        <v/>
      </c>
      <c r="V64">
        <f>HYPERLINK("https://klasma.github.io/Logging_2081/klagomål/A 865-2023 FSC-klagomål.docx", "A 865-2023")</f>
        <v/>
      </c>
      <c r="W64">
        <f>HYPERLINK("https://klasma.github.io/Logging_2081/klagomålsmail/A 865-2023 FSC-klagomål mail.docx", "A 865-2023")</f>
        <v/>
      </c>
      <c r="X64">
        <f>HYPERLINK("https://klasma.github.io/Logging_2081/tillsyn/A 865-2023 tillsynsbegäran.docx", "A 865-2023")</f>
        <v/>
      </c>
      <c r="Y64">
        <f>HYPERLINK("https://klasma.github.io/Logging_2081/tillsynsmail/A 865-2023 tillsynsbegäran mail.docx", "A 865-2023")</f>
        <v/>
      </c>
    </row>
    <row r="65" ht="15" customHeight="1">
      <c r="A65" t="inlineStr">
        <is>
          <t>A 11846-2023</t>
        </is>
      </c>
      <c r="B65" s="1" t="n">
        <v>44995</v>
      </c>
      <c r="C65" s="1" t="n">
        <v>45626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HYPERLINK("https://klasma.github.io/Logging_2081/artfynd/A 11846-2023 artfynd.xlsx", "A 11846-2023")</f>
        <v/>
      </c>
      <c r="T65">
        <f>HYPERLINK("https://klasma.github.io/Logging_2081/kartor/A 11846-2023 karta.png", "A 11846-2023")</f>
        <v/>
      </c>
      <c r="V65">
        <f>HYPERLINK("https://klasma.github.io/Logging_2081/klagomål/A 11846-2023 FSC-klagomål.docx", "A 11846-2023")</f>
        <v/>
      </c>
      <c r="W65">
        <f>HYPERLINK("https://klasma.github.io/Logging_2081/klagomålsmail/A 11846-2023 FSC-klagomål mail.docx", "A 11846-2023")</f>
        <v/>
      </c>
      <c r="X65">
        <f>HYPERLINK("https://klasma.github.io/Logging_2081/tillsyn/A 11846-2023 tillsynsbegäran.docx", "A 11846-2023")</f>
        <v/>
      </c>
      <c r="Y65">
        <f>HYPERLINK("https://klasma.github.io/Logging_2081/tillsynsmail/A 11846-2023 tillsynsbegäran mail.docx", "A 11846-2023")</f>
        <v/>
      </c>
    </row>
    <row r="66" ht="15" customHeight="1">
      <c r="A66" t="inlineStr">
        <is>
          <t>A 15196-2023</t>
        </is>
      </c>
      <c r="B66" s="1" t="n">
        <v>45016</v>
      </c>
      <c r="C66" s="1" t="n">
        <v>45626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HYPERLINK("https://klasma.github.io/Logging_2081/artfynd/A 15196-2023 artfynd.xlsx", "A 15196-2023")</f>
        <v/>
      </c>
      <c r="T66">
        <f>HYPERLINK("https://klasma.github.io/Logging_2081/kartor/A 15196-2023 karta.png", "A 15196-2023")</f>
        <v/>
      </c>
      <c r="V66">
        <f>HYPERLINK("https://klasma.github.io/Logging_2081/klagomål/A 15196-2023 FSC-klagomål.docx", "A 15196-2023")</f>
        <v/>
      </c>
      <c r="W66">
        <f>HYPERLINK("https://klasma.github.io/Logging_2081/klagomålsmail/A 15196-2023 FSC-klagomål mail.docx", "A 15196-2023")</f>
        <v/>
      </c>
      <c r="X66">
        <f>HYPERLINK("https://klasma.github.io/Logging_2081/tillsyn/A 15196-2023 tillsynsbegäran.docx", "A 15196-2023")</f>
        <v/>
      </c>
      <c r="Y66">
        <f>HYPERLINK("https://klasma.github.io/Logging_2081/tillsynsmail/A 15196-2023 tillsynsbegäran mail.docx", "A 15196-2023")</f>
        <v/>
      </c>
    </row>
    <row r="67" ht="15" customHeight="1">
      <c r="A67" t="inlineStr">
        <is>
          <t>A 17576-2023</t>
        </is>
      </c>
      <c r="B67" s="1" t="n">
        <v>45036</v>
      </c>
      <c r="C67" s="1" t="n">
        <v>45626</v>
      </c>
      <c r="D67" t="inlineStr">
        <is>
          <t>DALARNAS LÄN</t>
        </is>
      </c>
      <c r="E67" t="inlineStr">
        <is>
          <t>BORLÄNGE</t>
        </is>
      </c>
      <c r="G67" t="n">
        <v>12.6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HYPERLINK("https://klasma.github.io/Logging_2081/artfynd/A 17576-2023 artfynd.xlsx", "A 17576-2023")</f>
        <v/>
      </c>
      <c r="T67">
        <f>HYPERLINK("https://klasma.github.io/Logging_2081/kartor/A 17576-2023 karta.png", "A 17576-2023")</f>
        <v/>
      </c>
      <c r="V67">
        <f>HYPERLINK("https://klasma.github.io/Logging_2081/klagomål/A 17576-2023 FSC-klagomål.docx", "A 17576-2023")</f>
        <v/>
      </c>
      <c r="W67">
        <f>HYPERLINK("https://klasma.github.io/Logging_2081/klagomålsmail/A 17576-2023 FSC-klagomål mail.docx", "A 17576-2023")</f>
        <v/>
      </c>
      <c r="X67">
        <f>HYPERLINK("https://klasma.github.io/Logging_2081/tillsyn/A 17576-2023 tillsynsbegäran.docx", "A 17576-2023")</f>
        <v/>
      </c>
      <c r="Y67">
        <f>HYPERLINK("https://klasma.github.io/Logging_2081/tillsynsmail/A 17576-2023 tillsynsbegäran mail.docx", "A 17576-2023")</f>
        <v/>
      </c>
      <c r="Z67">
        <f>HYPERLINK("https://klasma.github.io/Logging_2081/fåglar/A 17576-2023 prioriterade fågelarter.docx", "A 17576-2023")</f>
        <v/>
      </c>
    </row>
    <row r="68" ht="15" customHeight="1">
      <c r="A68" t="inlineStr">
        <is>
          <t>A 17571-2023</t>
        </is>
      </c>
      <c r="B68" s="1" t="n">
        <v>45036</v>
      </c>
      <c r="C68" s="1" t="n">
        <v>45626</v>
      </c>
      <c r="D68" t="inlineStr">
        <is>
          <t>DALARNAS LÄN</t>
        </is>
      </c>
      <c r="E68" t="inlineStr">
        <is>
          <t>BORLÄNGE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17571-2023 artfynd.xlsx", "A 17571-2023")</f>
        <v/>
      </c>
      <c r="T68">
        <f>HYPERLINK("https://klasma.github.io/Logging_2081/kartor/A 17571-2023 karta.png", "A 17571-2023")</f>
        <v/>
      </c>
      <c r="V68">
        <f>HYPERLINK("https://klasma.github.io/Logging_2081/klagomål/A 17571-2023 FSC-klagomål.docx", "A 17571-2023")</f>
        <v/>
      </c>
      <c r="W68">
        <f>HYPERLINK("https://klasma.github.io/Logging_2081/klagomålsmail/A 17571-2023 FSC-klagomål mail.docx", "A 17571-2023")</f>
        <v/>
      </c>
      <c r="X68">
        <f>HYPERLINK("https://klasma.github.io/Logging_2081/tillsyn/A 17571-2023 tillsynsbegäran.docx", "A 17571-2023")</f>
        <v/>
      </c>
      <c r="Y68">
        <f>HYPERLINK("https://klasma.github.io/Logging_2081/tillsynsmail/A 17571-2023 tillsynsbegäran mail.docx", "A 17571-2023")</f>
        <v/>
      </c>
      <c r="Z68">
        <f>HYPERLINK("https://klasma.github.io/Logging_2081/fåglar/A 17571-2023 prioriterade fågelarter.docx", "A 17571-2023")</f>
        <v/>
      </c>
    </row>
    <row r="69" ht="15" customHeight="1">
      <c r="A69" t="inlineStr">
        <is>
          <t>A 17913-2023</t>
        </is>
      </c>
      <c r="B69" s="1" t="n">
        <v>45040</v>
      </c>
      <c r="C69" s="1" t="n">
        <v>45626</v>
      </c>
      <c r="D69" t="inlineStr">
        <is>
          <t>DALARNAS LÄN</t>
        </is>
      </c>
      <c r="E69" t="inlineStr">
        <is>
          <t>BORLÄNGE</t>
        </is>
      </c>
      <c r="G69" t="n">
        <v>8.800000000000001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17913-2023 artfynd.xlsx", "A 17913-2023")</f>
        <v/>
      </c>
      <c r="T69">
        <f>HYPERLINK("https://klasma.github.io/Logging_2081/kartor/A 17913-2023 karta.png", "A 17913-2023")</f>
        <v/>
      </c>
      <c r="V69">
        <f>HYPERLINK("https://klasma.github.io/Logging_2081/klagomål/A 17913-2023 FSC-klagomål.docx", "A 17913-2023")</f>
        <v/>
      </c>
      <c r="W69">
        <f>HYPERLINK("https://klasma.github.io/Logging_2081/klagomålsmail/A 17913-2023 FSC-klagomål mail.docx", "A 17913-2023")</f>
        <v/>
      </c>
      <c r="X69">
        <f>HYPERLINK("https://klasma.github.io/Logging_2081/tillsyn/A 17913-2023 tillsynsbegäran.docx", "A 17913-2023")</f>
        <v/>
      </c>
      <c r="Y69">
        <f>HYPERLINK("https://klasma.github.io/Logging_2081/tillsynsmail/A 17913-2023 tillsynsbegäran mail.docx", "A 17913-2023")</f>
        <v/>
      </c>
    </row>
    <row r="70" ht="15" customHeight="1">
      <c r="A70" t="inlineStr">
        <is>
          <t>A 20925-2023</t>
        </is>
      </c>
      <c r="B70" s="1" t="n">
        <v>45061</v>
      </c>
      <c r="C70" s="1" t="n">
        <v>45626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20925-2023 artfynd.xlsx", "A 20925-2023")</f>
        <v/>
      </c>
      <c r="T70">
        <f>HYPERLINK("https://klasma.github.io/Logging_2081/kartor/A 20925-2023 karta.png", "A 20925-2023")</f>
        <v/>
      </c>
      <c r="U70">
        <f>HYPERLINK("https://klasma.github.io/Logging_2081/knärot/A 20925-2023 karta knärot.png", "A 20925-2023")</f>
        <v/>
      </c>
      <c r="V70">
        <f>HYPERLINK("https://klasma.github.io/Logging_2081/klagomål/A 20925-2023 FSC-klagomål.docx", "A 20925-2023")</f>
        <v/>
      </c>
      <c r="W70">
        <f>HYPERLINK("https://klasma.github.io/Logging_2081/klagomålsmail/A 20925-2023 FSC-klagomål mail.docx", "A 20925-2023")</f>
        <v/>
      </c>
      <c r="X70">
        <f>HYPERLINK("https://klasma.github.io/Logging_2081/tillsyn/A 20925-2023 tillsynsbegäran.docx", "A 20925-2023")</f>
        <v/>
      </c>
      <c r="Y70">
        <f>HYPERLINK("https://klasma.github.io/Logging_2081/tillsynsmail/A 20925-2023 tillsynsbegäran mail.docx", "A 20925-2023")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45626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22900-2023</t>
        </is>
      </c>
      <c r="B72" s="1" t="n">
        <v>45072</v>
      </c>
      <c r="C72" s="1" t="n">
        <v>45626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HYPERLINK("https://klasma.github.io/Logging_2081/artfynd/A 22900-2023 artfynd.xlsx", "A 22900-2023")</f>
        <v/>
      </c>
      <c r="T72">
        <f>HYPERLINK("https://klasma.github.io/Logging_2081/kartor/A 22900-2023 karta.png", "A 22900-2023")</f>
        <v/>
      </c>
      <c r="V72">
        <f>HYPERLINK("https://klasma.github.io/Logging_2081/klagomål/A 22900-2023 FSC-klagomål.docx", "A 22900-2023")</f>
        <v/>
      </c>
      <c r="W72">
        <f>HYPERLINK("https://klasma.github.io/Logging_2081/klagomålsmail/A 22900-2023 FSC-klagomål mail.docx", "A 22900-2023")</f>
        <v/>
      </c>
      <c r="X72">
        <f>HYPERLINK("https://klasma.github.io/Logging_2081/tillsyn/A 22900-2023 tillsynsbegäran.docx", "A 22900-2023")</f>
        <v/>
      </c>
      <c r="Y72">
        <f>HYPERLINK("https://klasma.github.io/Logging_2081/tillsynsmail/A 22900-2023 tillsynsbegäran mail.docx", "A 22900-2023")</f>
        <v/>
      </c>
    </row>
    <row r="73" ht="15" customHeight="1">
      <c r="A73" t="inlineStr">
        <is>
          <t>A 25763-2023</t>
        </is>
      </c>
      <c r="B73" s="1" t="n">
        <v>45090</v>
      </c>
      <c r="C73" s="1" t="n">
        <v>45626</v>
      </c>
      <c r="D73" t="inlineStr">
        <is>
          <t>DALARNAS LÄN</t>
        </is>
      </c>
      <c r="E73" t="inlineStr">
        <is>
          <t>BORLÄNGE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25763-2023 artfynd.xlsx", "A 25763-2023")</f>
        <v/>
      </c>
      <c r="T73">
        <f>HYPERLINK("https://klasma.github.io/Logging_2081/kartor/A 25763-2023 karta.png", "A 25763-2023")</f>
        <v/>
      </c>
      <c r="V73">
        <f>HYPERLINK("https://klasma.github.io/Logging_2081/klagomål/A 25763-2023 FSC-klagomål.docx", "A 25763-2023")</f>
        <v/>
      </c>
      <c r="W73">
        <f>HYPERLINK("https://klasma.github.io/Logging_2081/klagomålsmail/A 25763-2023 FSC-klagomål mail.docx", "A 25763-2023")</f>
        <v/>
      </c>
      <c r="X73">
        <f>HYPERLINK("https://klasma.github.io/Logging_2081/tillsyn/A 25763-2023 tillsynsbegäran.docx", "A 25763-2023")</f>
        <v/>
      </c>
      <c r="Y73">
        <f>HYPERLINK("https://klasma.github.io/Logging_2081/tillsynsmail/A 25763-2023 tillsynsbegäran mail.docx", "A 25763-2023")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45626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47211-2023</t>
        </is>
      </c>
      <c r="B75" s="1" t="n">
        <v>45202</v>
      </c>
      <c r="C75" s="1" t="n">
        <v>45626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7.4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47211-2023 artfynd.xlsx", "A 47211-2023")</f>
        <v/>
      </c>
      <c r="T75">
        <f>HYPERLINK("https://klasma.github.io/Logging_2081/kartor/A 47211-2023 karta.png", "A 47211-2023")</f>
        <v/>
      </c>
      <c r="U75">
        <f>HYPERLINK("https://klasma.github.io/Logging_2081/knärot/A 47211-2023 karta knärot.png", "A 47211-2023")</f>
        <v/>
      </c>
      <c r="V75">
        <f>HYPERLINK("https://klasma.github.io/Logging_2081/klagomål/A 47211-2023 FSC-klagomål.docx", "A 47211-2023")</f>
        <v/>
      </c>
      <c r="W75">
        <f>HYPERLINK("https://klasma.github.io/Logging_2081/klagomålsmail/A 47211-2023 FSC-klagomål mail.docx", "A 47211-2023")</f>
        <v/>
      </c>
      <c r="X75">
        <f>HYPERLINK("https://klasma.github.io/Logging_2081/tillsyn/A 47211-2023 tillsynsbegäran.docx", "A 47211-2023")</f>
        <v/>
      </c>
      <c r="Y75">
        <f>HYPERLINK("https://klasma.github.io/Logging_2081/tillsynsmail/A 47211-2023 tillsynsbegäran mail.docx", "A 47211-2023")</f>
        <v/>
      </c>
    </row>
    <row r="76" ht="15" customHeight="1">
      <c r="A76" t="inlineStr">
        <is>
          <t>A 58609-2023</t>
        </is>
      </c>
      <c r="B76" s="1" t="n">
        <v>45251</v>
      </c>
      <c r="C76" s="1" t="n">
        <v>45626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HYPERLINK("https://klasma.github.io/Logging_2081/artfynd/A 58609-2023 artfynd.xlsx", "A 58609-2023")</f>
        <v/>
      </c>
      <c r="T76">
        <f>HYPERLINK("https://klasma.github.io/Logging_2081/kartor/A 58609-2023 karta.png", "A 58609-2023")</f>
        <v/>
      </c>
      <c r="V76">
        <f>HYPERLINK("https://klasma.github.io/Logging_2081/klagomål/A 58609-2023 FSC-klagomål.docx", "A 58609-2023")</f>
        <v/>
      </c>
      <c r="W76">
        <f>HYPERLINK("https://klasma.github.io/Logging_2081/klagomålsmail/A 58609-2023 FSC-klagomål mail.docx", "A 58609-2023")</f>
        <v/>
      </c>
      <c r="X76">
        <f>HYPERLINK("https://klasma.github.io/Logging_2081/tillsyn/A 58609-2023 tillsynsbegäran.docx", "A 58609-2023")</f>
        <v/>
      </c>
      <c r="Y76">
        <f>HYPERLINK("https://klasma.github.io/Logging_2081/tillsynsmail/A 58609-2023 tillsynsbegäran mail.docx", "A 58609-2023")</f>
        <v/>
      </c>
    </row>
    <row r="77" ht="15" customHeight="1">
      <c r="A77" t="inlineStr">
        <is>
          <t>A 60150-2023</t>
        </is>
      </c>
      <c r="B77" s="1" t="n">
        <v>45258</v>
      </c>
      <c r="C77" s="1" t="n">
        <v>45626</v>
      </c>
      <c r="D77" t="inlineStr">
        <is>
          <t>DALARNAS LÄN</t>
        </is>
      </c>
      <c r="E77" t="inlineStr">
        <is>
          <t>BORLÄNGE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Trådticka</t>
        </is>
      </c>
      <c r="S77">
        <f>HYPERLINK("https://klasma.github.io/Logging_2081/artfynd/A 60150-2023 artfynd.xlsx", "A 60150-2023")</f>
        <v/>
      </c>
      <c r="T77">
        <f>HYPERLINK("https://klasma.github.io/Logging_2081/kartor/A 60150-2023 karta.png", "A 60150-2023")</f>
        <v/>
      </c>
      <c r="V77">
        <f>HYPERLINK("https://klasma.github.io/Logging_2081/klagomål/A 60150-2023 FSC-klagomål.docx", "A 60150-2023")</f>
        <v/>
      </c>
      <c r="W77">
        <f>HYPERLINK("https://klasma.github.io/Logging_2081/klagomålsmail/A 60150-2023 FSC-klagomål mail.docx", "A 60150-2023")</f>
        <v/>
      </c>
      <c r="X77">
        <f>HYPERLINK("https://klasma.github.io/Logging_2081/tillsyn/A 60150-2023 tillsynsbegäran.docx", "A 60150-2023")</f>
        <v/>
      </c>
      <c r="Y77">
        <f>HYPERLINK("https://klasma.github.io/Logging_2081/tillsynsmail/A 60150-2023 tillsynsbegäran mail.docx", "A 60150-2023")</f>
        <v/>
      </c>
    </row>
    <row r="78" ht="15" customHeight="1">
      <c r="A78" t="inlineStr">
        <is>
          <t>A 1751-2024</t>
        </is>
      </c>
      <c r="B78" s="1" t="n">
        <v>45307</v>
      </c>
      <c r="C78" s="1" t="n">
        <v>45626</v>
      </c>
      <c r="D78" t="inlineStr">
        <is>
          <t>DALARNAS LÄN</t>
        </is>
      </c>
      <c r="E78" t="inlineStr">
        <is>
          <t>BORLÄNGE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1751-2024 artfynd.xlsx", "A 1751-2024")</f>
        <v/>
      </c>
      <c r="T78">
        <f>HYPERLINK("https://klasma.github.io/Logging_2081/kartor/A 1751-2024 karta.png", "A 1751-2024")</f>
        <v/>
      </c>
      <c r="V78">
        <f>HYPERLINK("https://klasma.github.io/Logging_2081/klagomål/A 1751-2024 FSC-klagomål.docx", "A 1751-2024")</f>
        <v/>
      </c>
      <c r="W78">
        <f>HYPERLINK("https://klasma.github.io/Logging_2081/klagomålsmail/A 1751-2024 FSC-klagomål mail.docx", "A 1751-2024")</f>
        <v/>
      </c>
      <c r="X78">
        <f>HYPERLINK("https://klasma.github.io/Logging_2081/tillsyn/A 1751-2024 tillsynsbegäran.docx", "A 1751-2024")</f>
        <v/>
      </c>
      <c r="Y78">
        <f>HYPERLINK("https://klasma.github.io/Logging_2081/tillsynsmail/A 1751-2024 tillsynsbegäran mail.docx", "A 1751-2024")</f>
        <v/>
      </c>
    </row>
    <row r="79" ht="15" customHeight="1">
      <c r="A79" t="inlineStr">
        <is>
          <t>A 18971-2024</t>
        </is>
      </c>
      <c r="B79" s="1" t="n">
        <v>45427</v>
      </c>
      <c r="C79" s="1" t="n">
        <v>45626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18971-2024 artfynd.xlsx", "A 18971-2024")</f>
        <v/>
      </c>
      <c r="T79">
        <f>HYPERLINK("https://klasma.github.io/Logging_2081/kartor/A 18971-2024 karta.png", "A 18971-2024")</f>
        <v/>
      </c>
      <c r="U79">
        <f>HYPERLINK("https://klasma.github.io/Logging_2081/knärot/A 18971-2024 karta knärot.png", "A 18971-2024")</f>
        <v/>
      </c>
      <c r="V79">
        <f>HYPERLINK("https://klasma.github.io/Logging_2081/klagomål/A 18971-2024 FSC-klagomål.docx", "A 18971-2024")</f>
        <v/>
      </c>
      <c r="W79">
        <f>HYPERLINK("https://klasma.github.io/Logging_2081/klagomålsmail/A 18971-2024 FSC-klagomål mail.docx", "A 18971-2024")</f>
        <v/>
      </c>
      <c r="X79">
        <f>HYPERLINK("https://klasma.github.io/Logging_2081/tillsyn/A 18971-2024 tillsynsbegäran.docx", "A 18971-2024")</f>
        <v/>
      </c>
      <c r="Y79">
        <f>HYPERLINK("https://klasma.github.io/Logging_2081/tillsynsmail/A 18971-2024 tillsynsbegäran mail.docx", "A 18971-2024")</f>
        <v/>
      </c>
    </row>
    <row r="80" ht="15" customHeight="1">
      <c r="A80" t="inlineStr">
        <is>
          <t>A 19650-2024</t>
        </is>
      </c>
      <c r="B80" s="1" t="n">
        <v>45432</v>
      </c>
      <c r="C80" s="1" t="n">
        <v>45626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19650-2024 artfynd.xlsx", "A 19650-2024")</f>
        <v/>
      </c>
      <c r="T80">
        <f>HYPERLINK("https://klasma.github.io/Logging_2081/kartor/A 19650-2024 karta.png", "A 19650-2024")</f>
        <v/>
      </c>
      <c r="U80">
        <f>HYPERLINK("https://klasma.github.io/Logging_2081/knärot/A 19650-2024 karta knärot.png", "A 19650-2024")</f>
        <v/>
      </c>
      <c r="V80">
        <f>HYPERLINK("https://klasma.github.io/Logging_2081/klagomål/A 19650-2024 FSC-klagomål.docx", "A 19650-2024")</f>
        <v/>
      </c>
      <c r="W80">
        <f>HYPERLINK("https://klasma.github.io/Logging_2081/klagomålsmail/A 19650-2024 FSC-klagomål mail.docx", "A 19650-2024")</f>
        <v/>
      </c>
      <c r="X80">
        <f>HYPERLINK("https://klasma.github.io/Logging_2081/tillsyn/A 19650-2024 tillsynsbegäran.docx", "A 19650-2024")</f>
        <v/>
      </c>
      <c r="Y80">
        <f>HYPERLINK("https://klasma.github.io/Logging_2081/tillsynsmail/A 19650-2024 tillsynsbegäran mail.docx", "A 19650-2024")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45626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45626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45626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45626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45626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45626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45626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45626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45626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45626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45626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45626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45626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45626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45626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45626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45626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45626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45626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45626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45626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45626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45626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45626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45626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45626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45626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45626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45626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45626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45626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45626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45626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45626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45626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45626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45626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45626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45626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45626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45626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45626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45626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45626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45626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45626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45626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45626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45626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45626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45626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45626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45626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45626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45626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45626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45626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45626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45626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45626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45626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45626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45626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45626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45626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45626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45626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45626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45626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45626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45626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45626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45626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45626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45626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45626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45626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45626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45626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45626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45626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45626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45626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45626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45626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45626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45626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45626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45626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45626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45626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45626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45626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45626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45626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45626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45626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45626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45626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45626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45626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45626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45626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45626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45626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45626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45626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45626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45626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45626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45626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45626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45626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45626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45626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45626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45626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45626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45626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45626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45626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45626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45626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45626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45626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45626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45626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45626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45626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45626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45626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45626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45626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45626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45626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45626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45626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45626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45626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45626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45626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45626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45626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45626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45626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45626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45626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45626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45626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45626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45626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45626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45626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45626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45626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45626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45626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45626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45626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45626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45626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45626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45626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45626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45626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45626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45626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45626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45626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45626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45626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45626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45626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45626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45626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45626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45626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45626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45626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45626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45626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45626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45626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45626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45626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45626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45626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45626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45626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45626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45626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45626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45626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45626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45626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45626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45626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45626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45626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45626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45626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45626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45626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45626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45626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45626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45626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45626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45626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45626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45626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45626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45626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45626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45626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45626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45626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45626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45626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45626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45626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45626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45626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45626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45626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45626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45626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45626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45626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45626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45626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45626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45626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45626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45626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45626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45626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45626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45626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45626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45626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45626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45626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45626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45626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45626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45626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45626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45626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45626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45626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45626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45626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45626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45626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45626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45626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45626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45626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45626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45626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45626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45626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45626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45626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45626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45626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45626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45626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45626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45626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45626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45626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45626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45626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45626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45626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45626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45626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45626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45626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45626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45626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45626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45626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45626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45626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45626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45626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45626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45626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45626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45626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45626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45626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45626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45626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45626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45626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45626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45626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45626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45626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45626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45626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45626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45626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45626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45626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45626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45626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45626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45626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45626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45626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45626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45626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45626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45626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45626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45626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45626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45626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45626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45626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45626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45626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45626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45626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45626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45626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45626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45626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45626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45626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45626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45626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45626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45626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45626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45626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45626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45626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45626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45626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45626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45626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45626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45626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45626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45626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45626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45626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45626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45626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45626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45626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45626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45626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45626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45626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45626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45626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45626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45626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45626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45626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45626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45626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45626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45626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45626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45626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45626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45626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45626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45626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45626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45626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45626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45626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45626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45626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45626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45626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45626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45626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45626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45626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45626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45626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45626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45626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45626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45626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45626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45626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45626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45626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45626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45626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45626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45626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45626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45626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45626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45626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45626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45626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45626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45626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45626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45626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45626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45626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45626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45626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45626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45626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45626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45626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45626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45626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45626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45626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45626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45626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45626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45626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45626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45626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45626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45626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45626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45626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45626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45626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45626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45626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45626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45626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45626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45626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45626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45626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45626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45626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45626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45626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45626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45626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45626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45626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45626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45626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45626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45626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45626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45626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45626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45626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45626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45626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45626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45626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45626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45626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45626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45626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45626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45626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45626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45626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45626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45626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45626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45626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45626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45626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45626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45626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45626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45626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45626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45626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45626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45626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45626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45626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45626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45626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45626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45626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45626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45626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45626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45626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45626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45626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45626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45626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45626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45626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45626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45626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45626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45626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45626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45626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45626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45626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45626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45626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45626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45626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45626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45626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45626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45626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45626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45626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45626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45626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45626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45626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45626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45626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45626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45626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45626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45626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45626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45626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45626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51675-2024</t>
        </is>
      </c>
      <c r="B615" s="1" t="n">
        <v>45607</v>
      </c>
      <c r="C615" s="1" t="n">
        <v>45626</v>
      </c>
      <c r="D615" t="inlineStr">
        <is>
          <t>DALARNAS LÄN</t>
        </is>
      </c>
      <c r="E615" t="inlineStr">
        <is>
          <t>BORLÄNGE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51716-2024</t>
        </is>
      </c>
      <c r="B616" s="1" t="n">
        <v>45607</v>
      </c>
      <c r="C616" s="1" t="n">
        <v>45626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52504-2024</t>
        </is>
      </c>
      <c r="B617" s="1" t="n">
        <v>45609</v>
      </c>
      <c r="C617" s="1" t="n">
        <v>45626</v>
      </c>
      <c r="D617" t="inlineStr">
        <is>
          <t>DALARNAS LÄN</t>
        </is>
      </c>
      <c r="E617" t="inlineStr">
        <is>
          <t>BORLÄNGE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52522-2024</t>
        </is>
      </c>
      <c r="B618" s="1" t="n">
        <v>45609</v>
      </c>
      <c r="C618" s="1" t="n">
        <v>45626</v>
      </c>
      <c r="D618" t="inlineStr">
        <is>
          <t>DALARNAS LÄN</t>
        </is>
      </c>
      <c r="E618" t="inlineStr">
        <is>
          <t>BORLÄNGE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45626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54414-2024</t>
        </is>
      </c>
      <c r="B620" s="1" t="n">
        <v>45617</v>
      </c>
      <c r="C620" s="1" t="n">
        <v>45626</v>
      </c>
      <c r="D620" t="inlineStr">
        <is>
          <t>DALARNAS LÄN</t>
        </is>
      </c>
      <c r="E620" t="inlineStr">
        <is>
          <t>BORLÄNGE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54420-2024</t>
        </is>
      </c>
      <c r="B621" s="1" t="n">
        <v>45617</v>
      </c>
      <c r="C621" s="1" t="n">
        <v>45626</v>
      </c>
      <c r="D621" t="inlineStr">
        <is>
          <t>DALARNAS LÄN</t>
        </is>
      </c>
      <c r="E621" t="inlineStr">
        <is>
          <t>BORLÄNGE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56323-2024</t>
        </is>
      </c>
      <c r="B622" s="1" t="n">
        <v>45624</v>
      </c>
      <c r="C622" s="1" t="n">
        <v>45626</v>
      </c>
      <c r="D622" t="inlineStr">
        <is>
          <t>DALARNAS LÄN</t>
        </is>
      </c>
      <c r="E622" t="inlineStr">
        <is>
          <t>BORLÄNGE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56350-2024</t>
        </is>
      </c>
      <c r="B623" s="1" t="n">
        <v>45624</v>
      </c>
      <c r="C623" s="1" t="n">
        <v>45626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56437-2024</t>
        </is>
      </c>
      <c r="B624" s="1" t="n">
        <v>45625</v>
      </c>
      <c r="C624" s="1" t="n">
        <v>45626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56465-2024</t>
        </is>
      </c>
      <c r="B625" s="1" t="n">
        <v>45625</v>
      </c>
      <c r="C625" s="1" t="n">
        <v>45626</v>
      </c>
      <c r="D625" t="inlineStr">
        <is>
          <t>DALARNAS LÄN</t>
        </is>
      </c>
      <c r="E625" t="inlineStr">
        <is>
          <t>BORLÄNGE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56506-2024</t>
        </is>
      </c>
      <c r="B626" s="1" t="n">
        <v>45625</v>
      </c>
      <c r="C626" s="1" t="n">
        <v>45626</v>
      </c>
      <c r="D626" t="inlineStr">
        <is>
          <t>DALARNAS LÄN</t>
        </is>
      </c>
      <c r="E626" t="inlineStr">
        <is>
          <t>BORLÄNGE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2024-11-30T18:45:00Z</dcterms:created>
  <dcterms:modified xmlns:dcterms="http://purl.org/dc/terms/" xmlns:xsi="http://www.w3.org/2001/XMLSchema-instance" xsi:type="dcterms:W3CDTF">2024-11-30T18:45:00Z</dcterms:modified>
</cp:coreProperties>
</file>