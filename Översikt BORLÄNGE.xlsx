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45633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45633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45633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45633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45633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45633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45633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45633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45633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45633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45633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45633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45633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45633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45633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45633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45633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45633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45633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45633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45633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45633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45633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45633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45633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45633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45633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45633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45633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45633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45633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45633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45633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45633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45633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45633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45633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45633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45633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45633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45633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45633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45633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45633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45633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45633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45633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45633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45633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45633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45633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45633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45633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45633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45633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45633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45633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45633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45633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45633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45633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45633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45633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45633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45633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45633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45633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45633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45633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45633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45633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45633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45633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45633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45633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45633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45633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45633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45633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45633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45633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17996-2019</t>
        </is>
      </c>
      <c r="B83" s="1" t="n">
        <v>43556</v>
      </c>
      <c r="C83" s="1" t="n">
        <v>45633</v>
      </c>
      <c r="D83" t="inlineStr">
        <is>
          <t>DALARNAS LÄN</t>
        </is>
      </c>
      <c r="E83" t="inlineStr">
        <is>
          <t>BORLÄNGE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21707-2019</t>
        </is>
      </c>
      <c r="B84" s="1" t="n">
        <v>43581</v>
      </c>
      <c r="C84" s="1" t="n">
        <v>45633</v>
      </c>
      <c r="D84" t="inlineStr">
        <is>
          <t>DALARNAS LÄN</t>
        </is>
      </c>
      <c r="E84" t="inlineStr">
        <is>
          <t>BORLÄNGE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24586-2019</t>
        </is>
      </c>
      <c r="B85" s="1" t="n">
        <v>43601</v>
      </c>
      <c r="C85" s="1" t="n">
        <v>45633</v>
      </c>
      <c r="D85" t="inlineStr">
        <is>
          <t>DALARNAS LÄN</t>
        </is>
      </c>
      <c r="E85" t="inlineStr">
        <is>
          <t>BORLÄNGE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25421-2019</t>
        </is>
      </c>
      <c r="B86" s="1" t="n">
        <v>43606</v>
      </c>
      <c r="C86" s="1" t="n">
        <v>45633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26874-2019</t>
        </is>
      </c>
      <c r="B87" s="1" t="n">
        <v>43613</v>
      </c>
      <c r="C87" s="1" t="n">
        <v>45633</v>
      </c>
      <c r="D87" t="inlineStr">
        <is>
          <t>DALARNAS LÄN</t>
        </is>
      </c>
      <c r="E87" t="inlineStr">
        <is>
          <t>BORLÄNGE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27062-2019</t>
        </is>
      </c>
      <c r="B88" s="1" t="n">
        <v>43614</v>
      </c>
      <c r="C88" s="1" t="n">
        <v>45633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27009-2019</t>
        </is>
      </c>
      <c r="B89" s="1" t="n">
        <v>43614</v>
      </c>
      <c r="C89" s="1" t="n">
        <v>45633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27008-2019</t>
        </is>
      </c>
      <c r="B90" s="1" t="n">
        <v>43614</v>
      </c>
      <c r="C90" s="1" t="n">
        <v>45633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29697-2019</t>
        </is>
      </c>
      <c r="B91" s="1" t="n">
        <v>43630</v>
      </c>
      <c r="C91" s="1" t="n">
        <v>45633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31833-2019</t>
        </is>
      </c>
      <c r="B92" s="1" t="n">
        <v>43642</v>
      </c>
      <c r="C92" s="1" t="n">
        <v>45633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32826-2019</t>
        </is>
      </c>
      <c r="B93" s="1" t="n">
        <v>43648</v>
      </c>
      <c r="C93" s="1" t="n">
        <v>45633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33003-2019</t>
        </is>
      </c>
      <c r="B94" s="1" t="n">
        <v>43649</v>
      </c>
      <c r="C94" s="1" t="n">
        <v>45633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34992-2019</t>
        </is>
      </c>
      <c r="B95" s="1" t="n">
        <v>43660</v>
      </c>
      <c r="C95" s="1" t="n">
        <v>45633</v>
      </c>
      <c r="D95" t="inlineStr">
        <is>
          <t>DALARNAS LÄN</t>
        </is>
      </c>
      <c r="E95" t="inlineStr">
        <is>
          <t>BORLÄNGE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42531-2019</t>
        </is>
      </c>
      <c r="B96" s="1" t="n">
        <v>43704</v>
      </c>
      <c r="C96" s="1" t="n">
        <v>45633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42540-2019</t>
        </is>
      </c>
      <c r="B97" s="1" t="n">
        <v>43704</v>
      </c>
      <c r="C97" s="1" t="n">
        <v>45633</v>
      </c>
      <c r="D97" t="inlineStr">
        <is>
          <t>DALARNAS LÄN</t>
        </is>
      </c>
      <c r="E97" t="inlineStr">
        <is>
          <t>BORLÄNGE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43835-2019</t>
        </is>
      </c>
      <c r="B98" s="1" t="n">
        <v>43707</v>
      </c>
      <c r="C98" s="1" t="n">
        <v>45633</v>
      </c>
      <c r="D98" t="inlineStr">
        <is>
          <t>DALARNAS LÄN</t>
        </is>
      </c>
      <c r="E98" t="inlineStr">
        <is>
          <t>BORLÄNGE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51019-2019</t>
        </is>
      </c>
      <c r="B99" s="1" t="n">
        <v>43739</v>
      </c>
      <c r="C99" s="1" t="n">
        <v>45633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57297-2019</t>
        </is>
      </c>
      <c r="B100" s="1" t="n">
        <v>43767</v>
      </c>
      <c r="C100" s="1" t="n">
        <v>45633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57618-2019</t>
        </is>
      </c>
      <c r="B101" s="1" t="n">
        <v>43768</v>
      </c>
      <c r="C101" s="1" t="n">
        <v>45633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61107-2019</t>
        </is>
      </c>
      <c r="B102" s="1" t="n">
        <v>43782</v>
      </c>
      <c r="C102" s="1" t="n">
        <v>45633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61288-2019</t>
        </is>
      </c>
      <c r="B103" s="1" t="n">
        <v>43783</v>
      </c>
      <c r="C103" s="1" t="n">
        <v>45633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66563-2019</t>
        </is>
      </c>
      <c r="B104" s="1" t="n">
        <v>43803</v>
      </c>
      <c r="C104" s="1" t="n">
        <v>45633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66159-2019</t>
        </is>
      </c>
      <c r="B105" s="1" t="n">
        <v>43808</v>
      </c>
      <c r="C105" s="1" t="n">
        <v>45633</v>
      </c>
      <c r="D105" t="inlineStr">
        <is>
          <t>DALARNAS LÄN</t>
        </is>
      </c>
      <c r="E105" t="inlineStr">
        <is>
          <t>BORLÄNGE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67435-2019</t>
        </is>
      </c>
      <c r="B106" s="1" t="n">
        <v>43812</v>
      </c>
      <c r="C106" s="1" t="n">
        <v>45633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9309-2020</t>
        </is>
      </c>
      <c r="B107" s="1" t="n">
        <v>43880</v>
      </c>
      <c r="C107" s="1" t="n">
        <v>45633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11590-2020</t>
        </is>
      </c>
      <c r="B108" s="1" t="n">
        <v>43893</v>
      </c>
      <c r="C108" s="1" t="n">
        <v>45633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13404-2020</t>
        </is>
      </c>
      <c r="B109" s="1" t="n">
        <v>43902</v>
      </c>
      <c r="C109" s="1" t="n">
        <v>45633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14736-2020</t>
        </is>
      </c>
      <c r="B110" s="1" t="n">
        <v>43909</v>
      </c>
      <c r="C110" s="1" t="n">
        <v>45633</v>
      </c>
      <c r="D110" t="inlineStr">
        <is>
          <t>DALARNAS LÄN</t>
        </is>
      </c>
      <c r="E110" t="inlineStr">
        <is>
          <t>BORLÄNGE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15089-2020</t>
        </is>
      </c>
      <c r="B111" s="1" t="n">
        <v>43910</v>
      </c>
      <c r="C111" s="1" t="n">
        <v>45633</v>
      </c>
      <c r="D111" t="inlineStr">
        <is>
          <t>DALARNAS LÄN</t>
        </is>
      </c>
      <c r="E111" t="inlineStr">
        <is>
          <t>BORLÄNGE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16404-2020</t>
        </is>
      </c>
      <c r="B112" s="1" t="n">
        <v>43918</v>
      </c>
      <c r="C112" s="1" t="n">
        <v>45633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18108-2020</t>
        </is>
      </c>
      <c r="B113" s="1" t="n">
        <v>43927</v>
      </c>
      <c r="C113" s="1" t="n">
        <v>45633</v>
      </c>
      <c r="D113" t="inlineStr">
        <is>
          <t>DALARNAS LÄN</t>
        </is>
      </c>
      <c r="E113" t="inlineStr">
        <is>
          <t>BORLÄNGE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19446-2020</t>
        </is>
      </c>
      <c r="B114" s="1" t="n">
        <v>43938</v>
      </c>
      <c r="C114" s="1" t="n">
        <v>45633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19667-2020</t>
        </is>
      </c>
      <c r="B115" s="1" t="n">
        <v>43941</v>
      </c>
      <c r="C115" s="1" t="n">
        <v>45633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20501-2020</t>
        </is>
      </c>
      <c r="B116" s="1" t="n">
        <v>43948</v>
      </c>
      <c r="C116" s="1" t="n">
        <v>45633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21684-2020</t>
        </is>
      </c>
      <c r="B117" s="1" t="n">
        <v>43957</v>
      </c>
      <c r="C117" s="1" t="n">
        <v>45633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23998-2020</t>
        </is>
      </c>
      <c r="B118" s="1" t="n">
        <v>43971</v>
      </c>
      <c r="C118" s="1" t="n">
        <v>45633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27064-2020</t>
        </is>
      </c>
      <c r="B119" s="1" t="n">
        <v>43991</v>
      </c>
      <c r="C119" s="1" t="n">
        <v>45633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39449-2020</t>
        </is>
      </c>
      <c r="B120" s="1" t="n">
        <v>44064</v>
      </c>
      <c r="C120" s="1" t="n">
        <v>45633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44111-2020</t>
        </is>
      </c>
      <c r="B121" s="1" t="n">
        <v>44083</v>
      </c>
      <c r="C121" s="1" t="n">
        <v>45633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44118-2020</t>
        </is>
      </c>
      <c r="B122" s="1" t="n">
        <v>44083</v>
      </c>
      <c r="C122" s="1" t="n">
        <v>45633</v>
      </c>
      <c r="D122" t="inlineStr">
        <is>
          <t>DALARNAS LÄN</t>
        </is>
      </c>
      <c r="E122" t="inlineStr">
        <is>
          <t>BORLÄNGE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50164-2020</t>
        </is>
      </c>
      <c r="B123" s="1" t="n">
        <v>44104</v>
      </c>
      <c r="C123" s="1" t="n">
        <v>45633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49348-2020</t>
        </is>
      </c>
      <c r="B124" s="1" t="n">
        <v>44105</v>
      </c>
      <c r="C124" s="1" t="n">
        <v>45633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50459-2020</t>
        </is>
      </c>
      <c r="B125" s="1" t="n">
        <v>44110</v>
      </c>
      <c r="C125" s="1" t="n">
        <v>45633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50437-2020</t>
        </is>
      </c>
      <c r="B126" s="1" t="n">
        <v>44110</v>
      </c>
      <c r="C126" s="1" t="n">
        <v>45633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50496-2020</t>
        </is>
      </c>
      <c r="B127" s="1" t="n">
        <v>44110</v>
      </c>
      <c r="C127" s="1" t="n">
        <v>45633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50441-2020</t>
        </is>
      </c>
      <c r="B128" s="1" t="n">
        <v>44110</v>
      </c>
      <c r="C128" s="1" t="n">
        <v>45633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52515-2020</t>
        </is>
      </c>
      <c r="B129" s="1" t="n">
        <v>44118</v>
      </c>
      <c r="C129" s="1" t="n">
        <v>45633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52957-2020</t>
        </is>
      </c>
      <c r="B130" s="1" t="n">
        <v>44120</v>
      </c>
      <c r="C130" s="1" t="n">
        <v>45633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52943-2020</t>
        </is>
      </c>
      <c r="B131" s="1" t="n">
        <v>44120</v>
      </c>
      <c r="C131" s="1" t="n">
        <v>45633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55730-2020</t>
        </is>
      </c>
      <c r="B132" s="1" t="n">
        <v>44132</v>
      </c>
      <c r="C132" s="1" t="n">
        <v>45633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58625-2020</t>
        </is>
      </c>
      <c r="B133" s="1" t="n">
        <v>44145</v>
      </c>
      <c r="C133" s="1" t="n">
        <v>45633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59228-2020</t>
        </is>
      </c>
      <c r="B134" s="1" t="n">
        <v>44147</v>
      </c>
      <c r="C134" s="1" t="n">
        <v>45633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60899-2020</t>
        </is>
      </c>
      <c r="B135" s="1" t="n">
        <v>44154</v>
      </c>
      <c r="C135" s="1" t="n">
        <v>45633</v>
      </c>
      <c r="D135" t="inlineStr">
        <is>
          <t>DALARNAS LÄN</t>
        </is>
      </c>
      <c r="E135" t="inlineStr">
        <is>
          <t>BORLÄNGE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64036-2020</t>
        </is>
      </c>
      <c r="B136" s="1" t="n">
        <v>44167</v>
      </c>
      <c r="C136" s="1" t="n">
        <v>45633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64051-2020</t>
        </is>
      </c>
      <c r="B137" s="1" t="n">
        <v>44167</v>
      </c>
      <c r="C137" s="1" t="n">
        <v>45633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64260-2020</t>
        </is>
      </c>
      <c r="B138" s="1" t="n">
        <v>44168</v>
      </c>
      <c r="C138" s="1" t="n">
        <v>45633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64934-2020</t>
        </is>
      </c>
      <c r="B139" s="1" t="n">
        <v>44172</v>
      </c>
      <c r="C139" s="1" t="n">
        <v>45633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65908-2020</t>
        </is>
      </c>
      <c r="B140" s="1" t="n">
        <v>44174</v>
      </c>
      <c r="C140" s="1" t="n">
        <v>45633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599-2021</t>
        </is>
      </c>
      <c r="B141" s="1" t="n">
        <v>44203</v>
      </c>
      <c r="C141" s="1" t="n">
        <v>45633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3964-2021</t>
        </is>
      </c>
      <c r="B142" s="1" t="n">
        <v>44222</v>
      </c>
      <c r="C142" s="1" t="n">
        <v>45633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5058-2021</t>
        </is>
      </c>
      <c r="B143" s="1" t="n">
        <v>44228</v>
      </c>
      <c r="C143" s="1" t="n">
        <v>45633</v>
      </c>
      <c r="D143" t="inlineStr">
        <is>
          <t>DALARNAS LÄN</t>
        </is>
      </c>
      <c r="E143" t="inlineStr">
        <is>
          <t>BORLÄNGE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8208-2021</t>
        </is>
      </c>
      <c r="B144" s="1" t="n">
        <v>44244</v>
      </c>
      <c r="C144" s="1" t="n">
        <v>45633</v>
      </c>
      <c r="D144" t="inlineStr">
        <is>
          <t>DALARNAS LÄN</t>
        </is>
      </c>
      <c r="E144" t="inlineStr">
        <is>
          <t>BORLÄNGE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11568-2021</t>
        </is>
      </c>
      <c r="B145" s="1" t="n">
        <v>44264</v>
      </c>
      <c r="C145" s="1" t="n">
        <v>45633</v>
      </c>
      <c r="D145" t="inlineStr">
        <is>
          <t>DALARNAS LÄN</t>
        </is>
      </c>
      <c r="E145" t="inlineStr">
        <is>
          <t>BORLÄNGE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</v>
      </c>
      <c r="C146" s="1" t="n">
        <v>45633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13702-2021</t>
        </is>
      </c>
      <c r="B147" s="1" t="n">
        <v>44274</v>
      </c>
      <c r="C147" s="1" t="n">
        <v>45633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14432-2021</t>
        </is>
      </c>
      <c r="B148" s="1" t="n">
        <v>44279</v>
      </c>
      <c r="C148" s="1" t="n">
        <v>45633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14691-2021</t>
        </is>
      </c>
      <c r="B149" s="1" t="n">
        <v>44280</v>
      </c>
      <c r="C149" s="1" t="n">
        <v>45633</v>
      </c>
      <c r="D149" t="inlineStr">
        <is>
          <t>DALARNAS LÄN</t>
        </is>
      </c>
      <c r="E149" t="inlineStr">
        <is>
          <t>BORLÄNGE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45633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15786-2021</t>
        </is>
      </c>
      <c r="B151" s="1" t="n">
        <v>44286</v>
      </c>
      <c r="C151" s="1" t="n">
        <v>45633</v>
      </c>
      <c r="D151" t="inlineStr">
        <is>
          <t>DALARNAS LÄN</t>
        </is>
      </c>
      <c r="E151" t="inlineStr">
        <is>
          <t>BORLÄNGE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15979-2021</t>
        </is>
      </c>
      <c r="B152" s="1" t="n">
        <v>44287</v>
      </c>
      <c r="C152" s="1" t="n">
        <v>45633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16377-2021</t>
        </is>
      </c>
      <c r="B153" s="1" t="n">
        <v>44293</v>
      </c>
      <c r="C153" s="1" t="n">
        <v>45633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16413-2021</t>
        </is>
      </c>
      <c r="B154" s="1" t="n">
        <v>44293</v>
      </c>
      <c r="C154" s="1" t="n">
        <v>45633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16711-2021</t>
        </is>
      </c>
      <c r="B155" s="1" t="n">
        <v>44294</v>
      </c>
      <c r="C155" s="1" t="n">
        <v>45633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16706-2021</t>
        </is>
      </c>
      <c r="B156" s="1" t="n">
        <v>44294</v>
      </c>
      <c r="C156" s="1" t="n">
        <v>45633</v>
      </c>
      <c r="D156" t="inlineStr">
        <is>
          <t>DALARNAS LÄN</t>
        </is>
      </c>
      <c r="E156" t="inlineStr">
        <is>
          <t>BORLÄNGE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17204-2021</t>
        </is>
      </c>
      <c r="B157" s="1" t="n">
        <v>44298</v>
      </c>
      <c r="C157" s="1" t="n">
        <v>45633</v>
      </c>
      <c r="D157" t="inlineStr">
        <is>
          <t>DALARNAS LÄN</t>
        </is>
      </c>
      <c r="E157" t="inlineStr">
        <is>
          <t>BORLÄNGE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17572-2021</t>
        </is>
      </c>
      <c r="B158" s="1" t="n">
        <v>44299</v>
      </c>
      <c r="C158" s="1" t="n">
        <v>45633</v>
      </c>
      <c r="D158" t="inlineStr">
        <is>
          <t>DALARNAS LÄN</t>
        </is>
      </c>
      <c r="E158" t="inlineStr">
        <is>
          <t>BORLÄNGE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17887-2021</t>
        </is>
      </c>
      <c r="B159" s="1" t="n">
        <v>44301</v>
      </c>
      <c r="C159" s="1" t="n">
        <v>45633</v>
      </c>
      <c r="D159" t="inlineStr">
        <is>
          <t>DALARNAS LÄN</t>
        </is>
      </c>
      <c r="E159" t="inlineStr">
        <is>
          <t>BORLÄNGE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18393-2021</t>
        </is>
      </c>
      <c r="B160" s="1" t="n">
        <v>44305</v>
      </c>
      <c r="C160" s="1" t="n">
        <v>45633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18481-2021</t>
        </is>
      </c>
      <c r="B161" s="1" t="n">
        <v>44306</v>
      </c>
      <c r="C161" s="1" t="n">
        <v>45633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18715-2021</t>
        </is>
      </c>
      <c r="B162" s="1" t="n">
        <v>44307</v>
      </c>
      <c r="C162" s="1" t="n">
        <v>45633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19096-2021</t>
        </is>
      </c>
      <c r="B163" s="1" t="n">
        <v>44308</v>
      </c>
      <c r="C163" s="1" t="n">
        <v>45633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20052-2021</t>
        </is>
      </c>
      <c r="B164" s="1" t="n">
        <v>44314</v>
      </c>
      <c r="C164" s="1" t="n">
        <v>45633</v>
      </c>
      <c r="D164" t="inlineStr">
        <is>
          <t>DALARNAS LÄN</t>
        </is>
      </c>
      <c r="E164" t="inlineStr">
        <is>
          <t>BORLÄNGE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24317-2021</t>
        </is>
      </c>
      <c r="B165" s="1" t="n">
        <v>44337</v>
      </c>
      <c r="C165" s="1" t="n">
        <v>45633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24284-2021</t>
        </is>
      </c>
      <c r="B166" s="1" t="n">
        <v>44337</v>
      </c>
      <c r="C166" s="1" t="n">
        <v>45633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24438-2021</t>
        </is>
      </c>
      <c r="B167" s="1" t="n">
        <v>44337</v>
      </c>
      <c r="C167" s="1" t="n">
        <v>45633</v>
      </c>
      <c r="D167" t="inlineStr">
        <is>
          <t>DALARNAS LÄN</t>
        </is>
      </c>
      <c r="E167" t="inlineStr">
        <is>
          <t>BORLÄNGE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24426-2021</t>
        </is>
      </c>
      <c r="B168" s="1" t="n">
        <v>44337</v>
      </c>
      <c r="C168" s="1" t="n">
        <v>45633</v>
      </c>
      <c r="D168" t="inlineStr">
        <is>
          <t>DALARNAS LÄN</t>
        </is>
      </c>
      <c r="E168" t="inlineStr">
        <is>
          <t>BORLÄNGE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24961-2021</t>
        </is>
      </c>
      <c r="B169" s="1" t="n">
        <v>44341</v>
      </c>
      <c r="C169" s="1" t="n">
        <v>45633</v>
      </c>
      <c r="D169" t="inlineStr">
        <is>
          <t>DALARNAS LÄN</t>
        </is>
      </c>
      <c r="E169" t="inlineStr">
        <is>
          <t>BORLÄNGE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24992-2021</t>
        </is>
      </c>
      <c r="B170" s="1" t="n">
        <v>44341</v>
      </c>
      <c r="C170" s="1" t="n">
        <v>45633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24949-2021</t>
        </is>
      </c>
      <c r="B171" s="1" t="n">
        <v>44341</v>
      </c>
      <c r="C171" s="1" t="n">
        <v>45633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25296-2021</t>
        </is>
      </c>
      <c r="B172" s="1" t="n">
        <v>44342</v>
      </c>
      <c r="C172" s="1" t="n">
        <v>45633</v>
      </c>
      <c r="D172" t="inlineStr">
        <is>
          <t>DALARNAS LÄN</t>
        </is>
      </c>
      <c r="E172" t="inlineStr">
        <is>
          <t>BORLÄNGE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27853-2021</t>
        </is>
      </c>
      <c r="B173" s="1" t="n">
        <v>44354</v>
      </c>
      <c r="C173" s="1" t="n">
        <v>45633</v>
      </c>
      <c r="D173" t="inlineStr">
        <is>
          <t>DALARNAS LÄN</t>
        </is>
      </c>
      <c r="E173" t="inlineStr">
        <is>
          <t>BORLÄNGE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28395-2021</t>
        </is>
      </c>
      <c r="B174" s="1" t="n">
        <v>44356</v>
      </c>
      <c r="C174" s="1" t="n">
        <v>45633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29135-2021</t>
        </is>
      </c>
      <c r="B175" s="1" t="n">
        <v>44358</v>
      </c>
      <c r="C175" s="1" t="n">
        <v>45633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29305-2021</t>
        </is>
      </c>
      <c r="B176" s="1" t="n">
        <v>44361</v>
      </c>
      <c r="C176" s="1" t="n">
        <v>45633</v>
      </c>
      <c r="D176" t="inlineStr">
        <is>
          <t>DALARNAS LÄN</t>
        </is>
      </c>
      <c r="E176" t="inlineStr">
        <is>
          <t>BORLÄNGE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32181-2021</t>
        </is>
      </c>
      <c r="B177" s="1" t="n">
        <v>44371</v>
      </c>
      <c r="C177" s="1" t="n">
        <v>45633</v>
      </c>
      <c r="D177" t="inlineStr">
        <is>
          <t>DALARNAS LÄN</t>
        </is>
      </c>
      <c r="E177" t="inlineStr">
        <is>
          <t>BORLÄNGE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32206-2021</t>
        </is>
      </c>
      <c r="B178" s="1" t="n">
        <v>44371</v>
      </c>
      <c r="C178" s="1" t="n">
        <v>45633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32977-2021</t>
        </is>
      </c>
      <c r="B179" s="1" t="n">
        <v>44376</v>
      </c>
      <c r="C179" s="1" t="n">
        <v>45633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33460-2021</t>
        </is>
      </c>
      <c r="B180" s="1" t="n">
        <v>44377</v>
      </c>
      <c r="C180" s="1" t="n">
        <v>45633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34107-2021</t>
        </is>
      </c>
      <c r="B181" s="1" t="n">
        <v>44379</v>
      </c>
      <c r="C181" s="1" t="n">
        <v>45633</v>
      </c>
      <c r="D181" t="inlineStr">
        <is>
          <t>DALARNAS LÄN</t>
        </is>
      </c>
      <c r="E181" t="inlineStr">
        <is>
          <t>BORLÄNGE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34087-2021</t>
        </is>
      </c>
      <c r="B182" s="1" t="n">
        <v>44379</v>
      </c>
      <c r="C182" s="1" t="n">
        <v>45633</v>
      </c>
      <c r="D182" t="inlineStr">
        <is>
          <t>DALARNAS LÄN</t>
        </is>
      </c>
      <c r="E182" t="inlineStr">
        <is>
          <t>BORLÄNGE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35237-2021</t>
        </is>
      </c>
      <c r="B183" s="1" t="n">
        <v>44384</v>
      </c>
      <c r="C183" s="1" t="n">
        <v>45633</v>
      </c>
      <c r="D183" t="inlineStr">
        <is>
          <t>DALARNAS LÄN</t>
        </is>
      </c>
      <c r="E183" t="inlineStr">
        <is>
          <t>BORLÄNGE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36349-2021</t>
        </is>
      </c>
      <c r="B184" s="1" t="n">
        <v>44384</v>
      </c>
      <c r="C184" s="1" t="n">
        <v>45633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36356-2021</t>
        </is>
      </c>
      <c r="B185" s="1" t="n">
        <v>44384</v>
      </c>
      <c r="C185" s="1" t="n">
        <v>45633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36269-2021</t>
        </is>
      </c>
      <c r="B186" s="1" t="n">
        <v>44389</v>
      </c>
      <c r="C186" s="1" t="n">
        <v>45633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36261-2021</t>
        </is>
      </c>
      <c r="B187" s="1" t="n">
        <v>44389</v>
      </c>
      <c r="C187" s="1" t="n">
        <v>45633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36863-2021</t>
        </is>
      </c>
      <c r="B188" s="1" t="n">
        <v>44393</v>
      </c>
      <c r="C188" s="1" t="n">
        <v>45633</v>
      </c>
      <c r="D188" t="inlineStr">
        <is>
          <t>DALARNAS LÄN</t>
        </is>
      </c>
      <c r="E188" t="inlineStr">
        <is>
          <t>BORLÄNGE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36860-2021</t>
        </is>
      </c>
      <c r="B189" s="1" t="n">
        <v>44393</v>
      </c>
      <c r="C189" s="1" t="n">
        <v>45633</v>
      </c>
      <c r="D189" t="inlineStr">
        <is>
          <t>DALARNAS LÄN</t>
        </is>
      </c>
      <c r="E189" t="inlineStr">
        <is>
          <t>BORLÄNGE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37534-2021</t>
        </is>
      </c>
      <c r="B190" s="1" t="n">
        <v>44399</v>
      </c>
      <c r="C190" s="1" t="n">
        <v>45633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37535-2021</t>
        </is>
      </c>
      <c r="B191" s="1" t="n">
        <v>44399</v>
      </c>
      <c r="C191" s="1" t="n">
        <v>45633</v>
      </c>
      <c r="D191" t="inlineStr">
        <is>
          <t>DALARNAS LÄN</t>
        </is>
      </c>
      <c r="E191" t="inlineStr">
        <is>
          <t>BORLÄNGE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39970-2021</t>
        </is>
      </c>
      <c r="B192" s="1" t="n">
        <v>44417</v>
      </c>
      <c r="C192" s="1" t="n">
        <v>45633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40570-2021</t>
        </is>
      </c>
      <c r="B193" s="1" t="n">
        <v>44420</v>
      </c>
      <c r="C193" s="1" t="n">
        <v>45633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40922-2021</t>
        </is>
      </c>
      <c r="B194" s="1" t="n">
        <v>44421</v>
      </c>
      <c r="C194" s="1" t="n">
        <v>45633</v>
      </c>
      <c r="D194" t="inlineStr">
        <is>
          <t>DALARNAS LÄN</t>
        </is>
      </c>
      <c r="E194" t="inlineStr">
        <is>
          <t>BORLÄNGE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41636-2021</t>
        </is>
      </c>
      <c r="B195" s="1" t="n">
        <v>44425</v>
      </c>
      <c r="C195" s="1" t="n">
        <v>45633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41705-2021</t>
        </is>
      </c>
      <c r="B196" s="1" t="n">
        <v>44425</v>
      </c>
      <c r="C196" s="1" t="n">
        <v>45633</v>
      </c>
      <c r="D196" t="inlineStr">
        <is>
          <t>DALARNAS LÄN</t>
        </is>
      </c>
      <c r="E196" t="inlineStr">
        <is>
          <t>BORLÄNGE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41857-2021</t>
        </is>
      </c>
      <c r="B197" s="1" t="n">
        <v>44426</v>
      </c>
      <c r="C197" s="1" t="n">
        <v>45633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42117-2021</t>
        </is>
      </c>
      <c r="B198" s="1" t="n">
        <v>44426</v>
      </c>
      <c r="C198" s="1" t="n">
        <v>45633</v>
      </c>
      <c r="D198" t="inlineStr">
        <is>
          <t>DALARNAS LÄN</t>
        </is>
      </c>
      <c r="E198" t="inlineStr">
        <is>
          <t>BORLÄNGE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42478-2021</t>
        </is>
      </c>
      <c r="B199" s="1" t="n">
        <v>44427</v>
      </c>
      <c r="C199" s="1" t="n">
        <v>45633</v>
      </c>
      <c r="D199" t="inlineStr">
        <is>
          <t>DALARNAS LÄN</t>
        </is>
      </c>
      <c r="E199" t="inlineStr">
        <is>
          <t>BORLÄNGE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43531-2021</t>
        </is>
      </c>
      <c r="B200" s="1" t="n">
        <v>44433</v>
      </c>
      <c r="C200" s="1" t="n">
        <v>45633</v>
      </c>
      <c r="D200" t="inlineStr">
        <is>
          <t>DALARNAS LÄN</t>
        </is>
      </c>
      <c r="E200" t="inlineStr">
        <is>
          <t>BORLÄNGE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43944-2021</t>
        </is>
      </c>
      <c r="B201" s="1" t="n">
        <v>44434</v>
      </c>
      <c r="C201" s="1" t="n">
        <v>45633</v>
      </c>
      <c r="D201" t="inlineStr">
        <is>
          <t>DALARNAS LÄN</t>
        </is>
      </c>
      <c r="E201" t="inlineStr">
        <is>
          <t>BORLÄNGE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44422-2021</t>
        </is>
      </c>
      <c r="B202" s="1" t="n">
        <v>44435</v>
      </c>
      <c r="C202" s="1" t="n">
        <v>45633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45083-2021</t>
        </is>
      </c>
      <c r="B203" s="1" t="n">
        <v>44438</v>
      </c>
      <c r="C203" s="1" t="n">
        <v>45633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50325-2021</t>
        </is>
      </c>
      <c r="B204" s="1" t="n">
        <v>44438</v>
      </c>
      <c r="C204" s="1" t="n">
        <v>45633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50418-2021</t>
        </is>
      </c>
      <c r="B205" s="1" t="n">
        <v>44438</v>
      </c>
      <c r="C205" s="1" t="n">
        <v>45633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45078-2021</t>
        </is>
      </c>
      <c r="B206" s="1" t="n">
        <v>44439</v>
      </c>
      <c r="C206" s="1" t="n">
        <v>45633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45085-2021</t>
        </is>
      </c>
      <c r="B207" s="1" t="n">
        <v>44439</v>
      </c>
      <c r="C207" s="1" t="n">
        <v>45633</v>
      </c>
      <c r="D207" t="inlineStr">
        <is>
          <t>DALARNAS LÄN</t>
        </is>
      </c>
      <c r="E207" t="inlineStr">
        <is>
          <t>BORLÄNGE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45755-2021</t>
        </is>
      </c>
      <c r="B208" s="1" t="n">
        <v>44441</v>
      </c>
      <c r="C208" s="1" t="n">
        <v>45633</v>
      </c>
      <c r="D208" t="inlineStr">
        <is>
          <t>DALARNAS LÄN</t>
        </is>
      </c>
      <c r="E208" t="inlineStr">
        <is>
          <t>BORLÄNGE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48450-2021</t>
        </is>
      </c>
      <c r="B209" s="1" t="n">
        <v>44452</v>
      </c>
      <c r="C209" s="1" t="n">
        <v>45633</v>
      </c>
      <c r="D209" t="inlineStr">
        <is>
          <t>DALARNAS LÄN</t>
        </is>
      </c>
      <c r="E209" t="inlineStr">
        <is>
          <t>BORLÄNGE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48493-2021</t>
        </is>
      </c>
      <c r="B210" s="1" t="n">
        <v>44452</v>
      </c>
      <c r="C210" s="1" t="n">
        <v>45633</v>
      </c>
      <c r="D210" t="inlineStr">
        <is>
          <t>DALARNAS LÄN</t>
        </is>
      </c>
      <c r="E210" t="inlineStr">
        <is>
          <t>BORLÄNGE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48511-2021</t>
        </is>
      </c>
      <c r="B211" s="1" t="n">
        <v>44452</v>
      </c>
      <c r="C211" s="1" t="n">
        <v>45633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49737-2021</t>
        </is>
      </c>
      <c r="B212" s="1" t="n">
        <v>44454</v>
      </c>
      <c r="C212" s="1" t="n">
        <v>45633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50259-2021</t>
        </is>
      </c>
      <c r="B213" s="1" t="n">
        <v>44458</v>
      </c>
      <c r="C213" s="1" t="n">
        <v>45633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51308-2021</t>
        </is>
      </c>
      <c r="B214" s="1" t="n">
        <v>44461</v>
      </c>
      <c r="C214" s="1" t="n">
        <v>45633</v>
      </c>
      <c r="D214" t="inlineStr">
        <is>
          <t>DALARNAS LÄN</t>
        </is>
      </c>
      <c r="E214" t="inlineStr">
        <is>
          <t>BORLÄNGE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51527-2021</t>
        </is>
      </c>
      <c r="B215" s="1" t="n">
        <v>44462</v>
      </c>
      <c r="C215" s="1" t="n">
        <v>45633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52681-2021</t>
        </is>
      </c>
      <c r="B216" s="1" t="n">
        <v>44466</v>
      </c>
      <c r="C216" s="1" t="n">
        <v>45633</v>
      </c>
      <c r="D216" t="inlineStr">
        <is>
          <t>DALARNAS LÄN</t>
        </is>
      </c>
      <c r="E216" t="inlineStr">
        <is>
          <t>BORLÄNGE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53092-2021</t>
        </is>
      </c>
      <c r="B217" s="1" t="n">
        <v>44467</v>
      </c>
      <c r="C217" s="1" t="n">
        <v>45633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53455-2021</t>
        </is>
      </c>
      <c r="B218" s="1" t="n">
        <v>44468</v>
      </c>
      <c r="C218" s="1" t="n">
        <v>45633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54697-2021</t>
        </is>
      </c>
      <c r="B219" s="1" t="n">
        <v>44473</v>
      </c>
      <c r="C219" s="1" t="n">
        <v>45633</v>
      </c>
      <c r="D219" t="inlineStr">
        <is>
          <t>DALARNAS LÄN</t>
        </is>
      </c>
      <c r="E219" t="inlineStr">
        <is>
          <t>BORLÄNGE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55525-2021</t>
        </is>
      </c>
      <c r="B220" s="1" t="n">
        <v>44475</v>
      </c>
      <c r="C220" s="1" t="n">
        <v>45633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55707-2021</t>
        </is>
      </c>
      <c r="B221" s="1" t="n">
        <v>44475</v>
      </c>
      <c r="C221" s="1" t="n">
        <v>45633</v>
      </c>
      <c r="D221" t="inlineStr">
        <is>
          <t>DALARNAS LÄN</t>
        </is>
      </c>
      <c r="E221" t="inlineStr">
        <is>
          <t>BORLÄNGE</t>
        </is>
      </c>
      <c r="F221" t="inlineStr">
        <is>
          <t>Övriga statliga verk och myndigheter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58237-2021</t>
        </is>
      </c>
      <c r="B222" s="1" t="n">
        <v>44487</v>
      </c>
      <c r="C222" s="1" t="n">
        <v>45633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58242-2021</t>
        </is>
      </c>
      <c r="B223" s="1" t="n">
        <v>44487</v>
      </c>
      <c r="C223" s="1" t="n">
        <v>45633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45633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45633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45633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45633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45633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45633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45633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45633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45633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45633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45633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45633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45633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45633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45633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45633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45633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45633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45633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45633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45633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45633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45633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45633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45633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45633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45633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45633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45633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45633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45633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45633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45633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45633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45633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45633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45633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HYPERLINK("https://klasma.github.io/Logging_2081/knärot/A 4478-2022 karta knärot.png", "A 4478-2022")</f>
        <v/>
      </c>
      <c r="V260">
        <f>HYPERLINK("https://klasma.github.io/Logging_2081/klagomål/A 4478-2022 FSC-klagomål.docx", "A 4478-2022")</f>
        <v/>
      </c>
      <c r="W260">
        <f>HYPERLINK("https://klasma.github.io/Logging_2081/klagomålsmail/A 4478-2022 FSC-klagomål mail.docx", "A 4478-2022")</f>
        <v/>
      </c>
      <c r="X260">
        <f>HYPERLINK("https://klasma.github.io/Logging_2081/tillsyn/A 4478-2022 tillsynsbegäran.docx", "A 4478-2022")</f>
        <v/>
      </c>
      <c r="Y260">
        <f>HYPERLINK("https://klasma.github.io/Logging_2081/tillsynsmail/A 4478-2022 tillsynsbegäran mail.docx", "A 4478-2022")</f>
        <v/>
      </c>
    </row>
    <row r="261" ht="15" customHeight="1">
      <c r="A261" t="inlineStr">
        <is>
          <t>A 4750-2022</t>
        </is>
      </c>
      <c r="B261" s="1" t="n">
        <v>44592</v>
      </c>
      <c r="C261" s="1" t="n">
        <v>45633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45633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45633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45633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45633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45633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45633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45633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45633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45633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45633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45633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45633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45633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45633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45633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45633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45633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45633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45633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45633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45633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45633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45633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45633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45633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45633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45633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45633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45633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45633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45633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45633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45633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45633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45633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45633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45633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45633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45633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45633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45633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45633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45633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45633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45633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45633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45633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45633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45633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45633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45633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45633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45633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45633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45633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45633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45633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45633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45633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45633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43662-2022</t>
        </is>
      </c>
      <c r="B322" s="1" t="n">
        <v>44837</v>
      </c>
      <c r="C322" s="1" t="n">
        <v>45633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50695-2022</t>
        </is>
      </c>
      <c r="B323" s="1" t="n">
        <v>44867</v>
      </c>
      <c r="C323" s="1" t="n">
        <v>45633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50693-2022</t>
        </is>
      </c>
      <c r="B324" s="1" t="n">
        <v>44867</v>
      </c>
      <c r="C324" s="1" t="n">
        <v>45633</v>
      </c>
      <c r="D324" t="inlineStr">
        <is>
          <t>DALARNAS LÄN</t>
        </is>
      </c>
      <c r="E324" t="inlineStr">
        <is>
          <t>BORLÄNGE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51736-2022</t>
        </is>
      </c>
      <c r="B325" s="1" t="n">
        <v>44872</v>
      </c>
      <c r="C325" s="1" t="n">
        <v>45633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53544-2022</t>
        </is>
      </c>
      <c r="B326" s="1" t="n">
        <v>44879</v>
      </c>
      <c r="C326" s="1" t="n">
        <v>45633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53970-2022</t>
        </is>
      </c>
      <c r="B327" s="1" t="n">
        <v>44881</v>
      </c>
      <c r="C327" s="1" t="n">
        <v>45633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55123-2022</t>
        </is>
      </c>
      <c r="B328" s="1" t="n">
        <v>44886</v>
      </c>
      <c r="C328" s="1" t="n">
        <v>45633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55274-2022</t>
        </is>
      </c>
      <c r="B329" s="1" t="n">
        <v>44887</v>
      </c>
      <c r="C329" s="1" t="n">
        <v>45633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55698-2022</t>
        </is>
      </c>
      <c r="B330" s="1" t="n">
        <v>44888</v>
      </c>
      <c r="C330" s="1" t="n">
        <v>45633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55719-2022</t>
        </is>
      </c>
      <c r="B331" s="1" t="n">
        <v>44888</v>
      </c>
      <c r="C331" s="1" t="n">
        <v>45633</v>
      </c>
      <c r="D331" t="inlineStr">
        <is>
          <t>DALARNAS LÄN</t>
        </is>
      </c>
      <c r="E331" t="inlineStr">
        <is>
          <t>BORLÄNGE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55725-2022</t>
        </is>
      </c>
      <c r="B332" s="1" t="n">
        <v>44888</v>
      </c>
      <c r="C332" s="1" t="n">
        <v>45633</v>
      </c>
      <c r="D332" t="inlineStr">
        <is>
          <t>DALARNAS LÄN</t>
        </is>
      </c>
      <c r="E332" t="inlineStr">
        <is>
          <t>BORLÄNGE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55731-2022</t>
        </is>
      </c>
      <c r="B333" s="1" t="n">
        <v>44888</v>
      </c>
      <c r="C333" s="1" t="n">
        <v>45633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55910-2022</t>
        </is>
      </c>
      <c r="B334" s="1" t="n">
        <v>44889</v>
      </c>
      <c r="C334" s="1" t="n">
        <v>45633</v>
      </c>
      <c r="D334" t="inlineStr">
        <is>
          <t>DALARNAS LÄN</t>
        </is>
      </c>
      <c r="E334" t="inlineStr">
        <is>
          <t>BORLÄNGE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58032-2022</t>
        </is>
      </c>
      <c r="B335" s="1" t="n">
        <v>44900</v>
      </c>
      <c r="C335" s="1" t="n">
        <v>45633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59682-2022</t>
        </is>
      </c>
      <c r="B336" s="1" t="n">
        <v>44908</v>
      </c>
      <c r="C336" s="1" t="n">
        <v>45633</v>
      </c>
      <c r="D336" t="inlineStr">
        <is>
          <t>DALARNAS LÄN</t>
        </is>
      </c>
      <c r="E336" t="inlineStr">
        <is>
          <t>BORLÄNGE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60625-2022</t>
        </is>
      </c>
      <c r="B337" s="1" t="n">
        <v>44911</v>
      </c>
      <c r="C337" s="1" t="n">
        <v>45633</v>
      </c>
      <c r="D337" t="inlineStr">
        <is>
          <t>DALARNAS LÄN</t>
        </is>
      </c>
      <c r="E337" t="inlineStr">
        <is>
          <t>BORLÄNGE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61809-2022</t>
        </is>
      </c>
      <c r="B338" s="1" t="n">
        <v>44917</v>
      </c>
      <c r="C338" s="1" t="n">
        <v>45633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422-2023</t>
        </is>
      </c>
      <c r="B339" s="1" t="n">
        <v>44929</v>
      </c>
      <c r="C339" s="1" t="n">
        <v>45633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1088-2023</t>
        </is>
      </c>
      <c r="B340" s="1" t="n">
        <v>44935</v>
      </c>
      <c r="C340" s="1" t="n">
        <v>45633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2182-2023</t>
        </is>
      </c>
      <c r="B341" s="1" t="n">
        <v>44942</v>
      </c>
      <c r="C341" s="1" t="n">
        <v>45633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2179-2023</t>
        </is>
      </c>
      <c r="B342" s="1" t="n">
        <v>44942</v>
      </c>
      <c r="C342" s="1" t="n">
        <v>45633</v>
      </c>
      <c r="D342" t="inlineStr">
        <is>
          <t>DALARNAS LÄN</t>
        </is>
      </c>
      <c r="E342" t="inlineStr">
        <is>
          <t>BORLÄNGE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2504-2023</t>
        </is>
      </c>
      <c r="B343" s="1" t="n">
        <v>44943</v>
      </c>
      <c r="C343" s="1" t="n">
        <v>45633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3515-2023</t>
        </is>
      </c>
      <c r="B344" s="1" t="n">
        <v>44950</v>
      </c>
      <c r="C344" s="1" t="n">
        <v>45633</v>
      </c>
      <c r="D344" t="inlineStr">
        <is>
          <t>DALARNAS LÄN</t>
        </is>
      </c>
      <c r="E344" t="inlineStr">
        <is>
          <t>BORLÄNGE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3722-2023</t>
        </is>
      </c>
      <c r="B345" s="1" t="n">
        <v>44951</v>
      </c>
      <c r="C345" s="1" t="n">
        <v>45633</v>
      </c>
      <c r="D345" t="inlineStr">
        <is>
          <t>DALARNAS LÄN</t>
        </is>
      </c>
      <c r="E345" t="inlineStr">
        <is>
          <t>BORLÄNGE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4735-2023</t>
        </is>
      </c>
      <c r="B346" s="1" t="n">
        <v>44957</v>
      </c>
      <c r="C346" s="1" t="n">
        <v>45633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7379-2023</t>
        </is>
      </c>
      <c r="B347" s="1" t="n">
        <v>44971</v>
      </c>
      <c r="C347" s="1" t="n">
        <v>45633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7588-2023</t>
        </is>
      </c>
      <c r="B348" s="1" t="n">
        <v>44972</v>
      </c>
      <c r="C348" s="1" t="n">
        <v>45633</v>
      </c>
      <c r="D348" t="inlineStr">
        <is>
          <t>DALARNAS LÄN</t>
        </is>
      </c>
      <c r="E348" t="inlineStr">
        <is>
          <t>BORLÄNGE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7863-2023</t>
        </is>
      </c>
      <c r="B349" s="1" t="n">
        <v>44973</v>
      </c>
      <c r="C349" s="1" t="n">
        <v>45633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8554-2023</t>
        </is>
      </c>
      <c r="B350" s="1" t="n">
        <v>44977</v>
      </c>
      <c r="C350" s="1" t="n">
        <v>45633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45633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9442-2023</t>
        </is>
      </c>
      <c r="B352" s="1" t="n">
        <v>44981</v>
      </c>
      <c r="C352" s="1" t="n">
        <v>45633</v>
      </c>
      <c r="D352" t="inlineStr">
        <is>
          <t>DALARNAS LÄN</t>
        </is>
      </c>
      <c r="E352" t="inlineStr">
        <is>
          <t>BORLÄNGE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9881-2023</t>
        </is>
      </c>
      <c r="B353" s="1" t="n">
        <v>44985</v>
      </c>
      <c r="C353" s="1" t="n">
        <v>45633</v>
      </c>
      <c r="D353" t="inlineStr">
        <is>
          <t>DALARNAS LÄN</t>
        </is>
      </c>
      <c r="E353" t="inlineStr">
        <is>
          <t>BORLÄNGE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10381-2023</t>
        </is>
      </c>
      <c r="B354" s="1" t="n">
        <v>44987</v>
      </c>
      <c r="C354" s="1" t="n">
        <v>45633</v>
      </c>
      <c r="D354" t="inlineStr">
        <is>
          <t>DALARNAS LÄN</t>
        </is>
      </c>
      <c r="E354" t="inlineStr">
        <is>
          <t>BORLÄNGE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10498-2023</t>
        </is>
      </c>
      <c r="B355" s="1" t="n">
        <v>44987</v>
      </c>
      <c r="C355" s="1" t="n">
        <v>45633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10751-2023</t>
        </is>
      </c>
      <c r="B356" s="1" t="n">
        <v>44988</v>
      </c>
      <c r="C356" s="1" t="n">
        <v>45633</v>
      </c>
      <c r="D356" t="inlineStr">
        <is>
          <t>DALARNAS LÄN</t>
        </is>
      </c>
      <c r="E356" t="inlineStr">
        <is>
          <t>BORLÄNGE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10751-2023 karta knärot.png", "A 10751-2023")</f>
        <v/>
      </c>
      <c r="V356">
        <f>HYPERLINK("https://klasma.github.io/Logging_2081/klagomål/A 10751-2023 FSC-klagomål.docx", "A 10751-2023")</f>
        <v/>
      </c>
      <c r="W356">
        <f>HYPERLINK("https://klasma.github.io/Logging_2081/klagomålsmail/A 10751-2023 FSC-klagomål mail.docx", "A 10751-2023")</f>
        <v/>
      </c>
      <c r="X356">
        <f>HYPERLINK("https://klasma.github.io/Logging_2081/tillsyn/A 10751-2023 tillsynsbegäran.docx", "A 10751-2023")</f>
        <v/>
      </c>
      <c r="Y356">
        <f>HYPERLINK("https://klasma.github.io/Logging_2081/tillsynsmail/A 10751-2023 tillsynsbegäran mail.docx", "A 10751-2023")</f>
        <v/>
      </c>
    </row>
    <row r="357" ht="15" customHeight="1">
      <c r="A357" t="inlineStr">
        <is>
          <t>A 11105-2023</t>
        </is>
      </c>
      <c r="B357" s="1" t="n">
        <v>44992</v>
      </c>
      <c r="C357" s="1" t="n">
        <v>45633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11136-2023</t>
        </is>
      </c>
      <c r="B358" s="1" t="n">
        <v>44992</v>
      </c>
      <c r="C358" s="1" t="n">
        <v>45633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11087-2023</t>
        </is>
      </c>
      <c r="B359" s="1" t="n">
        <v>44992</v>
      </c>
      <c r="C359" s="1" t="n">
        <v>45633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11138-2023</t>
        </is>
      </c>
      <c r="B360" s="1" t="n">
        <v>44992</v>
      </c>
      <c r="C360" s="1" t="n">
        <v>45633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11602-2023</t>
        </is>
      </c>
      <c r="B361" s="1" t="n">
        <v>44994</v>
      </c>
      <c r="C361" s="1" t="n">
        <v>45633</v>
      </c>
      <c r="D361" t="inlineStr">
        <is>
          <t>DALARNAS LÄN</t>
        </is>
      </c>
      <c r="E361" t="inlineStr">
        <is>
          <t>BORLÄNGE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12448-2023</t>
        </is>
      </c>
      <c r="B362" s="1" t="n">
        <v>44999</v>
      </c>
      <c r="C362" s="1" t="n">
        <v>45633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12446-2023</t>
        </is>
      </c>
      <c r="B363" s="1" t="n">
        <v>44999</v>
      </c>
      <c r="C363" s="1" t="n">
        <v>45633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13969-2023</t>
        </is>
      </c>
      <c r="B364" s="1" t="n">
        <v>45008</v>
      </c>
      <c r="C364" s="1" t="n">
        <v>45633</v>
      </c>
      <c r="D364" t="inlineStr">
        <is>
          <t>DALARNAS LÄN</t>
        </is>
      </c>
      <c r="E364" t="inlineStr">
        <is>
          <t>BORLÄNGE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14995-2023</t>
        </is>
      </c>
      <c r="B365" s="1" t="n">
        <v>45015</v>
      </c>
      <c r="C365" s="1" t="n">
        <v>45633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15389-2023</t>
        </is>
      </c>
      <c r="B366" s="1" t="n">
        <v>45016</v>
      </c>
      <c r="C366" s="1" t="n">
        <v>45633</v>
      </c>
      <c r="D366" t="inlineStr">
        <is>
          <t>DALARNAS LÄN</t>
        </is>
      </c>
      <c r="E366" t="inlineStr">
        <is>
          <t>BORLÄNGE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15393-2023</t>
        </is>
      </c>
      <c r="B367" s="1" t="n">
        <v>45016</v>
      </c>
      <c r="C367" s="1" t="n">
        <v>45633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15331-2023</t>
        </is>
      </c>
      <c r="B368" s="1" t="n">
        <v>45019</v>
      </c>
      <c r="C368" s="1" t="n">
        <v>45633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15442-2023</t>
        </is>
      </c>
      <c r="B369" s="1" t="n">
        <v>45020</v>
      </c>
      <c r="C369" s="1" t="n">
        <v>45633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15729-2023</t>
        </is>
      </c>
      <c r="B370" s="1" t="n">
        <v>45021</v>
      </c>
      <c r="C370" s="1" t="n">
        <v>45633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16082-2023</t>
        </is>
      </c>
      <c r="B371" s="1" t="n">
        <v>45027</v>
      </c>
      <c r="C371" s="1" t="n">
        <v>45633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17573-2023</t>
        </is>
      </c>
      <c r="B372" s="1" t="n">
        <v>45036</v>
      </c>
      <c r="C372" s="1" t="n">
        <v>45633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17569-2023</t>
        </is>
      </c>
      <c r="B373" s="1" t="n">
        <v>45036</v>
      </c>
      <c r="C373" s="1" t="n">
        <v>45633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17567-2023</t>
        </is>
      </c>
      <c r="B374" s="1" t="n">
        <v>45036</v>
      </c>
      <c r="C374" s="1" t="n">
        <v>45633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17577-2023</t>
        </is>
      </c>
      <c r="B375" s="1" t="n">
        <v>45036</v>
      </c>
      <c r="C375" s="1" t="n">
        <v>45633</v>
      </c>
      <c r="D375" t="inlineStr">
        <is>
          <t>DALARNAS LÄN</t>
        </is>
      </c>
      <c r="E375" t="inlineStr">
        <is>
          <t>BORLÄNGE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18925-2023</t>
        </is>
      </c>
      <c r="B376" s="1" t="n">
        <v>45044</v>
      </c>
      <c r="C376" s="1" t="n">
        <v>45633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18947-2023</t>
        </is>
      </c>
      <c r="B377" s="1" t="n">
        <v>45044</v>
      </c>
      <c r="C377" s="1" t="n">
        <v>45633</v>
      </c>
      <c r="D377" t="inlineStr">
        <is>
          <t>DALARNAS LÄN</t>
        </is>
      </c>
      <c r="E377" t="inlineStr">
        <is>
          <t>BORLÄNGE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19287-2023</t>
        </is>
      </c>
      <c r="B378" s="1" t="n">
        <v>45049</v>
      </c>
      <c r="C378" s="1" t="n">
        <v>45633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19430-2023</t>
        </is>
      </c>
      <c r="B379" s="1" t="n">
        <v>45050</v>
      </c>
      <c r="C379" s="1" t="n">
        <v>45633</v>
      </c>
      <c r="D379" t="inlineStr">
        <is>
          <t>DALARNAS LÄN</t>
        </is>
      </c>
      <c r="E379" t="inlineStr">
        <is>
          <t>BORLÄNGE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19883-2023</t>
        </is>
      </c>
      <c r="B380" s="1" t="n">
        <v>45054</v>
      </c>
      <c r="C380" s="1" t="n">
        <v>45633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19986-2023</t>
        </is>
      </c>
      <c r="B381" s="1" t="n">
        <v>45054</v>
      </c>
      <c r="C381" s="1" t="n">
        <v>45633</v>
      </c>
      <c r="D381" t="inlineStr">
        <is>
          <t>DALARNAS LÄN</t>
        </is>
      </c>
      <c r="E381" t="inlineStr">
        <is>
          <t>BORLÄNGE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20005-2023</t>
        </is>
      </c>
      <c r="B382" s="1" t="n">
        <v>45054</v>
      </c>
      <c r="C382" s="1" t="n">
        <v>45633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19988-2023</t>
        </is>
      </c>
      <c r="B383" s="1" t="n">
        <v>45054</v>
      </c>
      <c r="C383" s="1" t="n">
        <v>45633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20033-2023</t>
        </is>
      </c>
      <c r="B384" s="1" t="n">
        <v>45054</v>
      </c>
      <c r="C384" s="1" t="n">
        <v>45633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20017-2023</t>
        </is>
      </c>
      <c r="B385" s="1" t="n">
        <v>45054</v>
      </c>
      <c r="C385" s="1" t="n">
        <v>45633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19990-2023</t>
        </is>
      </c>
      <c r="B386" s="1" t="n">
        <v>45054</v>
      </c>
      <c r="C386" s="1" t="n">
        <v>45633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20008-2023</t>
        </is>
      </c>
      <c r="B387" s="1" t="n">
        <v>45054</v>
      </c>
      <c r="C387" s="1" t="n">
        <v>45633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20368-2023</t>
        </is>
      </c>
      <c r="B388" s="1" t="n">
        <v>45056</v>
      </c>
      <c r="C388" s="1" t="n">
        <v>45633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21134-2023</t>
        </is>
      </c>
      <c r="B389" s="1" t="n">
        <v>45062</v>
      </c>
      <c r="C389" s="1" t="n">
        <v>45633</v>
      </c>
      <c r="D389" t="inlineStr">
        <is>
          <t>DALARNAS LÄN</t>
        </is>
      </c>
      <c r="E389" t="inlineStr">
        <is>
          <t>BORLÄNGE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21928-2023</t>
        </is>
      </c>
      <c r="B390" s="1" t="n">
        <v>45068</v>
      </c>
      <c r="C390" s="1" t="n">
        <v>45633</v>
      </c>
      <c r="D390" t="inlineStr">
        <is>
          <t>DALARNAS LÄN</t>
        </is>
      </c>
      <c r="E390" t="inlineStr">
        <is>
          <t>BORLÄNGE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21992-2023</t>
        </is>
      </c>
      <c r="B391" s="1" t="n">
        <v>45068</v>
      </c>
      <c r="C391" s="1" t="n">
        <v>45633</v>
      </c>
      <c r="D391" t="inlineStr">
        <is>
          <t>DALARNAS LÄN</t>
        </is>
      </c>
      <c r="E391" t="inlineStr">
        <is>
          <t>BORLÄNGE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23378-2023</t>
        </is>
      </c>
      <c r="B392" s="1" t="n">
        <v>45076</v>
      </c>
      <c r="C392" s="1" t="n">
        <v>45633</v>
      </c>
      <c r="D392" t="inlineStr">
        <is>
          <t>DALARNAS LÄN</t>
        </is>
      </c>
      <c r="E392" t="inlineStr">
        <is>
          <t>BORLÄNGE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23469-2023</t>
        </is>
      </c>
      <c r="B393" s="1" t="n">
        <v>45076</v>
      </c>
      <c r="C393" s="1" t="n">
        <v>45633</v>
      </c>
      <c r="D393" t="inlineStr">
        <is>
          <t>DALARNAS LÄN</t>
        </is>
      </c>
      <c r="E393" t="inlineStr">
        <is>
          <t>BORLÄNGE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23416-2023</t>
        </is>
      </c>
      <c r="B394" s="1" t="n">
        <v>45076</v>
      </c>
      <c r="C394" s="1" t="n">
        <v>45633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24181-2023</t>
        </is>
      </c>
      <c r="B395" s="1" t="n">
        <v>45079</v>
      </c>
      <c r="C395" s="1" t="n">
        <v>45633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24178-2023</t>
        </is>
      </c>
      <c r="B396" s="1" t="n">
        <v>45079</v>
      </c>
      <c r="C396" s="1" t="n">
        <v>45633</v>
      </c>
      <c r="D396" t="inlineStr">
        <is>
          <t>DALARNAS LÄN</t>
        </is>
      </c>
      <c r="E396" t="inlineStr">
        <is>
          <t>BORLÄNGE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26216-2023</t>
        </is>
      </c>
      <c r="B397" s="1" t="n">
        <v>45091</v>
      </c>
      <c r="C397" s="1" t="n">
        <v>45633</v>
      </c>
      <c r="D397" t="inlineStr">
        <is>
          <t>DALARNAS LÄN</t>
        </is>
      </c>
      <c r="E397" t="inlineStr">
        <is>
          <t>BORLÄNGE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26750-2023</t>
        </is>
      </c>
      <c r="B398" s="1" t="n">
        <v>45093</v>
      </c>
      <c r="C398" s="1" t="n">
        <v>45633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27213-2023</t>
        </is>
      </c>
      <c r="B399" s="1" t="n">
        <v>45096</v>
      </c>
      <c r="C399" s="1" t="n">
        <v>45633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27438-2023</t>
        </is>
      </c>
      <c r="B400" s="1" t="n">
        <v>45097</v>
      </c>
      <c r="C400" s="1" t="n">
        <v>45633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28039-2023</t>
        </is>
      </c>
      <c r="B401" s="1" t="n">
        <v>45099</v>
      </c>
      <c r="C401" s="1" t="n">
        <v>45633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28147-2023</t>
        </is>
      </c>
      <c r="B402" s="1" t="n">
        <v>45099</v>
      </c>
      <c r="C402" s="1" t="n">
        <v>45633</v>
      </c>
      <c r="D402" t="inlineStr">
        <is>
          <t>DALARNAS LÄN</t>
        </is>
      </c>
      <c r="E402" t="inlineStr">
        <is>
          <t>BORLÄNGE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28452-2023</t>
        </is>
      </c>
      <c r="B403" s="1" t="n">
        <v>45103</v>
      </c>
      <c r="C403" s="1" t="n">
        <v>45633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30023-2023</t>
        </is>
      </c>
      <c r="B404" s="1" t="n">
        <v>45110</v>
      </c>
      <c r="C404" s="1" t="n">
        <v>45633</v>
      </c>
      <c r="D404" t="inlineStr">
        <is>
          <t>DALARNAS LÄN</t>
        </is>
      </c>
      <c r="E404" t="inlineStr">
        <is>
          <t>BORLÄNGE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30248-2023</t>
        </is>
      </c>
      <c r="B405" s="1" t="n">
        <v>45110</v>
      </c>
      <c r="C405" s="1" t="n">
        <v>45633</v>
      </c>
      <c r="D405" t="inlineStr">
        <is>
          <t>DALARNAS LÄN</t>
        </is>
      </c>
      <c r="E405" t="inlineStr">
        <is>
          <t>BORLÄNGE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30252-2023</t>
        </is>
      </c>
      <c r="B406" s="1" t="n">
        <v>45110</v>
      </c>
      <c r="C406" s="1" t="n">
        <v>45633</v>
      </c>
      <c r="D406" t="inlineStr">
        <is>
          <t>DALARNAS LÄN</t>
        </is>
      </c>
      <c r="E406" t="inlineStr">
        <is>
          <t>BORLÄNGE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30025-2023</t>
        </is>
      </c>
      <c r="B407" s="1" t="n">
        <v>45110</v>
      </c>
      <c r="C407" s="1" t="n">
        <v>45633</v>
      </c>
      <c r="D407" t="inlineStr">
        <is>
          <t>DALARNAS LÄN</t>
        </is>
      </c>
      <c r="E407" t="inlineStr">
        <is>
          <t>BORLÄNGE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30253-2023</t>
        </is>
      </c>
      <c r="B408" s="1" t="n">
        <v>45110</v>
      </c>
      <c r="C408" s="1" t="n">
        <v>45633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30115-2023</t>
        </is>
      </c>
      <c r="B409" s="1" t="n">
        <v>45110</v>
      </c>
      <c r="C409" s="1" t="n">
        <v>45633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31530-2023</t>
        </is>
      </c>
      <c r="B410" s="1" t="n">
        <v>45116</v>
      </c>
      <c r="C410" s="1" t="n">
        <v>45633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31679-2023</t>
        </is>
      </c>
      <c r="B411" s="1" t="n">
        <v>45117</v>
      </c>
      <c r="C411" s="1" t="n">
        <v>45633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31678-2023</t>
        </is>
      </c>
      <c r="B412" s="1" t="n">
        <v>45117</v>
      </c>
      <c r="C412" s="1" t="n">
        <v>45633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34334-2023</t>
        </is>
      </c>
      <c r="B413" s="1" t="n">
        <v>45139</v>
      </c>
      <c r="C413" s="1" t="n">
        <v>45633</v>
      </c>
      <c r="D413" t="inlineStr">
        <is>
          <t>DALARNAS LÄN</t>
        </is>
      </c>
      <c r="E413" t="inlineStr">
        <is>
          <t>BORLÄNGE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34674-2023</t>
        </is>
      </c>
      <c r="B414" s="1" t="n">
        <v>45140</v>
      </c>
      <c r="C414" s="1" t="n">
        <v>45633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35092-2023</t>
        </is>
      </c>
      <c r="B415" s="1" t="n">
        <v>45145</v>
      </c>
      <c r="C415" s="1" t="n">
        <v>45633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35501-2023</t>
        </is>
      </c>
      <c r="B416" s="1" t="n">
        <v>45146</v>
      </c>
      <c r="C416" s="1" t="n">
        <v>45633</v>
      </c>
      <c r="D416" t="inlineStr">
        <is>
          <t>DALARNAS LÄN</t>
        </is>
      </c>
      <c r="E416" t="inlineStr">
        <is>
          <t>BORLÄNGE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37396-2023</t>
        </is>
      </c>
      <c r="B417" s="1" t="n">
        <v>45156</v>
      </c>
      <c r="C417" s="1" t="n">
        <v>45633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37401-2023</t>
        </is>
      </c>
      <c r="B418" s="1" t="n">
        <v>45156</v>
      </c>
      <c r="C418" s="1" t="n">
        <v>45633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38863-2023</t>
        </is>
      </c>
      <c r="B419" s="1" t="n">
        <v>45163</v>
      </c>
      <c r="C419" s="1" t="n">
        <v>45633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38868-2023</t>
        </is>
      </c>
      <c r="B420" s="1" t="n">
        <v>45163</v>
      </c>
      <c r="C420" s="1" t="n">
        <v>45633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38754-2023</t>
        </is>
      </c>
      <c r="B421" s="1" t="n">
        <v>45163</v>
      </c>
      <c r="C421" s="1" t="n">
        <v>45633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39574-2023</t>
        </is>
      </c>
      <c r="B422" s="1" t="n">
        <v>45167</v>
      </c>
      <c r="C422" s="1" t="n">
        <v>45633</v>
      </c>
      <c r="D422" t="inlineStr">
        <is>
          <t>DALARNAS LÄN</t>
        </is>
      </c>
      <c r="E422" t="inlineStr">
        <is>
          <t>BORLÄNGE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39587-2023</t>
        </is>
      </c>
      <c r="B423" s="1" t="n">
        <v>45167</v>
      </c>
      <c r="C423" s="1" t="n">
        <v>45633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39605-2023</t>
        </is>
      </c>
      <c r="B424" s="1" t="n">
        <v>45167</v>
      </c>
      <c r="C424" s="1" t="n">
        <v>45633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40235-2023</t>
        </is>
      </c>
      <c r="B425" s="1" t="n">
        <v>45169</v>
      </c>
      <c r="C425" s="1" t="n">
        <v>45633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40954-2023</t>
        </is>
      </c>
      <c r="B426" s="1" t="n">
        <v>45173</v>
      </c>
      <c r="C426" s="1" t="n">
        <v>45633</v>
      </c>
      <c r="D426" t="inlineStr">
        <is>
          <t>DALARNAS LÄN</t>
        </is>
      </c>
      <c r="E426" t="inlineStr">
        <is>
          <t>BORLÄNGE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41200-2023</t>
        </is>
      </c>
      <c r="B427" s="1" t="n">
        <v>45174</v>
      </c>
      <c r="C427" s="1" t="n">
        <v>45633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41670-2023</t>
        </is>
      </c>
      <c r="B428" s="1" t="n">
        <v>45176</v>
      </c>
      <c r="C428" s="1" t="n">
        <v>45633</v>
      </c>
      <c r="D428" t="inlineStr">
        <is>
          <t>DALARNAS LÄN</t>
        </is>
      </c>
      <c r="E428" t="inlineStr">
        <is>
          <t>BORLÄNGE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41688-2023</t>
        </is>
      </c>
      <c r="B429" s="1" t="n">
        <v>45176</v>
      </c>
      <c r="C429" s="1" t="n">
        <v>45633</v>
      </c>
      <c r="D429" t="inlineStr">
        <is>
          <t>DALARNAS LÄN</t>
        </is>
      </c>
      <c r="E429" t="inlineStr">
        <is>
          <t>BORLÄNGE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41691-2023</t>
        </is>
      </c>
      <c r="B430" s="1" t="n">
        <v>45176</v>
      </c>
      <c r="C430" s="1" t="n">
        <v>45633</v>
      </c>
      <c r="D430" t="inlineStr">
        <is>
          <t>DALARNAS LÄN</t>
        </is>
      </c>
      <c r="E430" t="inlineStr">
        <is>
          <t>BORLÄNGE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43012-2023</t>
        </is>
      </c>
      <c r="B431" s="1" t="n">
        <v>45182</v>
      </c>
      <c r="C431" s="1" t="n">
        <v>45633</v>
      </c>
      <c r="D431" t="inlineStr">
        <is>
          <t>DALARNAS LÄN</t>
        </is>
      </c>
      <c r="E431" t="inlineStr">
        <is>
          <t>BORLÄNGE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42986-2023</t>
        </is>
      </c>
      <c r="B432" s="1" t="n">
        <v>45182</v>
      </c>
      <c r="C432" s="1" t="n">
        <v>45633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43329-2023</t>
        </is>
      </c>
      <c r="B433" s="1" t="n">
        <v>45183</v>
      </c>
      <c r="C433" s="1" t="n">
        <v>45633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43324-2023</t>
        </is>
      </c>
      <c r="B434" s="1" t="n">
        <v>45183</v>
      </c>
      <c r="C434" s="1" t="n">
        <v>45633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43516-2023</t>
        </is>
      </c>
      <c r="B435" s="1" t="n">
        <v>45184</v>
      </c>
      <c r="C435" s="1" t="n">
        <v>45633</v>
      </c>
      <c r="D435" t="inlineStr">
        <is>
          <t>DALARNAS LÄN</t>
        </is>
      </c>
      <c r="E435" t="inlineStr">
        <is>
          <t>BORLÄNGE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44240-2023</t>
        </is>
      </c>
      <c r="B436" s="1" t="n">
        <v>45188</v>
      </c>
      <c r="C436" s="1" t="n">
        <v>45633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44097-2023</t>
        </is>
      </c>
      <c r="B437" s="1" t="n">
        <v>45188</v>
      </c>
      <c r="C437" s="1" t="n">
        <v>45633</v>
      </c>
      <c r="D437" t="inlineStr">
        <is>
          <t>DALARNAS LÄN</t>
        </is>
      </c>
      <c r="E437" t="inlineStr">
        <is>
          <t>BORLÄNGE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44706-2023</t>
        </is>
      </c>
      <c r="B438" s="1" t="n">
        <v>45190</v>
      </c>
      <c r="C438" s="1" t="n">
        <v>45633</v>
      </c>
      <c r="D438" t="inlineStr">
        <is>
          <t>DALARNAS LÄN</t>
        </is>
      </c>
      <c r="E438" t="inlineStr">
        <is>
          <t>BORLÄNGE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44933-2023</t>
        </is>
      </c>
      <c r="B439" s="1" t="n">
        <v>45190</v>
      </c>
      <c r="C439" s="1" t="n">
        <v>45633</v>
      </c>
      <c r="D439" t="inlineStr">
        <is>
          <t>DALARNAS LÄN</t>
        </is>
      </c>
      <c r="E439" t="inlineStr">
        <is>
          <t>BORLÄNGE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45138-2023</t>
        </is>
      </c>
      <c r="B440" s="1" t="n">
        <v>45191</v>
      </c>
      <c r="C440" s="1" t="n">
        <v>45633</v>
      </c>
      <c r="D440" t="inlineStr">
        <is>
          <t>DALARNAS LÄN</t>
        </is>
      </c>
      <c r="E440" t="inlineStr">
        <is>
          <t>BORLÄNGE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45488-2023</t>
        </is>
      </c>
      <c r="B441" s="1" t="n">
        <v>45194</v>
      </c>
      <c r="C441" s="1" t="n">
        <v>45633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45793-2023</t>
        </is>
      </c>
      <c r="B442" s="1" t="n">
        <v>45195</v>
      </c>
      <c r="C442" s="1" t="n">
        <v>45633</v>
      </c>
      <c r="D442" t="inlineStr">
        <is>
          <t>DALARNAS LÄN</t>
        </is>
      </c>
      <c r="E442" t="inlineStr">
        <is>
          <t>BORLÄNGE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46337-2023</t>
        </is>
      </c>
      <c r="B443" s="1" t="n">
        <v>45197</v>
      </c>
      <c r="C443" s="1" t="n">
        <v>45633</v>
      </c>
      <c r="D443" t="inlineStr">
        <is>
          <t>DALARNAS LÄN</t>
        </is>
      </c>
      <c r="E443" t="inlineStr">
        <is>
          <t>BORLÄNGE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46304-2023</t>
        </is>
      </c>
      <c r="B444" s="1" t="n">
        <v>45197</v>
      </c>
      <c r="C444" s="1" t="n">
        <v>45633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47318-2023</t>
        </is>
      </c>
      <c r="B445" s="1" t="n">
        <v>45202</v>
      </c>
      <c r="C445" s="1" t="n">
        <v>45633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48606-2023</t>
        </is>
      </c>
      <c r="B446" s="1" t="n">
        <v>45208</v>
      </c>
      <c r="C446" s="1" t="n">
        <v>45633</v>
      </c>
      <c r="D446" t="inlineStr">
        <is>
          <t>DALARNAS LÄN</t>
        </is>
      </c>
      <c r="E446" t="inlineStr">
        <is>
          <t>BORLÄNGE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48657-2023</t>
        </is>
      </c>
      <c r="B447" s="1" t="n">
        <v>45208</v>
      </c>
      <c r="C447" s="1" t="n">
        <v>45633</v>
      </c>
      <c r="D447" t="inlineStr">
        <is>
          <t>DALARNAS LÄN</t>
        </is>
      </c>
      <c r="E447" t="inlineStr">
        <is>
          <t>BORLÄNGE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48801-2023</t>
        </is>
      </c>
      <c r="B448" s="1" t="n">
        <v>45209</v>
      </c>
      <c r="C448" s="1" t="n">
        <v>45633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49056-2023</t>
        </is>
      </c>
      <c r="B449" s="1" t="n">
        <v>45210</v>
      </c>
      <c r="C449" s="1" t="n">
        <v>45633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49888-2023</t>
        </is>
      </c>
      <c r="B450" s="1" t="n">
        <v>45213</v>
      </c>
      <c r="C450" s="1" t="n">
        <v>45633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49938-2023</t>
        </is>
      </c>
      <c r="B451" s="1" t="n">
        <v>45215</v>
      </c>
      <c r="C451" s="1" t="n">
        <v>45633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49936-2023</t>
        </is>
      </c>
      <c r="B452" s="1" t="n">
        <v>45215</v>
      </c>
      <c r="C452" s="1" t="n">
        <v>45633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50250-2023</t>
        </is>
      </c>
      <c r="B453" s="1" t="n">
        <v>45216</v>
      </c>
      <c r="C453" s="1" t="n">
        <v>45633</v>
      </c>
      <c r="D453" t="inlineStr">
        <is>
          <t>DALARNAS LÄN</t>
        </is>
      </c>
      <c r="E453" t="inlineStr">
        <is>
          <t>BORLÄNGE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51145-2023</t>
        </is>
      </c>
      <c r="B454" s="1" t="n">
        <v>45219</v>
      </c>
      <c r="C454" s="1" t="n">
        <v>45633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51859-2023</t>
        </is>
      </c>
      <c r="B455" s="1" t="n">
        <v>45223</v>
      </c>
      <c r="C455" s="1" t="n">
        <v>45633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51858-2023</t>
        </is>
      </c>
      <c r="B456" s="1" t="n">
        <v>45223</v>
      </c>
      <c r="C456" s="1" t="n">
        <v>45633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51862-2023</t>
        </is>
      </c>
      <c r="B457" s="1" t="n">
        <v>45223</v>
      </c>
      <c r="C457" s="1" t="n">
        <v>45633</v>
      </c>
      <c r="D457" t="inlineStr">
        <is>
          <t>DALARNAS LÄN</t>
        </is>
      </c>
      <c r="E457" t="inlineStr">
        <is>
          <t>BORLÄNGE</t>
        </is>
      </c>
      <c r="F457" t="inlineStr">
        <is>
          <t>Övriga statliga verk och myndigheter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52263-2023</t>
        </is>
      </c>
      <c r="B458" s="1" t="n">
        <v>45224</v>
      </c>
      <c r="C458" s="1" t="n">
        <v>45633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52260-2023</t>
        </is>
      </c>
      <c r="B459" s="1" t="n">
        <v>45224</v>
      </c>
      <c r="C459" s="1" t="n">
        <v>45633</v>
      </c>
      <c r="D459" t="inlineStr">
        <is>
          <t>DALARNAS LÄN</t>
        </is>
      </c>
      <c r="E459" t="inlineStr">
        <is>
          <t>BORLÄNGE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52556-2023</t>
        </is>
      </c>
      <c r="B460" s="1" t="n">
        <v>45225</v>
      </c>
      <c r="C460" s="1" t="n">
        <v>45633</v>
      </c>
      <c r="D460" t="inlineStr">
        <is>
          <t>DALARNAS LÄN</t>
        </is>
      </c>
      <c r="E460" t="inlineStr">
        <is>
          <t>BORLÄNGE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54520-2023</t>
        </is>
      </c>
      <c r="B461" s="1" t="n">
        <v>45226</v>
      </c>
      <c r="C461" s="1" t="n">
        <v>45633</v>
      </c>
      <c r="D461" t="inlineStr">
        <is>
          <t>DALARNAS LÄN</t>
        </is>
      </c>
      <c r="E461" t="inlineStr">
        <is>
          <t>BORLÄNGE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53986-2023</t>
        </is>
      </c>
      <c r="B462" s="1" t="n">
        <v>45231</v>
      </c>
      <c r="C462" s="1" t="n">
        <v>45633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54148-2023</t>
        </is>
      </c>
      <c r="B463" s="1" t="n">
        <v>45232</v>
      </c>
      <c r="C463" s="1" t="n">
        <v>45633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55059-2023</t>
        </is>
      </c>
      <c r="B464" s="1" t="n">
        <v>45237</v>
      </c>
      <c r="C464" s="1" t="n">
        <v>45633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55133-2023</t>
        </is>
      </c>
      <c r="B465" s="1" t="n">
        <v>45237</v>
      </c>
      <c r="C465" s="1" t="n">
        <v>45633</v>
      </c>
      <c r="D465" t="inlineStr">
        <is>
          <t>DALARNAS LÄN</t>
        </is>
      </c>
      <c r="E465" t="inlineStr">
        <is>
          <t>BORLÄNGE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55056-2023</t>
        </is>
      </c>
      <c r="B466" s="1" t="n">
        <v>45237</v>
      </c>
      <c r="C466" s="1" t="n">
        <v>45633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55057-2023</t>
        </is>
      </c>
      <c r="B467" s="1" t="n">
        <v>45237</v>
      </c>
      <c r="C467" s="1" t="n">
        <v>45633</v>
      </c>
      <c r="D467" t="inlineStr">
        <is>
          <t>DALARNAS LÄN</t>
        </is>
      </c>
      <c r="E467" t="inlineStr">
        <is>
          <t>BORLÄNGE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55298-2023</t>
        </is>
      </c>
      <c r="B468" s="1" t="n">
        <v>45237</v>
      </c>
      <c r="C468" s="1" t="n">
        <v>45633</v>
      </c>
      <c r="D468" t="inlineStr">
        <is>
          <t>DALARNAS LÄN</t>
        </is>
      </c>
      <c r="E468" t="inlineStr">
        <is>
          <t>BORLÄNGE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55735-2023</t>
        </is>
      </c>
      <c r="B469" s="1" t="n">
        <v>45239</v>
      </c>
      <c r="C469" s="1" t="n">
        <v>45633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57160-2023</t>
        </is>
      </c>
      <c r="B470" s="1" t="n">
        <v>45245</v>
      </c>
      <c r="C470" s="1" t="n">
        <v>45633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57533-2023</t>
        </is>
      </c>
      <c r="B471" s="1" t="n">
        <v>45246</v>
      </c>
      <c r="C471" s="1" t="n">
        <v>45633</v>
      </c>
      <c r="D471" t="inlineStr">
        <is>
          <t>DALARNAS LÄN</t>
        </is>
      </c>
      <c r="E471" t="inlineStr">
        <is>
          <t>BORLÄNGE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57530-2023</t>
        </is>
      </c>
      <c r="B472" s="1" t="n">
        <v>45246</v>
      </c>
      <c r="C472" s="1" t="n">
        <v>45633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45633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58640-2023</t>
        </is>
      </c>
      <c r="B474" s="1" t="n">
        <v>45251</v>
      </c>
      <c r="C474" s="1" t="n">
        <v>45633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58901-2023</t>
        </is>
      </c>
      <c r="B475" s="1" t="n">
        <v>45252</v>
      </c>
      <c r="C475" s="1" t="n">
        <v>45633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58903-2023</t>
        </is>
      </c>
      <c r="B476" s="1" t="n">
        <v>45252</v>
      </c>
      <c r="C476" s="1" t="n">
        <v>45633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58897-2023</t>
        </is>
      </c>
      <c r="B477" s="1" t="n">
        <v>45252</v>
      </c>
      <c r="C477" s="1" t="n">
        <v>45633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59534-2023</t>
        </is>
      </c>
      <c r="B478" s="1" t="n">
        <v>45254</v>
      </c>
      <c r="C478" s="1" t="n">
        <v>45633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59935-2023</t>
        </is>
      </c>
      <c r="B479" s="1" t="n">
        <v>45257</v>
      </c>
      <c r="C479" s="1" t="n">
        <v>45633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45633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60072-2023</t>
        </is>
      </c>
      <c r="B481" s="1" t="n">
        <v>45258</v>
      </c>
      <c r="C481" s="1" t="n">
        <v>45633</v>
      </c>
      <c r="D481" t="inlineStr">
        <is>
          <t>DALARNAS LÄN</t>
        </is>
      </c>
      <c r="E481" t="inlineStr">
        <is>
          <t>BORLÄNGE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60152-2023</t>
        </is>
      </c>
      <c r="B482" s="1" t="n">
        <v>45258</v>
      </c>
      <c r="C482" s="1" t="n">
        <v>45633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60060-2023</t>
        </is>
      </c>
      <c r="B483" s="1" t="n">
        <v>45258</v>
      </c>
      <c r="C483" s="1" t="n">
        <v>45633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60356-2023</t>
        </is>
      </c>
      <c r="B484" s="1" t="n">
        <v>45259</v>
      </c>
      <c r="C484" s="1" t="n">
        <v>45633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60512-2023</t>
        </is>
      </c>
      <c r="B485" s="1" t="n">
        <v>45259</v>
      </c>
      <c r="C485" s="1" t="n">
        <v>45633</v>
      </c>
      <c r="D485" t="inlineStr">
        <is>
          <t>DALARNAS LÄN</t>
        </is>
      </c>
      <c r="E485" t="inlineStr">
        <is>
          <t>BORLÄNGE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60368-2023</t>
        </is>
      </c>
      <c r="B486" s="1" t="n">
        <v>45259</v>
      </c>
      <c r="C486" s="1" t="n">
        <v>45633</v>
      </c>
      <c r="D486" t="inlineStr">
        <is>
          <t>DALARNAS LÄN</t>
        </is>
      </c>
      <c r="E486" t="inlineStr">
        <is>
          <t>BORLÄNGE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60518-2023</t>
        </is>
      </c>
      <c r="B487" s="1" t="n">
        <v>45259</v>
      </c>
      <c r="C487" s="1" t="n">
        <v>45633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60876-2023</t>
        </is>
      </c>
      <c r="B488" s="1" t="n">
        <v>45259</v>
      </c>
      <c r="C488" s="1" t="n">
        <v>45633</v>
      </c>
      <c r="D488" t="inlineStr">
        <is>
          <t>DALARNAS LÄN</t>
        </is>
      </c>
      <c r="E488" t="inlineStr">
        <is>
          <t>BORLÄNGE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60625-2023</t>
        </is>
      </c>
      <c r="B489" s="1" t="n">
        <v>45260</v>
      </c>
      <c r="C489" s="1" t="n">
        <v>45633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60908-2023</t>
        </is>
      </c>
      <c r="B490" s="1" t="n">
        <v>45261</v>
      </c>
      <c r="C490" s="1" t="n">
        <v>45633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61195-2023</t>
        </is>
      </c>
      <c r="B491" s="1" t="n">
        <v>45264</v>
      </c>
      <c r="C491" s="1" t="n">
        <v>45633</v>
      </c>
      <c r="D491" t="inlineStr">
        <is>
          <t>DALARNAS LÄN</t>
        </is>
      </c>
      <c r="E491" t="inlineStr">
        <is>
          <t>BORLÄNGE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61587-2023</t>
        </is>
      </c>
      <c r="B492" s="1" t="n">
        <v>45265</v>
      </c>
      <c r="C492" s="1" t="n">
        <v>45633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61565-2023</t>
        </is>
      </c>
      <c r="B493" s="1" t="n">
        <v>45265</v>
      </c>
      <c r="C493" s="1" t="n">
        <v>45633</v>
      </c>
      <c r="D493" t="inlineStr">
        <is>
          <t>DALARNAS LÄN</t>
        </is>
      </c>
      <c r="E493" t="inlineStr">
        <is>
          <t>BORLÄNGE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62214-2023</t>
        </is>
      </c>
      <c r="B494" s="1" t="n">
        <v>45267</v>
      </c>
      <c r="C494" s="1" t="n">
        <v>45633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62569-2023</t>
        </is>
      </c>
      <c r="B495" s="1" t="n">
        <v>45269</v>
      </c>
      <c r="C495" s="1" t="n">
        <v>45633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63192-2023</t>
        </is>
      </c>
      <c r="B496" s="1" t="n">
        <v>45273</v>
      </c>
      <c r="C496" s="1" t="n">
        <v>45633</v>
      </c>
      <c r="D496" t="inlineStr">
        <is>
          <t>DALARNAS LÄN</t>
        </is>
      </c>
      <c r="E496" t="inlineStr">
        <is>
          <t>BORLÄNGE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63791-2023</t>
        </is>
      </c>
      <c r="B497" s="1" t="n">
        <v>45278</v>
      </c>
      <c r="C497" s="1" t="n">
        <v>45633</v>
      </c>
      <c r="D497" t="inlineStr">
        <is>
          <t>DALARNAS LÄN</t>
        </is>
      </c>
      <c r="E497" t="inlineStr">
        <is>
          <t>BORLÄNGE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64688-2023</t>
        </is>
      </c>
      <c r="B498" s="1" t="n">
        <v>45281</v>
      </c>
      <c r="C498" s="1" t="n">
        <v>45633</v>
      </c>
      <c r="D498" t="inlineStr">
        <is>
          <t>DALARNAS LÄN</t>
        </is>
      </c>
      <c r="E498" t="inlineStr">
        <is>
          <t>BORLÄNGE</t>
        </is>
      </c>
      <c r="F498" t="inlineStr">
        <is>
          <t>Kyrkan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26-2024</t>
        </is>
      </c>
      <c r="B499" s="1" t="n">
        <v>45289</v>
      </c>
      <c r="C499" s="1" t="n">
        <v>45633</v>
      </c>
      <c r="D499" t="inlineStr">
        <is>
          <t>DALARNAS LÄN</t>
        </is>
      </c>
      <c r="E499" t="inlineStr">
        <is>
          <t>BORLÄNGE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128-2024</t>
        </is>
      </c>
      <c r="B500" s="1" t="n">
        <v>45294</v>
      </c>
      <c r="C500" s="1" t="n">
        <v>45633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497-2024</t>
        </is>
      </c>
      <c r="B501" s="1" t="n">
        <v>45299</v>
      </c>
      <c r="C501" s="1" t="n">
        <v>45633</v>
      </c>
      <c r="D501" t="inlineStr">
        <is>
          <t>DALARNAS LÄN</t>
        </is>
      </c>
      <c r="E501" t="inlineStr">
        <is>
          <t>BORLÄNGE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619-2024</t>
        </is>
      </c>
      <c r="B502" s="1" t="n">
        <v>45299</v>
      </c>
      <c r="C502" s="1" t="n">
        <v>45633</v>
      </c>
      <c r="D502" t="inlineStr">
        <is>
          <t>DALARNAS LÄN</t>
        </is>
      </c>
      <c r="E502" t="inlineStr">
        <is>
          <t>BORLÄNGE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1966-2024</t>
        </is>
      </c>
      <c r="B503" s="1" t="n">
        <v>45308</v>
      </c>
      <c r="C503" s="1" t="n">
        <v>45633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2516-2024</t>
        </is>
      </c>
      <c r="B504" s="1" t="n">
        <v>45313</v>
      </c>
      <c r="C504" s="1" t="n">
        <v>45633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6526-2024</t>
        </is>
      </c>
      <c r="B505" s="1" t="n">
        <v>45341</v>
      </c>
      <c r="C505" s="1" t="n">
        <v>45633</v>
      </c>
      <c r="D505" t="inlineStr">
        <is>
          <t>DALARNAS LÄN</t>
        </is>
      </c>
      <c r="E505" t="inlineStr">
        <is>
          <t>BORLÄNGE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6654-2024</t>
        </is>
      </c>
      <c r="B506" s="1" t="n">
        <v>45341</v>
      </c>
      <c r="C506" s="1" t="n">
        <v>45633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6798-2024</t>
        </is>
      </c>
      <c r="B507" s="1" t="n">
        <v>45342</v>
      </c>
      <c r="C507" s="1" t="n">
        <v>45633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6803-2024</t>
        </is>
      </c>
      <c r="B508" s="1" t="n">
        <v>45342</v>
      </c>
      <c r="C508" s="1" t="n">
        <v>45633</v>
      </c>
      <c r="D508" t="inlineStr">
        <is>
          <t>DALARNAS LÄN</t>
        </is>
      </c>
      <c r="E508" t="inlineStr">
        <is>
          <t>BORLÄNGE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9295-2024</t>
        </is>
      </c>
      <c r="B509" s="1" t="n">
        <v>45358</v>
      </c>
      <c r="C509" s="1" t="n">
        <v>45633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10774-2024</t>
        </is>
      </c>
      <c r="B510" s="1" t="n">
        <v>45369</v>
      </c>
      <c r="C510" s="1" t="n">
        <v>45633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10689-2024</t>
        </is>
      </c>
      <c r="B511" s="1" t="n">
        <v>45369</v>
      </c>
      <c r="C511" s="1" t="n">
        <v>45633</v>
      </c>
      <c r="D511" t="inlineStr">
        <is>
          <t>DALARNAS LÄN</t>
        </is>
      </c>
      <c r="E511" t="inlineStr">
        <is>
          <t>BORLÄNGE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12216-2024</t>
        </is>
      </c>
      <c r="B512" s="1" t="n">
        <v>45378</v>
      </c>
      <c r="C512" s="1" t="n">
        <v>45633</v>
      </c>
      <c r="D512" t="inlineStr">
        <is>
          <t>DALARNAS LÄN</t>
        </is>
      </c>
      <c r="E512" t="inlineStr">
        <is>
          <t>BORLÄNGE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12783-2024</t>
        </is>
      </c>
      <c r="B513" s="1" t="n">
        <v>45384</v>
      </c>
      <c r="C513" s="1" t="n">
        <v>45633</v>
      </c>
      <c r="D513" t="inlineStr">
        <is>
          <t>DALARNAS LÄN</t>
        </is>
      </c>
      <c r="E513" t="inlineStr">
        <is>
          <t>BORLÄNGE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12787-2024</t>
        </is>
      </c>
      <c r="B514" s="1" t="n">
        <v>45384</v>
      </c>
      <c r="C514" s="1" t="n">
        <v>45633</v>
      </c>
      <c r="D514" t="inlineStr">
        <is>
          <t>DALARNAS LÄN</t>
        </is>
      </c>
      <c r="E514" t="inlineStr">
        <is>
          <t>BORLÄNGE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13515-2024</t>
        </is>
      </c>
      <c r="B515" s="1" t="n">
        <v>45387</v>
      </c>
      <c r="C515" s="1" t="n">
        <v>45633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</v>
      </c>
      <c r="C516" s="1" t="n">
        <v>45633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13983-2024</t>
        </is>
      </c>
      <c r="B517" s="1" t="n">
        <v>45392</v>
      </c>
      <c r="C517" s="1" t="n">
        <v>45633</v>
      </c>
      <c r="D517" t="inlineStr">
        <is>
          <t>DALARNAS LÄN</t>
        </is>
      </c>
      <c r="E517" t="inlineStr">
        <is>
          <t>BORLÄNGE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14336-2024</t>
        </is>
      </c>
      <c r="B518" s="1" t="n">
        <v>45393</v>
      </c>
      <c r="C518" s="1" t="n">
        <v>45633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14635-2024</t>
        </is>
      </c>
      <c r="B519" s="1" t="n">
        <v>45397</v>
      </c>
      <c r="C519" s="1" t="n">
        <v>45633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15495-2024</t>
        </is>
      </c>
      <c r="B520" s="1" t="n">
        <v>45401</v>
      </c>
      <c r="C520" s="1" t="n">
        <v>45633</v>
      </c>
      <c r="D520" t="inlineStr">
        <is>
          <t>DALARNAS LÄN</t>
        </is>
      </c>
      <c r="E520" t="inlineStr">
        <is>
          <t>BORLÄNGE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15989-2024</t>
        </is>
      </c>
      <c r="B521" s="1" t="n">
        <v>45405</v>
      </c>
      <c r="C521" s="1" t="n">
        <v>45633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15949-2024</t>
        </is>
      </c>
      <c r="B522" s="1" t="n">
        <v>45405</v>
      </c>
      <c r="C522" s="1" t="n">
        <v>45633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HYPERLINK("https://klasma.github.io/Logging_2081/knärot/A 15949-2024 karta knärot.png", "A 15949-2024")</f>
        <v/>
      </c>
      <c r="V522">
        <f>HYPERLINK("https://klasma.github.io/Logging_2081/klagomål/A 15949-2024 FSC-klagomål.docx", "A 15949-2024")</f>
        <v/>
      </c>
      <c r="W522">
        <f>HYPERLINK("https://klasma.github.io/Logging_2081/klagomålsmail/A 15949-2024 FSC-klagomål mail.docx", "A 15949-2024")</f>
        <v/>
      </c>
      <c r="X522">
        <f>HYPERLINK("https://klasma.github.io/Logging_2081/tillsyn/A 15949-2024 tillsynsbegäran.docx", "A 15949-2024")</f>
        <v/>
      </c>
      <c r="Y522">
        <f>HYPERLINK("https://klasma.github.io/Logging_2081/tillsynsmail/A 15949-2024 tillsynsbegäran mail.docx", "A 15949-2024")</f>
        <v/>
      </c>
    </row>
    <row r="523" ht="15" customHeight="1">
      <c r="A523" t="inlineStr">
        <is>
          <t>A 15948-2024</t>
        </is>
      </c>
      <c r="B523" s="1" t="n">
        <v>45405</v>
      </c>
      <c r="C523" s="1" t="n">
        <v>45633</v>
      </c>
      <c r="D523" t="inlineStr">
        <is>
          <t>DALARNAS LÄN</t>
        </is>
      </c>
      <c r="E523" t="inlineStr">
        <is>
          <t>BORLÄNGE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16883-2024</t>
        </is>
      </c>
      <c r="B524" s="1" t="n">
        <v>45411</v>
      </c>
      <c r="C524" s="1" t="n">
        <v>45633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16878-2024</t>
        </is>
      </c>
      <c r="B525" s="1" t="n">
        <v>45411</v>
      </c>
      <c r="C525" s="1" t="n">
        <v>45633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17363-2024</t>
        </is>
      </c>
      <c r="B526" s="1" t="n">
        <v>45414</v>
      </c>
      <c r="C526" s="1" t="n">
        <v>45633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17540-2024</t>
        </is>
      </c>
      <c r="B527" s="1" t="n">
        <v>45415</v>
      </c>
      <c r="C527" s="1" t="n">
        <v>45633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18355-2024</t>
        </is>
      </c>
      <c r="B528" s="1" t="n">
        <v>45422</v>
      </c>
      <c r="C528" s="1" t="n">
        <v>45633</v>
      </c>
      <c r="D528" t="inlineStr">
        <is>
          <t>DALARNAS LÄN</t>
        </is>
      </c>
      <c r="E528" t="inlineStr">
        <is>
          <t>BORLÄNGE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18529-2024</t>
        </is>
      </c>
      <c r="B529" s="1" t="n">
        <v>45425</v>
      </c>
      <c r="C529" s="1" t="n">
        <v>45633</v>
      </c>
      <c r="D529" t="inlineStr">
        <is>
          <t>DALARNAS LÄN</t>
        </is>
      </c>
      <c r="E529" t="inlineStr">
        <is>
          <t>BORLÄNGE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18560-2024</t>
        </is>
      </c>
      <c r="B530" s="1" t="n">
        <v>45425</v>
      </c>
      <c r="C530" s="1" t="n">
        <v>45633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20237-2024</t>
        </is>
      </c>
      <c r="B531" s="1" t="n">
        <v>45434</v>
      </c>
      <c r="C531" s="1" t="n">
        <v>45633</v>
      </c>
      <c r="D531" t="inlineStr">
        <is>
          <t>DALARNAS LÄN</t>
        </is>
      </c>
      <c r="E531" t="inlineStr">
        <is>
          <t>BORLÄNGE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20314-2024</t>
        </is>
      </c>
      <c r="B532" s="1" t="n">
        <v>45435</v>
      </c>
      <c r="C532" s="1" t="n">
        <v>45633</v>
      </c>
      <c r="D532" t="inlineStr">
        <is>
          <t>DALARNAS LÄN</t>
        </is>
      </c>
      <c r="E532" t="inlineStr">
        <is>
          <t>BORLÄNGE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20578-2024</t>
        </is>
      </c>
      <c r="B533" s="1" t="n">
        <v>45436</v>
      </c>
      <c r="C533" s="1" t="n">
        <v>45633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20585-2024</t>
        </is>
      </c>
      <c r="B534" s="1" t="n">
        <v>45436</v>
      </c>
      <c r="C534" s="1" t="n">
        <v>45633</v>
      </c>
      <c r="D534" t="inlineStr">
        <is>
          <t>DALARNAS LÄN</t>
        </is>
      </c>
      <c r="E534" t="inlineStr">
        <is>
          <t>BORLÄNGE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20535-2024</t>
        </is>
      </c>
      <c r="B535" s="1" t="n">
        <v>45436</v>
      </c>
      <c r="C535" s="1" t="n">
        <v>45633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20581-2024</t>
        </is>
      </c>
      <c r="B536" s="1" t="n">
        <v>45436</v>
      </c>
      <c r="C536" s="1" t="n">
        <v>45633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20784-2024</t>
        </is>
      </c>
      <c r="B537" s="1" t="n">
        <v>45437</v>
      </c>
      <c r="C537" s="1" t="n">
        <v>45633</v>
      </c>
      <c r="D537" t="inlineStr">
        <is>
          <t>DALARNAS LÄN</t>
        </is>
      </c>
      <c r="E537" t="inlineStr">
        <is>
          <t>BORLÄNGE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20795-2024</t>
        </is>
      </c>
      <c r="B538" s="1" t="n">
        <v>45439</v>
      </c>
      <c r="C538" s="1" t="n">
        <v>45633</v>
      </c>
      <c r="D538" t="inlineStr">
        <is>
          <t>DALARNAS LÄN</t>
        </is>
      </c>
      <c r="E538" t="inlineStr">
        <is>
          <t>BORLÄNGE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20814-2024</t>
        </is>
      </c>
      <c r="B539" s="1" t="n">
        <v>45439</v>
      </c>
      <c r="C539" s="1" t="n">
        <v>45633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20939-2024</t>
        </is>
      </c>
      <c r="B540" s="1" t="n">
        <v>45439</v>
      </c>
      <c r="C540" s="1" t="n">
        <v>45633</v>
      </c>
      <c r="D540" t="inlineStr">
        <is>
          <t>DALARNAS LÄN</t>
        </is>
      </c>
      <c r="E540" t="inlineStr">
        <is>
          <t>BORLÄNGE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20919-2024</t>
        </is>
      </c>
      <c r="B541" s="1" t="n">
        <v>45439</v>
      </c>
      <c r="C541" s="1" t="n">
        <v>45633</v>
      </c>
      <c r="D541" t="inlineStr">
        <is>
          <t>DALARNAS LÄN</t>
        </is>
      </c>
      <c r="E541" t="inlineStr">
        <is>
          <t>BORLÄNGE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21491-2024</t>
        </is>
      </c>
      <c r="B542" s="1" t="n">
        <v>45441</v>
      </c>
      <c r="C542" s="1" t="n">
        <v>45633</v>
      </c>
      <c r="D542" t="inlineStr">
        <is>
          <t>DALARNAS LÄN</t>
        </is>
      </c>
      <c r="E542" t="inlineStr">
        <is>
          <t>BORLÄNGE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21541-2024</t>
        </is>
      </c>
      <c r="B543" s="1" t="n">
        <v>45441</v>
      </c>
      <c r="C543" s="1" t="n">
        <v>45633</v>
      </c>
      <c r="D543" t="inlineStr">
        <is>
          <t>DALARNAS LÄN</t>
        </is>
      </c>
      <c r="E543" t="inlineStr">
        <is>
          <t>BORLÄNGE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21541-2024 karta knärot.png", "A 21541-2024")</f>
        <v/>
      </c>
      <c r="V543">
        <f>HYPERLINK("https://klasma.github.io/Logging_2081/klagomål/A 21541-2024 FSC-klagomål.docx", "A 21541-2024")</f>
        <v/>
      </c>
      <c r="W543">
        <f>HYPERLINK("https://klasma.github.io/Logging_2081/klagomålsmail/A 21541-2024 FSC-klagomål mail.docx", "A 21541-2024")</f>
        <v/>
      </c>
      <c r="X543">
        <f>HYPERLINK("https://klasma.github.io/Logging_2081/tillsyn/A 21541-2024 tillsynsbegäran.docx", "A 21541-2024")</f>
        <v/>
      </c>
      <c r="Y543">
        <f>HYPERLINK("https://klasma.github.io/Logging_2081/tillsynsmail/A 21541-2024 tillsynsbegäran mail.docx", "A 21541-2024")</f>
        <v/>
      </c>
    </row>
    <row r="544" ht="15" customHeight="1">
      <c r="A544" t="inlineStr">
        <is>
          <t>A 21979-2024</t>
        </is>
      </c>
      <c r="B544" s="1" t="n">
        <v>45443</v>
      </c>
      <c r="C544" s="1" t="n">
        <v>45633</v>
      </c>
      <c r="D544" t="inlineStr">
        <is>
          <t>DALARNAS LÄN</t>
        </is>
      </c>
      <c r="E544" t="inlineStr">
        <is>
          <t>BORLÄNGE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22652-2024</t>
        </is>
      </c>
      <c r="B545" s="1" t="n">
        <v>45447</v>
      </c>
      <c r="C545" s="1" t="n">
        <v>45633</v>
      </c>
      <c r="D545" t="inlineStr">
        <is>
          <t>DALARNAS LÄN</t>
        </is>
      </c>
      <c r="E545" t="inlineStr">
        <is>
          <t>BORLÄNGE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22649-2024</t>
        </is>
      </c>
      <c r="B546" s="1" t="n">
        <v>45447</v>
      </c>
      <c r="C546" s="1" t="n">
        <v>45633</v>
      </c>
      <c r="D546" t="inlineStr">
        <is>
          <t>DALARNAS LÄN</t>
        </is>
      </c>
      <c r="E546" t="inlineStr">
        <is>
          <t>BORLÄNGE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23918-2024</t>
        </is>
      </c>
      <c r="B547" s="1" t="n">
        <v>45455</v>
      </c>
      <c r="C547" s="1" t="n">
        <v>45633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24313-2024</t>
        </is>
      </c>
      <c r="B548" s="1" t="n">
        <v>45457</v>
      </c>
      <c r="C548" s="1" t="n">
        <v>45633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25627-2024</t>
        </is>
      </c>
      <c r="B549" s="1" t="n">
        <v>45463</v>
      </c>
      <c r="C549" s="1" t="n">
        <v>45633</v>
      </c>
      <c r="D549" t="inlineStr">
        <is>
          <t>DALARNAS LÄN</t>
        </is>
      </c>
      <c r="E549" t="inlineStr">
        <is>
          <t>BORLÄNGE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26370-2024</t>
        </is>
      </c>
      <c r="B550" s="1" t="n">
        <v>45469</v>
      </c>
      <c r="C550" s="1" t="n">
        <v>45633</v>
      </c>
      <c r="D550" t="inlineStr">
        <is>
          <t>DALARNAS LÄN</t>
        </is>
      </c>
      <c r="E550" t="inlineStr">
        <is>
          <t>BORLÄNGE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26410-2024</t>
        </is>
      </c>
      <c r="B551" s="1" t="n">
        <v>45469</v>
      </c>
      <c r="C551" s="1" t="n">
        <v>45633</v>
      </c>
      <c r="D551" t="inlineStr">
        <is>
          <t>DALARNAS LÄN</t>
        </is>
      </c>
      <c r="E551" t="inlineStr">
        <is>
          <t>BORLÄNGE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26886-2024</t>
        </is>
      </c>
      <c r="B552" s="1" t="n">
        <v>45470</v>
      </c>
      <c r="C552" s="1" t="n">
        <v>45633</v>
      </c>
      <c r="D552" t="inlineStr">
        <is>
          <t>DALARNAS LÄN</t>
        </is>
      </c>
      <c r="E552" t="inlineStr">
        <is>
          <t>BORLÄNGE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26886-2024 karta knärot.png", "A 26886-2024")</f>
        <v/>
      </c>
      <c r="V552">
        <f>HYPERLINK("https://klasma.github.io/Logging_2081/klagomål/A 26886-2024 FSC-klagomål.docx", "A 26886-2024")</f>
        <v/>
      </c>
      <c r="W552">
        <f>HYPERLINK("https://klasma.github.io/Logging_2081/klagomålsmail/A 26886-2024 FSC-klagomål mail.docx", "A 26886-2024")</f>
        <v/>
      </c>
      <c r="X552">
        <f>HYPERLINK("https://klasma.github.io/Logging_2081/tillsyn/A 26886-2024 tillsynsbegäran.docx", "A 26886-2024")</f>
        <v/>
      </c>
      <c r="Y552">
        <f>HYPERLINK("https://klasma.github.io/Logging_2081/tillsynsmail/A 26886-2024 tillsynsbegäran mail.docx", "A 26886-2024")</f>
        <v/>
      </c>
    </row>
    <row r="553" ht="15" customHeight="1">
      <c r="A553" t="inlineStr">
        <is>
          <t>A 27004-2024</t>
        </is>
      </c>
      <c r="B553" s="1" t="n">
        <v>45471</v>
      </c>
      <c r="C553" s="1" t="n">
        <v>45633</v>
      </c>
      <c r="D553" t="inlineStr">
        <is>
          <t>DALARNAS LÄN</t>
        </is>
      </c>
      <c r="E553" t="inlineStr">
        <is>
          <t>BORLÄNGE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27720-2024</t>
        </is>
      </c>
      <c r="B554" s="1" t="n">
        <v>45475</v>
      </c>
      <c r="C554" s="1" t="n">
        <v>45633</v>
      </c>
      <c r="D554" t="inlineStr">
        <is>
          <t>DALARNAS LÄN</t>
        </is>
      </c>
      <c r="E554" t="inlineStr">
        <is>
          <t>BORLÄNGE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27717-2024</t>
        </is>
      </c>
      <c r="B555" s="1" t="n">
        <v>45475</v>
      </c>
      <c r="C555" s="1" t="n">
        <v>45633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28297-2024</t>
        </is>
      </c>
      <c r="B556" s="1" t="n">
        <v>45477</v>
      </c>
      <c r="C556" s="1" t="n">
        <v>45633</v>
      </c>
      <c r="D556" t="inlineStr">
        <is>
          <t>DALARNAS LÄN</t>
        </is>
      </c>
      <c r="E556" t="inlineStr">
        <is>
          <t>BORLÄNGE</t>
        </is>
      </c>
      <c r="F556" t="inlineStr">
        <is>
          <t>Övriga statliga verk och myndigheter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28321-2024</t>
        </is>
      </c>
      <c r="B557" s="1" t="n">
        <v>45477</v>
      </c>
      <c r="C557" s="1" t="n">
        <v>45633</v>
      </c>
      <c r="D557" t="inlineStr">
        <is>
          <t>DALARNAS LÄN</t>
        </is>
      </c>
      <c r="E557" t="inlineStr">
        <is>
          <t>BORLÄNGE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28324-2024</t>
        </is>
      </c>
      <c r="B558" s="1" t="n">
        <v>45477</v>
      </c>
      <c r="C558" s="1" t="n">
        <v>45633</v>
      </c>
      <c r="D558" t="inlineStr">
        <is>
          <t>DALARNAS LÄN</t>
        </is>
      </c>
      <c r="E558" t="inlineStr">
        <is>
          <t>BORLÄNGE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28750-2024</t>
        </is>
      </c>
      <c r="B559" s="1" t="n">
        <v>45478</v>
      </c>
      <c r="C559" s="1" t="n">
        <v>45633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29021-2024</t>
        </is>
      </c>
      <c r="B560" s="1" t="n">
        <v>45481</v>
      </c>
      <c r="C560" s="1" t="n">
        <v>45633</v>
      </c>
      <c r="D560" t="inlineStr">
        <is>
          <t>DALARNAS LÄN</t>
        </is>
      </c>
      <c r="E560" t="inlineStr">
        <is>
          <t>BORLÄNGE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29851-2024</t>
        </is>
      </c>
      <c r="B561" s="1" t="n">
        <v>45485</v>
      </c>
      <c r="C561" s="1" t="n">
        <v>45633</v>
      </c>
      <c r="D561" t="inlineStr">
        <is>
          <t>DALARNAS LÄN</t>
        </is>
      </c>
      <c r="E561" t="inlineStr">
        <is>
          <t>BORLÄNGE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29860-2024</t>
        </is>
      </c>
      <c r="B562" s="1" t="n">
        <v>45485</v>
      </c>
      <c r="C562" s="1" t="n">
        <v>45633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29856-2024</t>
        </is>
      </c>
      <c r="B563" s="1" t="n">
        <v>45485</v>
      </c>
      <c r="C563" s="1" t="n">
        <v>45633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29854-2024</t>
        </is>
      </c>
      <c r="B564" s="1" t="n">
        <v>45485</v>
      </c>
      <c r="C564" s="1" t="n">
        <v>45633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29861-2024</t>
        </is>
      </c>
      <c r="B565" s="1" t="n">
        <v>45485</v>
      </c>
      <c r="C565" s="1" t="n">
        <v>45633</v>
      </c>
      <c r="D565" t="inlineStr">
        <is>
          <t>DALARNAS LÄN</t>
        </is>
      </c>
      <c r="E565" t="inlineStr">
        <is>
          <t>BORLÄNGE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30162-2024</t>
        </is>
      </c>
      <c r="B566" s="1" t="n">
        <v>45489</v>
      </c>
      <c r="C566" s="1" t="n">
        <v>45633</v>
      </c>
      <c r="D566" t="inlineStr">
        <is>
          <t>DALARNAS LÄN</t>
        </is>
      </c>
      <c r="E566" t="inlineStr">
        <is>
          <t>BORLÄNGE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30303-2024</t>
        </is>
      </c>
      <c r="B567" s="1" t="n">
        <v>45490</v>
      </c>
      <c r="C567" s="1" t="n">
        <v>45633</v>
      </c>
      <c r="D567" t="inlineStr">
        <is>
          <t>DALARNAS LÄN</t>
        </is>
      </c>
      <c r="E567" t="inlineStr">
        <is>
          <t>BORLÄNGE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31579-2024</t>
        </is>
      </c>
      <c r="B568" s="1" t="n">
        <v>45506</v>
      </c>
      <c r="C568" s="1" t="n">
        <v>45633</v>
      </c>
      <c r="D568" t="inlineStr">
        <is>
          <t>DALARNAS LÄN</t>
        </is>
      </c>
      <c r="E568" t="inlineStr">
        <is>
          <t>BORLÄNGE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31740-2024</t>
        </is>
      </c>
      <c r="B569" s="1" t="n">
        <v>45509</v>
      </c>
      <c r="C569" s="1" t="n">
        <v>45633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32000-2024</t>
        </is>
      </c>
      <c r="B570" s="1" t="n">
        <v>45510</v>
      </c>
      <c r="C570" s="1" t="n">
        <v>45633</v>
      </c>
      <c r="D570" t="inlineStr">
        <is>
          <t>DALARNAS LÄN</t>
        </is>
      </c>
      <c r="E570" t="inlineStr">
        <is>
          <t>BORLÄNGE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32428-2024</t>
        </is>
      </c>
      <c r="B571" s="1" t="n">
        <v>45512</v>
      </c>
      <c r="C571" s="1" t="n">
        <v>45633</v>
      </c>
      <c r="D571" t="inlineStr">
        <is>
          <t>DALARNAS LÄN</t>
        </is>
      </c>
      <c r="E571" t="inlineStr">
        <is>
          <t>BORLÄNGE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32591-2024</t>
        </is>
      </c>
      <c r="B572" s="1" t="n">
        <v>45513</v>
      </c>
      <c r="C572" s="1" t="n">
        <v>45633</v>
      </c>
      <c r="D572" t="inlineStr">
        <is>
          <t>DALARNAS LÄN</t>
        </is>
      </c>
      <c r="E572" t="inlineStr">
        <is>
          <t>BORLÄNGE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33007-2024</t>
        </is>
      </c>
      <c r="B573" s="1" t="n">
        <v>45517</v>
      </c>
      <c r="C573" s="1" t="n">
        <v>45633</v>
      </c>
      <c r="D573" t="inlineStr">
        <is>
          <t>DALARNAS LÄN</t>
        </is>
      </c>
      <c r="E573" t="inlineStr">
        <is>
          <t>BORLÄNGE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33107-2024</t>
        </is>
      </c>
      <c r="B574" s="1" t="n">
        <v>45517</v>
      </c>
      <c r="C574" s="1" t="n">
        <v>45633</v>
      </c>
      <c r="D574" t="inlineStr">
        <is>
          <t>DALARNAS LÄN</t>
        </is>
      </c>
      <c r="E574" t="inlineStr">
        <is>
          <t>BORLÄNGE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32940-2024</t>
        </is>
      </c>
      <c r="B575" s="1" t="n">
        <v>45517</v>
      </c>
      <c r="C575" s="1" t="n">
        <v>45633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32941-2024</t>
        </is>
      </c>
      <c r="B576" s="1" t="n">
        <v>45517</v>
      </c>
      <c r="C576" s="1" t="n">
        <v>45633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32927-2024</t>
        </is>
      </c>
      <c r="B577" s="1" t="n">
        <v>45517</v>
      </c>
      <c r="C577" s="1" t="n">
        <v>45633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34783-2024</t>
        </is>
      </c>
      <c r="B578" s="1" t="n">
        <v>45526</v>
      </c>
      <c r="C578" s="1" t="n">
        <v>45633</v>
      </c>
      <c r="D578" t="inlineStr">
        <is>
          <t>DALARNAS LÄN</t>
        </is>
      </c>
      <c r="E578" t="inlineStr">
        <is>
          <t>BORLÄNGE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34882-2024</t>
        </is>
      </c>
      <c r="B579" s="1" t="n">
        <v>45527</v>
      </c>
      <c r="C579" s="1" t="n">
        <v>45633</v>
      </c>
      <c r="D579" t="inlineStr">
        <is>
          <t>DALARNAS LÄN</t>
        </is>
      </c>
      <c r="E579" t="inlineStr">
        <is>
          <t>BORLÄNGE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34868-2024</t>
        </is>
      </c>
      <c r="B580" s="1" t="n">
        <v>45527</v>
      </c>
      <c r="C580" s="1" t="n">
        <v>45633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35146-2024</t>
        </is>
      </c>
      <c r="B581" s="1" t="n">
        <v>45530</v>
      </c>
      <c r="C581" s="1" t="n">
        <v>45633</v>
      </c>
      <c r="D581" t="inlineStr">
        <is>
          <t>DALARNAS LÄN</t>
        </is>
      </c>
      <c r="E581" t="inlineStr">
        <is>
          <t>BORLÄNGE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36217-2024</t>
        </is>
      </c>
      <c r="B582" s="1" t="n">
        <v>45534</v>
      </c>
      <c r="C582" s="1" t="n">
        <v>45633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36214-2024</t>
        </is>
      </c>
      <c r="B583" s="1" t="n">
        <v>45534</v>
      </c>
      <c r="C583" s="1" t="n">
        <v>45633</v>
      </c>
      <c r="D583" t="inlineStr">
        <is>
          <t>DALARNAS LÄN</t>
        </is>
      </c>
      <c r="E583" t="inlineStr">
        <is>
          <t>BORLÄNGE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36226-2024</t>
        </is>
      </c>
      <c r="B584" s="1" t="n">
        <v>45534</v>
      </c>
      <c r="C584" s="1" t="n">
        <v>45633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36422-2024</t>
        </is>
      </c>
      <c r="B585" s="1" t="n">
        <v>45536</v>
      </c>
      <c r="C585" s="1" t="n">
        <v>45633</v>
      </c>
      <c r="D585" t="inlineStr">
        <is>
          <t>DALARNAS LÄN</t>
        </is>
      </c>
      <c r="E585" t="inlineStr">
        <is>
          <t>BORLÄNGE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36423-2024</t>
        </is>
      </c>
      <c r="B586" s="1" t="n">
        <v>45536</v>
      </c>
      <c r="C586" s="1" t="n">
        <v>45633</v>
      </c>
      <c r="D586" t="inlineStr">
        <is>
          <t>DALARNAS LÄN</t>
        </is>
      </c>
      <c r="E586" t="inlineStr">
        <is>
          <t>BORLÄNGE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36424-2024</t>
        </is>
      </c>
      <c r="B587" s="1" t="n">
        <v>45536</v>
      </c>
      <c r="C587" s="1" t="n">
        <v>45633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36739-2024</t>
        </is>
      </c>
      <c r="B588" s="1" t="n">
        <v>45538</v>
      </c>
      <c r="C588" s="1" t="n">
        <v>45633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37656-2024</t>
        </is>
      </c>
      <c r="B589" s="1" t="n">
        <v>45541</v>
      </c>
      <c r="C589" s="1" t="n">
        <v>45633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37722-2024</t>
        </is>
      </c>
      <c r="B590" s="1" t="n">
        <v>45541</v>
      </c>
      <c r="C590" s="1" t="n">
        <v>45633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37708-2024</t>
        </is>
      </c>
      <c r="B591" s="1" t="n">
        <v>45541</v>
      </c>
      <c r="C591" s="1" t="n">
        <v>45633</v>
      </c>
      <c r="D591" t="inlineStr">
        <is>
          <t>DALARNAS LÄN</t>
        </is>
      </c>
      <c r="E591" t="inlineStr">
        <is>
          <t>BORLÄNGE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37788-2024</t>
        </is>
      </c>
      <c r="B592" s="1" t="n">
        <v>45542</v>
      </c>
      <c r="C592" s="1" t="n">
        <v>45633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37785-2024</t>
        </is>
      </c>
      <c r="B593" s="1" t="n">
        <v>45542</v>
      </c>
      <c r="C593" s="1" t="n">
        <v>45633</v>
      </c>
      <c r="D593" t="inlineStr">
        <is>
          <t>DALARNAS LÄN</t>
        </is>
      </c>
      <c r="E593" t="inlineStr">
        <is>
          <t>BORLÄNGE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38008-2024</t>
        </is>
      </c>
      <c r="B594" s="1" t="n">
        <v>45544</v>
      </c>
      <c r="C594" s="1" t="n">
        <v>45633</v>
      </c>
      <c r="D594" t="inlineStr">
        <is>
          <t>DALARNAS LÄN</t>
        </is>
      </c>
      <c r="E594" t="inlineStr">
        <is>
          <t>BORLÄNGE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38181-2024</t>
        </is>
      </c>
      <c r="B595" s="1" t="n">
        <v>45545</v>
      </c>
      <c r="C595" s="1" t="n">
        <v>45633</v>
      </c>
      <c r="D595" t="inlineStr">
        <is>
          <t>DALARNAS LÄN</t>
        </is>
      </c>
      <c r="E595" t="inlineStr">
        <is>
          <t>BORLÄNGE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38178-2024</t>
        </is>
      </c>
      <c r="B596" s="1" t="n">
        <v>45545</v>
      </c>
      <c r="C596" s="1" t="n">
        <v>45633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39377-2024</t>
        </is>
      </c>
      <c r="B597" s="1" t="n">
        <v>45551</v>
      </c>
      <c r="C597" s="1" t="n">
        <v>45633</v>
      </c>
      <c r="D597" t="inlineStr">
        <is>
          <t>DALARNAS LÄN</t>
        </is>
      </c>
      <c r="E597" t="inlineStr">
        <is>
          <t>BORLÄNGE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39395-2024</t>
        </is>
      </c>
      <c r="B598" s="1" t="n">
        <v>45551</v>
      </c>
      <c r="C598" s="1" t="n">
        <v>45633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41276-2024</t>
        </is>
      </c>
      <c r="B599" s="1" t="n">
        <v>45559</v>
      </c>
      <c r="C599" s="1" t="n">
        <v>45633</v>
      </c>
      <c r="D599" t="inlineStr">
        <is>
          <t>DALARNAS LÄN</t>
        </is>
      </c>
      <c r="E599" t="inlineStr">
        <is>
          <t>BORLÄNGE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41257-2024</t>
        </is>
      </c>
      <c r="B600" s="1" t="n">
        <v>45559</v>
      </c>
      <c r="C600" s="1" t="n">
        <v>45633</v>
      </c>
      <c r="D600" t="inlineStr">
        <is>
          <t>DALARNAS LÄN</t>
        </is>
      </c>
      <c r="E600" t="inlineStr">
        <is>
          <t>BORLÄNGE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42447-2024</t>
        </is>
      </c>
      <c r="B601" s="1" t="n">
        <v>45565</v>
      </c>
      <c r="C601" s="1" t="n">
        <v>45633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42612-2024</t>
        </is>
      </c>
      <c r="B602" s="1" t="n">
        <v>45565</v>
      </c>
      <c r="C602" s="1" t="n">
        <v>45633</v>
      </c>
      <c r="D602" t="inlineStr">
        <is>
          <t>DALARNAS LÄN</t>
        </is>
      </c>
      <c r="E602" t="inlineStr">
        <is>
          <t>BORLÄNGE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42668-2024</t>
        </is>
      </c>
      <c r="B603" s="1" t="n">
        <v>45566</v>
      </c>
      <c r="C603" s="1" t="n">
        <v>45633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43497-2024</t>
        </is>
      </c>
      <c r="B604" s="1" t="n">
        <v>45568</v>
      </c>
      <c r="C604" s="1" t="n">
        <v>45633</v>
      </c>
      <c r="D604" t="inlineStr">
        <is>
          <t>DALARNAS LÄN</t>
        </is>
      </c>
      <c r="E604" t="inlineStr">
        <is>
          <t>BORLÄNGE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43713-2024</t>
        </is>
      </c>
      <c r="B605" s="1" t="n">
        <v>45569</v>
      </c>
      <c r="C605" s="1" t="n">
        <v>45633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43515-2024</t>
        </is>
      </c>
      <c r="B606" s="1" t="n">
        <v>45569</v>
      </c>
      <c r="C606" s="1" t="n">
        <v>45633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43918-2024</t>
        </is>
      </c>
      <c r="B607" s="1" t="n">
        <v>45572</v>
      </c>
      <c r="C607" s="1" t="n">
        <v>45633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43957-2024</t>
        </is>
      </c>
      <c r="B608" s="1" t="n">
        <v>45572</v>
      </c>
      <c r="C608" s="1" t="n">
        <v>45633</v>
      </c>
      <c r="D608" t="inlineStr">
        <is>
          <t>DALARNAS LÄN</t>
        </is>
      </c>
      <c r="E608" t="inlineStr">
        <is>
          <t>BORLÄNGE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44896-2024</t>
        </is>
      </c>
      <c r="B609" s="1" t="n">
        <v>45575</v>
      </c>
      <c r="C609" s="1" t="n">
        <v>45633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44928-2024</t>
        </is>
      </c>
      <c r="B610" s="1" t="n">
        <v>45575</v>
      </c>
      <c r="C610" s="1" t="n">
        <v>45633</v>
      </c>
      <c r="D610" t="inlineStr">
        <is>
          <t>DALARNAS LÄN</t>
        </is>
      </c>
      <c r="E610" t="inlineStr">
        <is>
          <t>BORLÄNGE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45342-2024</t>
        </is>
      </c>
      <c r="B611" s="1" t="n">
        <v>45576</v>
      </c>
      <c r="C611" s="1" t="n">
        <v>45633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45959-2024</t>
        </is>
      </c>
      <c r="B612" s="1" t="n">
        <v>45580</v>
      </c>
      <c r="C612" s="1" t="n">
        <v>45633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47197-2024</t>
        </is>
      </c>
      <c r="B613" s="1" t="n">
        <v>45586</v>
      </c>
      <c r="C613" s="1" t="n">
        <v>45633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47109-2024</t>
        </is>
      </c>
      <c r="B614" s="1" t="n">
        <v>45586</v>
      </c>
      <c r="C614" s="1" t="n">
        <v>45633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51716-2024</t>
        </is>
      </c>
      <c r="B615" s="1" t="n">
        <v>45607</v>
      </c>
      <c r="C615" s="1" t="n">
        <v>45633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51675-2024</t>
        </is>
      </c>
      <c r="B616" s="1" t="n">
        <v>45607</v>
      </c>
      <c r="C616" s="1" t="n">
        <v>45633</v>
      </c>
      <c r="D616" t="inlineStr">
        <is>
          <t>DALARNAS LÄN</t>
        </is>
      </c>
      <c r="E616" t="inlineStr">
        <is>
          <t>BORLÄNGE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52522-2024</t>
        </is>
      </c>
      <c r="B617" s="1" t="n">
        <v>45609</v>
      </c>
      <c r="C617" s="1" t="n">
        <v>45633</v>
      </c>
      <c r="D617" t="inlineStr">
        <is>
          <t>DALARNAS LÄN</t>
        </is>
      </c>
      <c r="E617" t="inlineStr">
        <is>
          <t>BORLÄNGE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52504-2024</t>
        </is>
      </c>
      <c r="B618" s="1" t="n">
        <v>45609</v>
      </c>
      <c r="C618" s="1" t="n">
        <v>45633</v>
      </c>
      <c r="D618" t="inlineStr">
        <is>
          <t>DALARNAS LÄN</t>
        </is>
      </c>
      <c r="E618" t="inlineStr">
        <is>
          <t>BORLÄNGE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53581-2024</t>
        </is>
      </c>
      <c r="B619" s="1" t="n">
        <v>45614</v>
      </c>
      <c r="C619" s="1" t="n">
        <v>45633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54414-2024</t>
        </is>
      </c>
      <c r="B620" s="1" t="n">
        <v>45617</v>
      </c>
      <c r="C620" s="1" t="n">
        <v>45633</v>
      </c>
      <c r="D620" t="inlineStr">
        <is>
          <t>DALARNAS LÄN</t>
        </is>
      </c>
      <c r="E620" t="inlineStr">
        <is>
          <t>BORLÄNGE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54420-2024</t>
        </is>
      </c>
      <c r="B621" s="1" t="n">
        <v>45617</v>
      </c>
      <c r="C621" s="1" t="n">
        <v>45633</v>
      </c>
      <c r="D621" t="inlineStr">
        <is>
          <t>DALARNAS LÄN</t>
        </is>
      </c>
      <c r="E621" t="inlineStr">
        <is>
          <t>BORLÄNGE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56323-2024</t>
        </is>
      </c>
      <c r="B622" s="1" t="n">
        <v>45624</v>
      </c>
      <c r="C622" s="1" t="n">
        <v>45633</v>
      </c>
      <c r="D622" t="inlineStr">
        <is>
          <t>DALARNAS LÄN</t>
        </is>
      </c>
      <c r="E622" t="inlineStr">
        <is>
          <t>BORLÄNGE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56350-2024</t>
        </is>
      </c>
      <c r="B623" s="1" t="n">
        <v>45624</v>
      </c>
      <c r="C623" s="1" t="n">
        <v>45633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56437-2024</t>
        </is>
      </c>
      <c r="B624" s="1" t="n">
        <v>45625</v>
      </c>
      <c r="C624" s="1" t="n">
        <v>45633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56506-2024</t>
        </is>
      </c>
      <c r="B625" s="1" t="n">
        <v>45625</v>
      </c>
      <c r="C625" s="1" t="n">
        <v>45633</v>
      </c>
      <c r="D625" t="inlineStr">
        <is>
          <t>DALARNAS LÄN</t>
        </is>
      </c>
      <c r="E625" t="inlineStr">
        <is>
          <t>BORLÄNGE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56465-2024</t>
        </is>
      </c>
      <c r="B626" s="1" t="n">
        <v>45625</v>
      </c>
      <c r="C626" s="1" t="n">
        <v>45633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57622-2024</t>
        </is>
      </c>
      <c r="B627" s="1" t="n">
        <v>45630</v>
      </c>
      <c r="C627" s="1" t="n">
        <v>45633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57898-2024</t>
        </is>
      </c>
      <c r="B628" s="1" t="n">
        <v>45631</v>
      </c>
      <c r="C628" s="1" t="n">
        <v>45633</v>
      </c>
      <c r="D628" t="inlineStr">
        <is>
          <t>DALARNAS LÄN</t>
        </is>
      </c>
      <c r="E628" t="inlineStr">
        <is>
          <t>BORLÄNGE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57968-2024</t>
        </is>
      </c>
      <c r="B629" s="1" t="n">
        <v>45631</v>
      </c>
      <c r="C629" s="1" t="n">
        <v>45633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58283-2024</t>
        </is>
      </c>
      <c r="B630" s="1" t="n">
        <v>45632</v>
      </c>
      <c r="C630" s="1" t="n">
        <v>45633</v>
      </c>
      <c r="D630" t="inlineStr">
        <is>
          <t>DALARNAS LÄN</t>
        </is>
      </c>
      <c r="E630" t="inlineStr">
        <is>
          <t>BORLÄNGE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2024-12-07T14:43:35Z</dcterms:created>
  <dcterms:modified xmlns:dcterms="http://purl.org/dc/terms/" xmlns:xsi="http://www.w3.org/2001/XMLSchema-instance" xsi:type="dcterms:W3CDTF">2024-12-07T14:43:36Z</dcterms:modified>
</cp:coreProperties>
</file>