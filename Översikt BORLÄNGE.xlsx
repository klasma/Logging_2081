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45744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45744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45744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45744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45744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45744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45744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45744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45744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45744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45744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45744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45744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45744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45744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45744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45744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45744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45744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45744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45744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36739-2024</t>
        </is>
      </c>
      <c r="B23" s="1" t="n">
        <v>45538</v>
      </c>
      <c r="C23" s="1" t="n">
        <v>45744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9.5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Mindre märgborre</t>
        </is>
      </c>
      <c r="S23">
        <f>HYPERLINK("https://klasma.github.io/Logging_2081/artfynd/A 36739-2024 artfynd.xlsx", "A 36739-2024")</f>
        <v/>
      </c>
      <c r="T23">
        <f>HYPERLINK("https://klasma.github.io/Logging_2081/kartor/A 36739-2024 karta.png", "A 36739-2024")</f>
        <v/>
      </c>
      <c r="U23">
        <f>HYPERLINK("https://klasma.github.io/Logging_2081/knärot/A 36739-2024 karta knärot.png", "A 36739-2024")</f>
        <v/>
      </c>
      <c r="V23">
        <f>HYPERLINK("https://klasma.github.io/Logging_2081/klagomål/A 36739-2024 FSC-klagomål.docx", "A 36739-2024")</f>
        <v/>
      </c>
      <c r="W23">
        <f>HYPERLINK("https://klasma.github.io/Logging_2081/klagomålsmail/A 36739-2024 FSC-klagomål mail.docx", "A 36739-2024")</f>
        <v/>
      </c>
      <c r="X23">
        <f>HYPERLINK("https://klasma.github.io/Logging_2081/tillsyn/A 36739-2024 tillsynsbegäran.docx", "A 36739-2024")</f>
        <v/>
      </c>
      <c r="Y23">
        <f>HYPERLINK("https://klasma.github.io/Logging_2081/tillsynsmail/A 36739-2024 tillsynsbegäran mail.docx", "A 36739-2024")</f>
        <v/>
      </c>
      <c r="Z23">
        <f>HYPERLINK("https://klasma.github.io/Logging_2081/fåglar/A 36739-2024 prioriterade fågelarter.docx", "A 36739-2024")</f>
        <v/>
      </c>
    </row>
    <row r="24" ht="15" customHeight="1">
      <c r="A24" t="inlineStr">
        <is>
          <t>A 3060-2025</t>
        </is>
      </c>
      <c r="B24" s="1" t="n">
        <v>45678</v>
      </c>
      <c r="C24" s="1" t="n">
        <v>45744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11710-2025</t>
        </is>
      </c>
      <c r="B25" s="1" t="n">
        <v>45727</v>
      </c>
      <c r="C25" s="1" t="n">
        <v>45744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11710-2025 artfynd.xlsx", "A 11710-2025")</f>
        <v/>
      </c>
      <c r="T25">
        <f>HYPERLINK("https://klasma.github.io/Logging_2081/kartor/A 11710-2025 karta.png", "A 11710-2025")</f>
        <v/>
      </c>
      <c r="U25">
        <f>HYPERLINK("https://klasma.github.io/Logging_2081/knärot/A 11710-2025 karta knärot.png", "A 11710-2025")</f>
        <v/>
      </c>
      <c r="V25">
        <f>HYPERLINK("https://klasma.github.io/Logging_2081/klagomål/A 11710-2025 FSC-klagomål.docx", "A 11710-2025")</f>
        <v/>
      </c>
      <c r="W25">
        <f>HYPERLINK("https://klasma.github.io/Logging_2081/klagomålsmail/A 11710-2025 FSC-klagomål mail.docx", "A 11710-2025")</f>
        <v/>
      </c>
      <c r="X25">
        <f>HYPERLINK("https://klasma.github.io/Logging_2081/tillsyn/A 11710-2025 tillsynsbegäran.docx", "A 11710-2025")</f>
        <v/>
      </c>
      <c r="Y25">
        <f>HYPERLINK("https://klasma.github.io/Logging_2081/tillsynsmail/A 11710-2025 tillsynsbegäran mail.docx", "A 11710-2025")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45744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45744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45744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45744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45744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45744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45744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45744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45744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45744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45744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45744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45744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45744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45744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45744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45744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45744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45744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45744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45744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45744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45744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45744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45744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45744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45744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45744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45744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45744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45744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45744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45744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45744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45744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45744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45744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45744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45744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45744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45744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45744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45744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45744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45744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45744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45744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45744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45744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45744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45744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45744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45744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45744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45744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45744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45744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45744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45744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45744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45744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45744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45744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45744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45744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45744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45744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45744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45744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45744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HYPERLINK("https://klasma.github.io/Logging_2081/artfynd/A 14724-2025 artfynd.xlsx", "A 14724-2025")</f>
        <v/>
      </c>
      <c r="T95">
        <f>HYPERLINK("https://klasma.github.io/Logging_2081/kartor/A 14724-2025 karta.png", "A 14724-2025")</f>
        <v/>
      </c>
      <c r="V95">
        <f>HYPERLINK("https://klasma.github.io/Logging_2081/klagomål/A 14724-2025 FSC-klagomål.docx", "A 14724-2025")</f>
        <v/>
      </c>
      <c r="W95">
        <f>HYPERLINK("https://klasma.github.io/Logging_2081/klagomålsmail/A 14724-2025 FSC-klagomål mail.docx", "A 14724-2025")</f>
        <v/>
      </c>
      <c r="X95">
        <f>HYPERLINK("https://klasma.github.io/Logging_2081/tillsyn/A 14724-2025 tillsynsbegäran.docx", "A 14724-2025")</f>
        <v/>
      </c>
      <c r="Y95">
        <f>HYPERLINK("https://klasma.github.io/Logging_2081/tillsynsmail/A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45744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45744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45744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45744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45744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45744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45744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45744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45744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45744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45744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45744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45744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45744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45744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45744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45744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45744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45744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45744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45744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45744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45744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45744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45744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45744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45744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45744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45744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45744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45744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45744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45744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45744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45744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45744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45744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45744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45744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45744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45744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45744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45744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45744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45744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45744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45744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45744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45744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45744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45744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45744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45744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45744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45744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45744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45744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45744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45744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45744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45744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45744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45744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45744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45744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45744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45744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45744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45744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45744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45744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45744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45744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45744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45744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45744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45744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45744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45744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45744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45744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45744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45744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45744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45744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45744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45744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45744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45744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45744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45744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45744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45744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45744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45744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45744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45744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45744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45744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45744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45744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45744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45744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45744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45744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45744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45744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45744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45744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45744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45744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45744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45744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45744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45744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45744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45744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45744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45744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45744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45744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45744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45744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45744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45744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45744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45744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45744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45744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45744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45744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45744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45744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45744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45744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45744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45744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45744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45744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45744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45744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45744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45744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45744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45744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45744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45744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45744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45744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45744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45744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45744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45744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45744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45744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45744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45744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45744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45744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45744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45744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45744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45744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45744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45744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45744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45744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45744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45744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45744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45744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45744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45744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45744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45744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45744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45744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45744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45744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45744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45744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45744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45744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45744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45744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45744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45744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45744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45744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45744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45744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45744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45744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45744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45744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45744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45744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45744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45744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45744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45744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45744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45744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45744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45744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45744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45744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45744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45744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45744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45744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45744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45744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45744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45744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45744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45744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45744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45744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45744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45744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45744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45744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45744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45744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45744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45744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45744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45744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45744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45744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45744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45744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45744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45744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45744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45744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45744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45744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45744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45744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45744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45744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45744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45744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45744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45744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45744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45744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45744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45744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45744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45744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45744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45744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45744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45744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45744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45744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45744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45744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45744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45744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45744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45744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45744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45744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45744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45744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45744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45744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45744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45744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45744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45744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45744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45744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45744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45744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45744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45744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45744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45744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45744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45744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45744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45744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45744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45744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45744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45744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45744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45744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45744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45744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45744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45744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45744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45744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45744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45744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45744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45744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45744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45744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45744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45744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45744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45744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45744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45744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45744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45744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45744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45744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45744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45744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45744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45744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45744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45744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45744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45744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45744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45744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45744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45744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45744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45744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45744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45744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45744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45744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45744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45744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45744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45744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45744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45744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45744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45744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45744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45744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45744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45744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45744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45744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45744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45744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45744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45744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45744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45744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45744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45744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45744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45744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45744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45744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45744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45744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45744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45744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45744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45744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45744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45744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45744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45744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45744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45744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45744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45744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45744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45744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45744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45744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45744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45744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45744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45744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45744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45744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45744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45744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45744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45744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45744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45744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45744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45744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45744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45744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45744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45744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45744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45744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45744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45744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45744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45744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45744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45744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45744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45744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45744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45744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45744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45744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45744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45744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45744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45744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45744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45744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45744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45744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45744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45744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45744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45744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45744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45744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45744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45744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45744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45744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45744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45744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45744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45744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45744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45744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45744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45744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45744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45744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45744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45744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45744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45744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45744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45744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45744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45744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45744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45744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45744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45744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45744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45744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45744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45744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45744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45744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45744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45744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45744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45744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45744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45744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45744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45744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45744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45744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45744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45744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45744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45744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45744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45744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45744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45744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45744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45744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45744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45744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45744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45744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45744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45744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45744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45744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45744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45744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45744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45744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45744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45744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45744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45744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45744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45744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45744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45744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45744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45744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45744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45744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45744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45744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45744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45744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45744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45744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45744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45744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45744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45744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45744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45744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45744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45744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45744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45744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45744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45744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45744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45744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45744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45744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45744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45744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45744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45744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45744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45744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45744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45744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45744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45744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45744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45744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45744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45744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45744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45744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45744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45744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45744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45744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45744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45744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45744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45744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45744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45744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45744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45744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45744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45744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45744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45744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45744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45744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45744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45744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45744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45744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45744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45744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45744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45744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45744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45744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45744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45744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45744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45744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45744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45744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45744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45744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45744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45744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45744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45744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45744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10712-2025</t>
        </is>
      </c>
      <c r="B674" s="1" t="n">
        <v>45722</v>
      </c>
      <c r="C674" s="1" t="n">
        <v>45744</v>
      </c>
      <c r="D674" t="inlineStr">
        <is>
          <t>DALARNAS LÄN</t>
        </is>
      </c>
      <c r="E674" t="inlineStr">
        <is>
          <t>BORLÄNGE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45744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13528-2025</t>
        </is>
      </c>
      <c r="B676" s="1" t="n">
        <v>45736</v>
      </c>
      <c r="C676" s="1" t="n">
        <v>45744</v>
      </c>
      <c r="D676" t="inlineStr">
        <is>
          <t>DALARNAS LÄN</t>
        </is>
      </c>
      <c r="E676" t="inlineStr">
        <is>
          <t>BORLÄNGE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14753-2025</t>
        </is>
      </c>
      <c r="B677" s="1" t="n">
        <v>45742</v>
      </c>
      <c r="C677" s="1" t="n">
        <v>45744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2025-03-28T18:22:00Z</dcterms:created>
  <dcterms:modified xmlns:dcterms="http://purl.org/dc/terms/" xmlns:xsi="http://www.w3.org/2001/XMLSchema-instance" xsi:type="dcterms:W3CDTF">2025-03-28T18:22:01Z</dcterms:modified>
</cp:coreProperties>
</file>