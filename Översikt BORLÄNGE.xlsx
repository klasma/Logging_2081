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45352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45352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45352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45352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45352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45352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45352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45352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45352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45352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45352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45352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45352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45352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45352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45352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45352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45352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45352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45352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45352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45352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45352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45352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5108-2023</t>
        </is>
      </c>
      <c r="B26" s="1" t="n">
        <v>44958</v>
      </c>
      <c r="C26" s="1" t="n">
        <v>45352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17.7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HYPERLINK("https://klasma.github.io/Logging_2081/artfynd/A 5108-2023 artfynd.xlsx", "A 5108-2023")</f>
        <v/>
      </c>
      <c r="T26">
        <f>HYPERLINK("https://klasma.github.io/Logging_2081/kartor/A 5108-2023 karta.png", "A 5108-2023")</f>
        <v/>
      </c>
      <c r="V26">
        <f>HYPERLINK("https://klasma.github.io/Logging_2081/klagomål/A 5108-2023 FSC-klagomål.docx", "A 5108-2023")</f>
        <v/>
      </c>
      <c r="W26">
        <f>HYPERLINK("https://klasma.github.io/Logging_2081/klagomålsmail/A 5108-2023 FSC-klagomål mail.docx", "A 5108-2023")</f>
        <v/>
      </c>
      <c r="X26">
        <f>HYPERLINK("https://klasma.github.io/Logging_2081/tillsyn/A 5108-2023 tillsynsbegäran.docx", "A 5108-2023")</f>
        <v/>
      </c>
      <c r="Y26">
        <f>HYPERLINK("https://klasma.github.io/Logging_2081/tillsynsmail/A 5108-2023 tillsynsbegäran mail.docx", "A 5108-2023")</f>
        <v/>
      </c>
      <c r="Z26">
        <f>HYPERLINK("https://klasma.github.io/Logging_2081/fåglar/A 5108-2023 prioriterade fågelarter.docx", "A 5108-2023")</f>
        <v/>
      </c>
    </row>
    <row r="27" ht="15" customHeight="1">
      <c r="A27" t="inlineStr">
        <is>
          <t>A 12314-2023</t>
        </is>
      </c>
      <c r="B27" s="1" t="n">
        <v>44996</v>
      </c>
      <c r="C27" s="1" t="n">
        <v>45352</v>
      </c>
      <c r="D27" t="inlineStr">
        <is>
          <t>DALARNAS LÄN</t>
        </is>
      </c>
      <c r="E27" t="inlineStr">
        <is>
          <t>BORLÄNGE</t>
        </is>
      </c>
      <c r="G27" t="n">
        <v>22.7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HYPERLINK("https://klasma.github.io/Logging_2081/artfynd/A 12314-2023 artfynd.xlsx", "A 12314-2023")</f>
        <v/>
      </c>
      <c r="T27">
        <f>HYPERLINK("https://klasma.github.io/Logging_2081/kartor/A 12314-2023 karta.png", "A 12314-2023")</f>
        <v/>
      </c>
      <c r="V27">
        <f>HYPERLINK("https://klasma.github.io/Logging_2081/klagomål/A 12314-2023 FSC-klagomål.docx", "A 12314-2023")</f>
        <v/>
      </c>
      <c r="W27">
        <f>HYPERLINK("https://klasma.github.io/Logging_2081/klagomålsmail/A 12314-2023 FSC-klagomål mail.docx", "A 12314-2023")</f>
        <v/>
      </c>
      <c r="X27">
        <f>HYPERLINK("https://klasma.github.io/Logging_2081/tillsyn/A 12314-2023 tillsynsbegäran.docx", "A 12314-2023")</f>
        <v/>
      </c>
      <c r="Y27">
        <f>HYPERLINK("https://klasma.github.io/Logging_2081/tillsynsmail/A 12314-2023 tillsynsbegäran mail.docx", "A 12314-2023")</f>
        <v/>
      </c>
    </row>
    <row r="28" ht="15" customHeight="1">
      <c r="A28" t="inlineStr">
        <is>
          <t>A 12444-2023</t>
        </is>
      </c>
      <c r="B28" s="1" t="n">
        <v>44999</v>
      </c>
      <c r="C28" s="1" t="n">
        <v>45352</v>
      </c>
      <c r="D28" t="inlineStr">
        <is>
          <t>DALARNAS LÄN</t>
        </is>
      </c>
      <c r="E28" t="inlineStr">
        <is>
          <t>BORLÄNGE</t>
        </is>
      </c>
      <c r="G28" t="n">
        <v>7.5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Talltita</t>
        </is>
      </c>
      <c r="S28">
        <f>HYPERLINK("https://klasma.github.io/Logging_2081/artfynd/A 12444-2023 artfynd.xlsx", "A 12444-2023")</f>
        <v/>
      </c>
      <c r="T28">
        <f>HYPERLINK("https://klasma.github.io/Logging_2081/kartor/A 12444-2023 karta.png", "A 12444-2023")</f>
        <v/>
      </c>
      <c r="V28">
        <f>HYPERLINK("https://klasma.github.io/Logging_2081/klagomål/A 12444-2023 FSC-klagomål.docx", "A 12444-2023")</f>
        <v/>
      </c>
      <c r="W28">
        <f>HYPERLINK("https://klasma.github.io/Logging_2081/klagomålsmail/A 12444-2023 FSC-klagomål mail.docx", "A 12444-2023")</f>
        <v/>
      </c>
      <c r="X28">
        <f>HYPERLINK("https://klasma.github.io/Logging_2081/tillsyn/A 12444-2023 tillsynsbegäran.docx", "A 12444-2023")</f>
        <v/>
      </c>
      <c r="Y28">
        <f>HYPERLINK("https://klasma.github.io/Logging_2081/tillsynsmail/A 12444-2023 tillsynsbegäran mail.docx", "A 12444-2023")</f>
        <v/>
      </c>
      <c r="Z28">
        <f>HYPERLINK("https://klasma.github.io/Logging_2081/fåglar/A 12444-2023 prioriterade fågelarter.docx", "A 12444-2023")</f>
        <v/>
      </c>
    </row>
    <row r="29" ht="15" customHeight="1">
      <c r="A29" t="inlineStr">
        <is>
          <t>A 14651-2023</t>
        </is>
      </c>
      <c r="B29" s="1" t="n">
        <v>45013</v>
      </c>
      <c r="C29" s="1" t="n">
        <v>45352</v>
      </c>
      <c r="D29" t="inlineStr">
        <is>
          <t>DALARNAS LÄN</t>
        </is>
      </c>
      <c r="E29" t="inlineStr">
        <is>
          <t>BORLÄNGE</t>
        </is>
      </c>
      <c r="G29" t="n">
        <v>16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Tallticka</t>
        </is>
      </c>
      <c r="S29">
        <f>HYPERLINK("https://klasma.github.io/Logging_2081/artfynd/A 14651-2023 artfynd.xlsx", "A 14651-2023")</f>
        <v/>
      </c>
      <c r="T29">
        <f>HYPERLINK("https://klasma.github.io/Logging_2081/kartor/A 14651-2023 karta.png", "A 14651-2023")</f>
        <v/>
      </c>
      <c r="U29">
        <f>HYPERLINK("https://klasma.github.io/Logging_2081/knärot/A 14651-2023 karta knärot.png", "A 14651-2023")</f>
        <v/>
      </c>
      <c r="V29">
        <f>HYPERLINK("https://klasma.github.io/Logging_2081/klagomål/A 14651-2023 FSC-klagomål.docx", "A 14651-2023")</f>
        <v/>
      </c>
      <c r="W29">
        <f>HYPERLINK("https://klasma.github.io/Logging_2081/klagomålsmail/A 14651-2023 FSC-klagomål mail.docx", "A 14651-2023")</f>
        <v/>
      </c>
      <c r="X29">
        <f>HYPERLINK("https://klasma.github.io/Logging_2081/tillsyn/A 14651-2023 tillsynsbegäran.docx", "A 14651-2023")</f>
        <v/>
      </c>
      <c r="Y29">
        <f>HYPERLINK("https://klasma.github.io/Logging_2081/tillsynsmail/A 14651-2023 tillsynsbegäran mail.docx", "A 14651-2023")</f>
        <v/>
      </c>
    </row>
    <row r="30" ht="15" customHeight="1">
      <c r="A30" t="inlineStr">
        <is>
          <t>A 21926-2023</t>
        </is>
      </c>
      <c r="B30" s="1" t="n">
        <v>45068</v>
      </c>
      <c r="C30" s="1" t="n">
        <v>45352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Vedticka</t>
        </is>
      </c>
      <c r="S30">
        <f>HYPERLINK("https://klasma.github.io/Logging_2081/artfynd/A 21926-2023 artfynd.xlsx", "A 21926-2023")</f>
        <v/>
      </c>
      <c r="T30">
        <f>HYPERLINK("https://klasma.github.io/Logging_2081/kartor/A 21926-2023 karta.png", "A 21926-2023")</f>
        <v/>
      </c>
      <c r="U30">
        <f>HYPERLINK("https://klasma.github.io/Logging_2081/knärot/A 21926-2023 karta knärot.png", "A 21926-2023")</f>
        <v/>
      </c>
      <c r="V30">
        <f>HYPERLINK("https://klasma.github.io/Logging_2081/klagomål/A 21926-2023 FSC-klagomål.docx", "A 21926-2023")</f>
        <v/>
      </c>
      <c r="W30">
        <f>HYPERLINK("https://klasma.github.io/Logging_2081/klagomålsmail/A 21926-2023 FSC-klagomål mail.docx", "A 21926-2023")</f>
        <v/>
      </c>
      <c r="X30">
        <f>HYPERLINK("https://klasma.github.io/Logging_2081/tillsyn/A 21926-2023 tillsynsbegäran.docx", "A 21926-2023")</f>
        <v/>
      </c>
      <c r="Y30">
        <f>HYPERLINK("https://klasma.github.io/Logging_2081/tillsynsmail/A 21926-2023 tillsynsbegäran mail.docx", "A 21926-2023")</f>
        <v/>
      </c>
    </row>
    <row r="31" ht="15" customHeight="1">
      <c r="A31" t="inlineStr">
        <is>
          <t>A 23652-2023</t>
        </is>
      </c>
      <c r="B31" s="1" t="n">
        <v>45074</v>
      </c>
      <c r="C31" s="1" t="n">
        <v>45352</v>
      </c>
      <c r="D31" t="inlineStr">
        <is>
          <t>DALARNAS LÄN</t>
        </is>
      </c>
      <c r="E31" t="inlineStr">
        <is>
          <t>BORLÄNGE</t>
        </is>
      </c>
      <c r="G31" t="n">
        <v>1.4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Tibast</t>
        </is>
      </c>
      <c r="S31">
        <f>HYPERLINK("https://klasma.github.io/Logging_2081/artfynd/A 23652-2023 artfynd.xlsx", "A 23652-2023")</f>
        <v/>
      </c>
      <c r="T31">
        <f>HYPERLINK("https://klasma.github.io/Logging_2081/kartor/A 23652-2023 karta.png", "A 23652-2023")</f>
        <v/>
      </c>
      <c r="V31">
        <f>HYPERLINK("https://klasma.github.io/Logging_2081/klagomål/A 23652-2023 FSC-klagomål.docx", "A 23652-2023")</f>
        <v/>
      </c>
      <c r="W31">
        <f>HYPERLINK("https://klasma.github.io/Logging_2081/klagomålsmail/A 23652-2023 FSC-klagomål mail.docx", "A 23652-2023")</f>
        <v/>
      </c>
      <c r="X31">
        <f>HYPERLINK("https://klasma.github.io/Logging_2081/tillsyn/A 23652-2023 tillsynsbegäran.docx", "A 23652-2023")</f>
        <v/>
      </c>
      <c r="Y31">
        <f>HYPERLINK("https://klasma.github.io/Logging_2081/tillsynsmail/A 23652-2023 tillsynsbegäran mail.docx", "A 23652-2023")</f>
        <v/>
      </c>
      <c r="Z31">
        <f>HYPERLINK("https://klasma.github.io/Logging_2081/fåglar/A 23652-2023 prioriterade fågelarter.docx", "A 23652-2023")</f>
        <v/>
      </c>
    </row>
    <row r="32" ht="15" customHeight="1">
      <c r="A32" t="inlineStr">
        <is>
          <t>A 31680-2023</t>
        </is>
      </c>
      <c r="B32" s="1" t="n">
        <v>45117</v>
      </c>
      <c r="C32" s="1" t="n">
        <v>45352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Blåsippa</t>
        </is>
      </c>
      <c r="S32">
        <f>HYPERLINK("https://klasma.github.io/Logging_2081/artfynd/A 31680-2023 artfynd.xlsx", "A 31680-2023")</f>
        <v/>
      </c>
      <c r="T32">
        <f>HYPERLINK("https://klasma.github.io/Logging_2081/kartor/A 31680-2023 karta.png", "A 31680-2023")</f>
        <v/>
      </c>
      <c r="V32">
        <f>HYPERLINK("https://klasma.github.io/Logging_2081/klagomål/A 31680-2023 FSC-klagomål.docx", "A 31680-2023")</f>
        <v/>
      </c>
      <c r="W32">
        <f>HYPERLINK("https://klasma.github.io/Logging_2081/klagomålsmail/A 31680-2023 FSC-klagomål mail.docx", "A 31680-2023")</f>
        <v/>
      </c>
      <c r="X32">
        <f>HYPERLINK("https://klasma.github.io/Logging_2081/tillsyn/A 31680-2023 tillsynsbegäran.docx", "A 31680-2023")</f>
        <v/>
      </c>
      <c r="Y32">
        <f>HYPERLINK("https://klasma.github.io/Logging_2081/tillsynsmail/A 31680-2023 tillsynsbegäran mail.docx", "A 31680-2023")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45352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58614-2023</t>
        </is>
      </c>
      <c r="B34" s="1" t="n">
        <v>45251</v>
      </c>
      <c r="C34" s="1" t="n">
        <v>45352</v>
      </c>
      <c r="D34" t="inlineStr">
        <is>
          <t>DALARNAS LÄN</t>
        </is>
      </c>
      <c r="E34" t="inlineStr">
        <is>
          <t>BORLÄNGE</t>
        </is>
      </c>
      <c r="G34" t="n">
        <v>1.8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Gropticka</t>
        </is>
      </c>
      <c r="S34">
        <f>HYPERLINK("https://klasma.github.io/Logging_2081/artfynd/A 58614-2023 artfynd.xlsx", "A 58614-2023")</f>
        <v/>
      </c>
      <c r="T34">
        <f>HYPERLINK("https://klasma.github.io/Logging_2081/kartor/A 58614-2023 karta.png", "A 58614-2023")</f>
        <v/>
      </c>
      <c r="U34">
        <f>HYPERLINK("https://klasma.github.io/Logging_2081/knärot/A 58614-2023 karta knärot.png", "A 58614-2023")</f>
        <v/>
      </c>
      <c r="V34">
        <f>HYPERLINK("https://klasma.github.io/Logging_2081/klagomål/A 58614-2023 FSC-klagomål.docx", "A 58614-2023")</f>
        <v/>
      </c>
      <c r="W34">
        <f>HYPERLINK("https://klasma.github.io/Logging_2081/klagomålsmail/A 58614-2023 FSC-klagomål mail.docx", "A 58614-2023")</f>
        <v/>
      </c>
      <c r="X34">
        <f>HYPERLINK("https://klasma.github.io/Logging_2081/tillsyn/A 58614-2023 tillsynsbegäran.docx", "A 58614-2023")</f>
        <v/>
      </c>
      <c r="Y34">
        <f>HYPERLINK("https://klasma.github.io/Logging_2081/tillsynsmail/A 58614-2023 tillsynsbegäran mail.docx", "A 58614-2023")</f>
        <v/>
      </c>
    </row>
    <row r="35" ht="15" customHeight="1">
      <c r="A35" t="inlineStr">
        <is>
          <t>A 1750-2024</t>
        </is>
      </c>
      <c r="B35" s="1" t="n">
        <v>45307</v>
      </c>
      <c r="C35" s="1" t="n">
        <v>45352</v>
      </c>
      <c r="D35" t="inlineStr">
        <is>
          <t>DALARNAS LÄN</t>
        </is>
      </c>
      <c r="E35" t="inlineStr">
        <is>
          <t>BORLÄNGE</t>
        </is>
      </c>
      <c r="G35" t="n">
        <v>2.9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HYPERLINK("https://klasma.github.io/Logging_2081/artfynd/A 1750-2024 artfynd.xlsx", "A 1750-2024")</f>
        <v/>
      </c>
      <c r="T35">
        <f>HYPERLINK("https://klasma.github.io/Logging_2081/kartor/A 1750-2024 karta.png", "A 1750-2024")</f>
        <v/>
      </c>
      <c r="V35">
        <f>HYPERLINK("https://klasma.github.io/Logging_2081/klagomål/A 1750-2024 FSC-klagomål.docx", "A 1750-2024")</f>
        <v/>
      </c>
      <c r="W35">
        <f>HYPERLINK("https://klasma.github.io/Logging_2081/klagomålsmail/A 1750-2024 FSC-klagomål mail.docx", "A 1750-2024")</f>
        <v/>
      </c>
      <c r="X35">
        <f>HYPERLINK("https://klasma.github.io/Logging_2081/tillsyn/A 1750-2024 tillsynsbegäran.docx", "A 1750-2024")</f>
        <v/>
      </c>
      <c r="Y35">
        <f>HYPERLINK("https://klasma.github.io/Logging_2081/tillsynsmail/A 1750-2024 tillsynsbegäran mail.docx", "A 1750-2024")</f>
        <v/>
      </c>
    </row>
    <row r="36" ht="15" customHeight="1">
      <c r="A36" t="inlineStr">
        <is>
          <t>A 58399-2018</t>
        </is>
      </c>
      <c r="B36" s="1" t="n">
        <v>43409</v>
      </c>
      <c r="C36" s="1" t="n">
        <v>45352</v>
      </c>
      <c r="D36" t="inlineStr">
        <is>
          <t>DALARNAS LÄN</t>
        </is>
      </c>
      <c r="E36" t="inlineStr">
        <is>
          <t>BORLÄNGE</t>
        </is>
      </c>
      <c r="G36" t="n">
        <v>5.8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HYPERLINK("https://klasma.github.io/Logging_2081/artfynd/A 58399-2018 artfynd.xlsx", "A 58399-2018")</f>
        <v/>
      </c>
      <c r="T36">
        <f>HYPERLINK("https://klasma.github.io/Logging_2081/kartor/A 58399-2018 karta.png", "A 58399-2018")</f>
        <v/>
      </c>
      <c r="V36">
        <f>HYPERLINK("https://klasma.github.io/Logging_2081/klagomål/A 58399-2018 FSC-klagomål.docx", "A 58399-2018")</f>
        <v/>
      </c>
      <c r="W36">
        <f>HYPERLINK("https://klasma.github.io/Logging_2081/klagomålsmail/A 58399-2018 FSC-klagomål mail.docx", "A 58399-2018")</f>
        <v/>
      </c>
      <c r="X36">
        <f>HYPERLINK("https://klasma.github.io/Logging_2081/tillsyn/A 58399-2018 tillsynsbegäran.docx", "A 58399-2018")</f>
        <v/>
      </c>
      <c r="Y36">
        <f>HYPERLINK("https://klasma.github.io/Logging_2081/tillsynsmail/A 58399-2018 tillsynsbegäran mail.docx", "A 58399-2018")</f>
        <v/>
      </c>
    </row>
    <row r="37" ht="15" customHeight="1">
      <c r="A37" t="inlineStr">
        <is>
          <t>A 66079-2018</t>
        </is>
      </c>
      <c r="B37" s="1" t="n">
        <v>43434</v>
      </c>
      <c r="C37" s="1" t="n">
        <v>45352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HYPERLINK("https://klasma.github.io/Logging_2081/artfynd/A 66079-2018 artfynd.xlsx", "A 66079-2018")</f>
        <v/>
      </c>
      <c r="T37">
        <f>HYPERLINK("https://klasma.github.io/Logging_2081/kartor/A 66079-2018 karta.png", "A 66079-2018")</f>
        <v/>
      </c>
      <c r="V37">
        <f>HYPERLINK("https://klasma.github.io/Logging_2081/klagomål/A 66079-2018 FSC-klagomål.docx", "A 66079-2018")</f>
        <v/>
      </c>
      <c r="W37">
        <f>HYPERLINK("https://klasma.github.io/Logging_2081/klagomålsmail/A 66079-2018 FSC-klagomål mail.docx", "A 66079-2018")</f>
        <v/>
      </c>
      <c r="X37">
        <f>HYPERLINK("https://klasma.github.io/Logging_2081/tillsyn/A 66079-2018 tillsynsbegäran.docx", "A 66079-2018")</f>
        <v/>
      </c>
      <c r="Y37">
        <f>HYPERLINK("https://klasma.github.io/Logging_2081/tillsynsmail/A 66079-2018 tillsynsbegäran mail.docx", "A 66079-2018")</f>
        <v/>
      </c>
    </row>
    <row r="38" ht="15" customHeight="1">
      <c r="A38" t="inlineStr">
        <is>
          <t>A 16079-2019</t>
        </is>
      </c>
      <c r="B38" s="1" t="n">
        <v>43544</v>
      </c>
      <c r="C38" s="1" t="n">
        <v>45352</v>
      </c>
      <c r="D38" t="inlineStr">
        <is>
          <t>DALARNAS LÄN</t>
        </is>
      </c>
      <c r="E38" t="inlineStr">
        <is>
          <t>BORLÄNGE</t>
        </is>
      </c>
      <c r="G38" t="n">
        <v>3.3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HYPERLINK("https://klasma.github.io/Logging_2081/artfynd/A 16079-2019 artfynd.xlsx", "A 16079-2019")</f>
        <v/>
      </c>
      <c r="T38">
        <f>HYPERLINK("https://klasma.github.io/Logging_2081/kartor/A 16079-2019 karta.png", "A 16079-2019")</f>
        <v/>
      </c>
      <c r="U38">
        <f>HYPERLINK("https://klasma.github.io/Logging_2081/knärot/A 16079-2019 karta knärot.png", "A 16079-2019")</f>
        <v/>
      </c>
      <c r="V38">
        <f>HYPERLINK("https://klasma.github.io/Logging_2081/klagomål/A 16079-2019 FSC-klagomål.docx", "A 16079-2019")</f>
        <v/>
      </c>
      <c r="W38">
        <f>HYPERLINK("https://klasma.github.io/Logging_2081/klagomålsmail/A 16079-2019 FSC-klagomål mail.docx", "A 16079-2019")</f>
        <v/>
      </c>
      <c r="X38">
        <f>HYPERLINK("https://klasma.github.io/Logging_2081/tillsyn/A 16079-2019 tillsynsbegäran.docx", "A 16079-2019")</f>
        <v/>
      </c>
      <c r="Y38">
        <f>HYPERLINK("https://klasma.github.io/Logging_2081/tillsynsmail/A 16079-2019 tillsynsbegäran mail.docx", "A 16079-2019")</f>
        <v/>
      </c>
    </row>
    <row r="39" ht="15" customHeight="1">
      <c r="A39" t="inlineStr">
        <is>
          <t>A 23553-2020</t>
        </is>
      </c>
      <c r="B39" s="1" t="n">
        <v>43969</v>
      </c>
      <c r="C39" s="1" t="n">
        <v>45352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13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HYPERLINK("https://klasma.github.io/Logging_2081/artfynd/A 23553-2020 artfynd.xlsx", "A 23553-2020")</f>
        <v/>
      </c>
      <c r="T39">
        <f>HYPERLINK("https://klasma.github.io/Logging_2081/kartor/A 23553-2020 karta.png", "A 23553-2020")</f>
        <v/>
      </c>
      <c r="V39">
        <f>HYPERLINK("https://klasma.github.io/Logging_2081/klagomål/A 23553-2020 FSC-klagomål.docx", "A 23553-2020")</f>
        <v/>
      </c>
      <c r="W39">
        <f>HYPERLINK("https://klasma.github.io/Logging_2081/klagomålsmail/A 23553-2020 FSC-klagomål mail.docx", "A 23553-2020")</f>
        <v/>
      </c>
      <c r="X39">
        <f>HYPERLINK("https://klasma.github.io/Logging_2081/tillsyn/A 23553-2020 tillsynsbegäran.docx", "A 23553-2020")</f>
        <v/>
      </c>
      <c r="Y39">
        <f>HYPERLINK("https://klasma.github.io/Logging_2081/tillsynsmail/A 23553-2020 tillsynsbegäran mail.docx", "A 23553-2020")</f>
        <v/>
      </c>
    </row>
    <row r="40" ht="15" customHeight="1">
      <c r="A40" t="inlineStr">
        <is>
          <t>A 38708-2021</t>
        </is>
      </c>
      <c r="B40" s="1" t="n">
        <v>44410</v>
      </c>
      <c r="C40" s="1" t="n">
        <v>45352</v>
      </c>
      <c r="D40" t="inlineStr">
        <is>
          <t>DALARNAS LÄN</t>
        </is>
      </c>
      <c r="E40" t="inlineStr">
        <is>
          <t>BORLÄNGE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Äggvaxskivling</t>
        </is>
      </c>
      <c r="S40">
        <f>HYPERLINK("https://klasma.github.io/Logging_2081/artfynd/A 38708-2021 artfynd.xlsx", "A 38708-2021")</f>
        <v/>
      </c>
      <c r="T40">
        <f>HYPERLINK("https://klasma.github.io/Logging_2081/kartor/A 38708-2021 karta.png", "A 38708-2021")</f>
        <v/>
      </c>
      <c r="V40">
        <f>HYPERLINK("https://klasma.github.io/Logging_2081/klagomål/A 38708-2021 FSC-klagomål.docx", "A 38708-2021")</f>
        <v/>
      </c>
      <c r="W40">
        <f>HYPERLINK("https://klasma.github.io/Logging_2081/klagomålsmail/A 38708-2021 FSC-klagomål mail.docx", "A 38708-2021")</f>
        <v/>
      </c>
      <c r="X40">
        <f>HYPERLINK("https://klasma.github.io/Logging_2081/tillsyn/A 38708-2021 tillsynsbegäran.docx", "A 38708-2021")</f>
        <v/>
      </c>
      <c r="Y40">
        <f>HYPERLINK("https://klasma.github.io/Logging_2081/tillsynsmail/A 38708-2021 tillsynsbegäran mail.docx", "A 38708-2021")</f>
        <v/>
      </c>
    </row>
    <row r="41" ht="15" customHeight="1">
      <c r="A41" t="inlineStr">
        <is>
          <t>A 41874-2021</t>
        </is>
      </c>
      <c r="B41" s="1" t="n">
        <v>44426</v>
      </c>
      <c r="C41" s="1" t="n">
        <v>45352</v>
      </c>
      <c r="D41" t="inlineStr">
        <is>
          <t>DALARNAS LÄN</t>
        </is>
      </c>
      <c r="E41" t="inlineStr">
        <is>
          <t>BORLÄNGE</t>
        </is>
      </c>
      <c r="G41" t="n">
        <v>13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HYPERLINK("https://klasma.github.io/Logging_2081/artfynd/A 41874-2021 artfynd.xlsx", "A 41874-2021")</f>
        <v/>
      </c>
      <c r="T41">
        <f>HYPERLINK("https://klasma.github.io/Logging_2081/kartor/A 41874-2021 karta.png", "A 41874-2021")</f>
        <v/>
      </c>
      <c r="V41">
        <f>HYPERLINK("https://klasma.github.io/Logging_2081/klagomål/A 41874-2021 FSC-klagomål.docx", "A 41874-2021")</f>
        <v/>
      </c>
      <c r="W41">
        <f>HYPERLINK("https://klasma.github.io/Logging_2081/klagomålsmail/A 41874-2021 FSC-klagomål mail.docx", "A 41874-2021")</f>
        <v/>
      </c>
      <c r="X41">
        <f>HYPERLINK("https://klasma.github.io/Logging_2081/tillsyn/A 41874-2021 tillsynsbegäran.docx", "A 41874-2021")</f>
        <v/>
      </c>
      <c r="Y41">
        <f>HYPERLINK("https://klasma.github.io/Logging_2081/tillsynsmail/A 41874-2021 tillsynsbegäran mail.docx", "A 41874-2021")</f>
        <v/>
      </c>
    </row>
    <row r="42" ht="15" customHeight="1">
      <c r="A42" t="inlineStr">
        <is>
          <t>A 49776-2021</t>
        </is>
      </c>
      <c r="B42" s="1" t="n">
        <v>44454</v>
      </c>
      <c r="C42" s="1" t="n">
        <v>45352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HYPERLINK("https://klasma.github.io/Logging_2081/artfynd/A 49776-2021 artfynd.xlsx", "A 49776-2021")</f>
        <v/>
      </c>
      <c r="T42">
        <f>HYPERLINK("https://klasma.github.io/Logging_2081/kartor/A 49776-2021 karta.png", "A 49776-2021")</f>
        <v/>
      </c>
      <c r="V42">
        <f>HYPERLINK("https://klasma.github.io/Logging_2081/klagomål/A 49776-2021 FSC-klagomål.docx", "A 49776-2021")</f>
        <v/>
      </c>
      <c r="W42">
        <f>HYPERLINK("https://klasma.github.io/Logging_2081/klagomålsmail/A 49776-2021 FSC-klagomål mail.docx", "A 49776-2021")</f>
        <v/>
      </c>
      <c r="X42">
        <f>HYPERLINK("https://klasma.github.io/Logging_2081/tillsyn/A 49776-2021 tillsynsbegäran.docx", "A 49776-2021")</f>
        <v/>
      </c>
      <c r="Y42">
        <f>HYPERLINK("https://klasma.github.io/Logging_2081/tillsynsmail/A 49776-2021 tillsynsbegäran mail.docx", "A 49776-2021")</f>
        <v/>
      </c>
    </row>
    <row r="43" ht="15" customHeight="1">
      <c r="A43" t="inlineStr">
        <is>
          <t>A 53580-2021</t>
        </is>
      </c>
      <c r="B43" s="1" t="n">
        <v>44469</v>
      </c>
      <c r="C43" s="1" t="n">
        <v>45352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HYPERLINK("https://klasma.github.io/Logging_2081/artfynd/A 53580-2021 artfynd.xlsx", "A 53580-2021")</f>
        <v/>
      </c>
      <c r="T43">
        <f>HYPERLINK("https://klasma.github.io/Logging_2081/kartor/A 53580-2021 karta.png", "A 53580-2021")</f>
        <v/>
      </c>
      <c r="V43">
        <f>HYPERLINK("https://klasma.github.io/Logging_2081/klagomål/A 53580-2021 FSC-klagomål.docx", "A 53580-2021")</f>
        <v/>
      </c>
      <c r="W43">
        <f>HYPERLINK("https://klasma.github.io/Logging_2081/klagomålsmail/A 53580-2021 FSC-klagomål mail.docx", "A 53580-2021")</f>
        <v/>
      </c>
      <c r="X43">
        <f>HYPERLINK("https://klasma.github.io/Logging_2081/tillsyn/A 53580-2021 tillsynsbegäran.docx", "A 53580-2021")</f>
        <v/>
      </c>
      <c r="Y43">
        <f>HYPERLINK("https://klasma.github.io/Logging_2081/tillsynsmail/A 53580-2021 tillsynsbegäran mail.docx", "A 53580-2021")</f>
        <v/>
      </c>
    </row>
    <row r="44" ht="15" customHeight="1">
      <c r="A44" t="inlineStr">
        <is>
          <t>A 54045-2021</t>
        </is>
      </c>
      <c r="B44" s="1" t="n">
        <v>44470</v>
      </c>
      <c r="C44" s="1" t="n">
        <v>45352</v>
      </c>
      <c r="D44" t="inlineStr">
        <is>
          <t>DALARNAS LÄN</t>
        </is>
      </c>
      <c r="E44" t="inlineStr">
        <is>
          <t>BORLÄNGE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HYPERLINK("https://klasma.github.io/Logging_2081/artfynd/A 54045-2021 artfynd.xlsx", "A 54045-2021")</f>
        <v/>
      </c>
      <c r="T44">
        <f>HYPERLINK("https://klasma.github.io/Logging_2081/kartor/A 54045-2021 karta.png", "A 54045-2021")</f>
        <v/>
      </c>
      <c r="V44">
        <f>HYPERLINK("https://klasma.github.io/Logging_2081/klagomål/A 54045-2021 FSC-klagomål.docx", "A 54045-2021")</f>
        <v/>
      </c>
      <c r="W44">
        <f>HYPERLINK("https://klasma.github.io/Logging_2081/klagomålsmail/A 54045-2021 FSC-klagomål mail.docx", "A 54045-2021")</f>
        <v/>
      </c>
      <c r="X44">
        <f>HYPERLINK("https://klasma.github.io/Logging_2081/tillsyn/A 54045-2021 tillsynsbegäran.docx", "A 54045-2021")</f>
        <v/>
      </c>
      <c r="Y44">
        <f>HYPERLINK("https://klasma.github.io/Logging_2081/tillsynsmail/A 54045-2021 tillsynsbegäran mail.docx", "A 54045-2021")</f>
        <v/>
      </c>
    </row>
    <row r="45" ht="15" customHeight="1">
      <c r="A45" t="inlineStr">
        <is>
          <t>A 54699-2021</t>
        </is>
      </c>
      <c r="B45" s="1" t="n">
        <v>44473</v>
      </c>
      <c r="C45" s="1" t="n">
        <v>45352</v>
      </c>
      <c r="D45" t="inlineStr">
        <is>
          <t>DALARNAS LÄN</t>
        </is>
      </c>
      <c r="E45" t="inlineStr">
        <is>
          <t>BORLÄNGE</t>
        </is>
      </c>
      <c r="F45" t="inlineStr">
        <is>
          <t>Naturvårdsverket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HYPERLINK("https://klasma.github.io/Logging_2081/artfynd/A 54699-2021 artfynd.xlsx", "A 54699-2021")</f>
        <v/>
      </c>
      <c r="T45">
        <f>HYPERLINK("https://klasma.github.io/Logging_2081/kartor/A 54699-2021 karta.png", "A 54699-2021")</f>
        <v/>
      </c>
      <c r="U45">
        <f>HYPERLINK("https://klasma.github.io/Logging_2081/knärot/A 54699-2021 karta knärot.png", "A 54699-2021")</f>
        <v/>
      </c>
      <c r="V45">
        <f>HYPERLINK("https://klasma.github.io/Logging_2081/klagomål/A 54699-2021 FSC-klagomål.docx", "A 54699-2021")</f>
        <v/>
      </c>
      <c r="W45">
        <f>HYPERLINK("https://klasma.github.io/Logging_2081/klagomålsmail/A 54699-2021 FSC-klagomål mail.docx", "A 54699-2021")</f>
        <v/>
      </c>
      <c r="X45">
        <f>HYPERLINK("https://klasma.github.io/Logging_2081/tillsyn/A 54699-2021 tillsynsbegäran.docx", "A 54699-2021")</f>
        <v/>
      </c>
      <c r="Y45">
        <f>HYPERLINK("https://klasma.github.io/Logging_2081/tillsynsmail/A 54699-2021 tillsynsbegäran mail.docx", "A 54699-2021")</f>
        <v/>
      </c>
    </row>
    <row r="46" ht="15" customHeight="1">
      <c r="A46" t="inlineStr">
        <is>
          <t>A 6972-2022</t>
        </is>
      </c>
      <c r="B46" s="1" t="n">
        <v>44603</v>
      </c>
      <c r="C46" s="1" t="n">
        <v>45352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Leptoporus mollis</t>
        </is>
      </c>
      <c r="S46">
        <f>HYPERLINK("https://klasma.github.io/Logging_2081/artfynd/A 6972-2022 artfynd.xlsx", "A 6972-2022")</f>
        <v/>
      </c>
      <c r="T46">
        <f>HYPERLINK("https://klasma.github.io/Logging_2081/kartor/A 6972-2022 karta.png", "A 6972-2022")</f>
        <v/>
      </c>
      <c r="V46">
        <f>HYPERLINK("https://klasma.github.io/Logging_2081/klagomål/A 6972-2022 FSC-klagomål.docx", "A 6972-2022")</f>
        <v/>
      </c>
      <c r="W46">
        <f>HYPERLINK("https://klasma.github.io/Logging_2081/klagomålsmail/A 6972-2022 FSC-klagomål mail.docx", "A 6972-2022")</f>
        <v/>
      </c>
      <c r="X46">
        <f>HYPERLINK("https://klasma.github.io/Logging_2081/tillsyn/A 6972-2022 tillsynsbegäran.docx", "A 6972-2022")</f>
        <v/>
      </c>
      <c r="Y46">
        <f>HYPERLINK("https://klasma.github.io/Logging_2081/tillsynsmail/A 6972-2022 tillsynsbegäran mail.docx", "A 6972-2022")</f>
        <v/>
      </c>
    </row>
    <row r="47" ht="15" customHeight="1">
      <c r="A47" t="inlineStr">
        <is>
          <t>A 13779-2022</t>
        </is>
      </c>
      <c r="B47" s="1" t="n">
        <v>44649</v>
      </c>
      <c r="C47" s="1" t="n">
        <v>45352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HYPERLINK("https://klasma.github.io/Logging_2081/artfynd/A 13779-2022 artfynd.xlsx", "A 13779-2022")</f>
        <v/>
      </c>
      <c r="T47">
        <f>HYPERLINK("https://klasma.github.io/Logging_2081/kartor/A 13779-2022 karta.png", "A 13779-2022")</f>
        <v/>
      </c>
      <c r="V47">
        <f>HYPERLINK("https://klasma.github.io/Logging_2081/klagomål/A 13779-2022 FSC-klagomål.docx", "A 13779-2022")</f>
        <v/>
      </c>
      <c r="W47">
        <f>HYPERLINK("https://klasma.github.io/Logging_2081/klagomålsmail/A 13779-2022 FSC-klagomål mail.docx", "A 13779-2022")</f>
        <v/>
      </c>
      <c r="X47">
        <f>HYPERLINK("https://klasma.github.io/Logging_2081/tillsyn/A 13779-2022 tillsynsbegäran.docx", "A 13779-2022")</f>
        <v/>
      </c>
      <c r="Y47">
        <f>HYPERLINK("https://klasma.github.io/Logging_2081/tillsynsmail/A 13779-2022 tillsynsbegäran mail.docx", "A 13779-2022")</f>
        <v/>
      </c>
      <c r="Z47">
        <f>HYPERLINK("https://klasma.github.io/Logging_2081/fåglar/A 13779-2022 prioriterade fågelarter.docx", "A 13779-2022")</f>
        <v/>
      </c>
    </row>
    <row r="48" ht="15" customHeight="1">
      <c r="A48" t="inlineStr">
        <is>
          <t>A 21302-2022</t>
        </is>
      </c>
      <c r="B48" s="1" t="n">
        <v>44705</v>
      </c>
      <c r="C48" s="1" t="n">
        <v>45352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HYPERLINK("https://klasma.github.io/Logging_2081/artfynd/A 21302-2022 artfynd.xlsx", "A 21302-2022")</f>
        <v/>
      </c>
      <c r="T48">
        <f>HYPERLINK("https://klasma.github.io/Logging_2081/kartor/A 21302-2022 karta.png", "A 21302-2022")</f>
        <v/>
      </c>
      <c r="V48">
        <f>HYPERLINK("https://klasma.github.io/Logging_2081/klagomål/A 21302-2022 FSC-klagomål.docx", "A 21302-2022")</f>
        <v/>
      </c>
      <c r="W48">
        <f>HYPERLINK("https://klasma.github.io/Logging_2081/klagomålsmail/A 21302-2022 FSC-klagomål mail.docx", "A 21302-2022")</f>
        <v/>
      </c>
      <c r="X48">
        <f>HYPERLINK("https://klasma.github.io/Logging_2081/tillsyn/A 21302-2022 tillsynsbegäran.docx", "A 21302-2022")</f>
        <v/>
      </c>
      <c r="Y48">
        <f>HYPERLINK("https://klasma.github.io/Logging_2081/tillsynsmail/A 21302-2022 tillsynsbegäran mail.docx", "A 21302-2022")</f>
        <v/>
      </c>
    </row>
    <row r="49" ht="15" customHeight="1">
      <c r="A49" t="inlineStr">
        <is>
          <t>A 33694-2022</t>
        </is>
      </c>
      <c r="B49" s="1" t="n">
        <v>44789</v>
      </c>
      <c r="C49" s="1" t="n">
        <v>45352</v>
      </c>
      <c r="D49" t="inlineStr">
        <is>
          <t>DALARNAS LÄN</t>
        </is>
      </c>
      <c r="E49" t="inlineStr">
        <is>
          <t>BORLÄNGE</t>
        </is>
      </c>
      <c r="G49" t="n">
        <v>1.2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HYPERLINK("https://klasma.github.io/Logging_2081/artfynd/A 33694-2022 artfynd.xlsx", "A 33694-2022")</f>
        <v/>
      </c>
      <c r="T49">
        <f>HYPERLINK("https://klasma.github.io/Logging_2081/kartor/A 33694-2022 karta.png", "A 33694-2022")</f>
        <v/>
      </c>
      <c r="U49">
        <f>HYPERLINK("https://klasma.github.io/Logging_2081/knärot/A 33694-2022 karta knärot.png", "A 33694-2022")</f>
        <v/>
      </c>
      <c r="V49">
        <f>HYPERLINK("https://klasma.github.io/Logging_2081/klagomål/A 33694-2022 FSC-klagomål.docx", "A 33694-2022")</f>
        <v/>
      </c>
      <c r="W49">
        <f>HYPERLINK("https://klasma.github.io/Logging_2081/klagomålsmail/A 33694-2022 FSC-klagomål mail.docx", "A 33694-2022")</f>
        <v/>
      </c>
      <c r="X49">
        <f>HYPERLINK("https://klasma.github.io/Logging_2081/tillsyn/A 33694-2022 tillsynsbegäran.docx", "A 33694-2022")</f>
        <v/>
      </c>
      <c r="Y49">
        <f>HYPERLINK("https://klasma.github.io/Logging_2081/tillsynsmail/A 33694-2022 tillsynsbegäran mail.docx", "A 33694-2022")</f>
        <v/>
      </c>
    </row>
    <row r="50" ht="15" customHeight="1">
      <c r="A50" t="inlineStr">
        <is>
          <t>A 35370-2022</t>
        </is>
      </c>
      <c r="B50" s="1" t="n">
        <v>44798</v>
      </c>
      <c r="C50" s="1" t="n">
        <v>45352</v>
      </c>
      <c r="D50" t="inlineStr">
        <is>
          <t>DALARNAS LÄN</t>
        </is>
      </c>
      <c r="E50" t="inlineStr">
        <is>
          <t>BORLÄNGE</t>
        </is>
      </c>
      <c r="G50" t="n">
        <v>0.4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35370-2022 artfynd.xlsx", "A 35370-2022")</f>
        <v/>
      </c>
      <c r="T50">
        <f>HYPERLINK("https://klasma.github.io/Logging_2081/kartor/A 35370-2022 karta.png", "A 35370-2022")</f>
        <v/>
      </c>
      <c r="V50">
        <f>HYPERLINK("https://klasma.github.io/Logging_2081/klagomål/A 35370-2022 FSC-klagomål.docx", "A 35370-2022")</f>
        <v/>
      </c>
      <c r="W50">
        <f>HYPERLINK("https://klasma.github.io/Logging_2081/klagomålsmail/A 35370-2022 FSC-klagomål mail.docx", "A 35370-2022")</f>
        <v/>
      </c>
      <c r="X50">
        <f>HYPERLINK("https://klasma.github.io/Logging_2081/tillsyn/A 35370-2022 tillsynsbegäran.docx", "A 35370-2022")</f>
        <v/>
      </c>
      <c r="Y50">
        <f>HYPERLINK("https://klasma.github.io/Logging_2081/tillsynsmail/A 35370-2022 tillsynsbegäran mail.docx", "A 35370-2022")</f>
        <v/>
      </c>
    </row>
    <row r="51" ht="15" customHeight="1">
      <c r="A51" t="inlineStr">
        <is>
          <t>A 35389-2022</t>
        </is>
      </c>
      <c r="B51" s="1" t="n">
        <v>44798</v>
      </c>
      <c r="C51" s="1" t="n">
        <v>45352</v>
      </c>
      <c r="D51" t="inlineStr">
        <is>
          <t>DALARNAS LÄN</t>
        </is>
      </c>
      <c r="E51" t="inlineStr">
        <is>
          <t>BORLÄNGE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HYPERLINK("https://klasma.github.io/Logging_2081/artfynd/A 35389-2022 artfynd.xlsx", "A 35389-2022")</f>
        <v/>
      </c>
      <c r="T51">
        <f>HYPERLINK("https://klasma.github.io/Logging_2081/kartor/A 35389-2022 karta.png", "A 35389-2022")</f>
        <v/>
      </c>
      <c r="V51">
        <f>HYPERLINK("https://klasma.github.io/Logging_2081/klagomål/A 35389-2022 FSC-klagomål.docx", "A 35389-2022")</f>
        <v/>
      </c>
      <c r="W51">
        <f>HYPERLINK("https://klasma.github.io/Logging_2081/klagomålsmail/A 35389-2022 FSC-klagomål mail.docx", "A 35389-2022")</f>
        <v/>
      </c>
      <c r="X51">
        <f>HYPERLINK("https://klasma.github.io/Logging_2081/tillsyn/A 35389-2022 tillsynsbegäran.docx", "A 35389-2022")</f>
        <v/>
      </c>
      <c r="Y51">
        <f>HYPERLINK("https://klasma.github.io/Logging_2081/tillsynsmail/A 35389-2022 tillsynsbegäran mail.docx", "A 35389-2022")</f>
        <v/>
      </c>
    </row>
    <row r="52" ht="15" customHeight="1">
      <c r="A52" t="inlineStr">
        <is>
          <t>A 57693-2022</t>
        </is>
      </c>
      <c r="B52" s="1" t="n">
        <v>44897</v>
      </c>
      <c r="C52" s="1" t="n">
        <v>45352</v>
      </c>
      <c r="D52" t="inlineStr">
        <is>
          <t>DALARNAS LÄN</t>
        </is>
      </c>
      <c r="E52" t="inlineStr">
        <is>
          <t>BORLÄNGE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Nästlav</t>
        </is>
      </c>
      <c r="S52">
        <f>HYPERLINK("https://klasma.github.io/Logging_2081/artfynd/A 57693-2022 artfynd.xlsx", "A 57693-2022")</f>
        <v/>
      </c>
      <c r="T52">
        <f>HYPERLINK("https://klasma.github.io/Logging_2081/kartor/A 57693-2022 karta.png", "A 57693-2022")</f>
        <v/>
      </c>
      <c r="V52">
        <f>HYPERLINK("https://klasma.github.io/Logging_2081/klagomål/A 57693-2022 FSC-klagomål.docx", "A 57693-2022")</f>
        <v/>
      </c>
      <c r="W52">
        <f>HYPERLINK("https://klasma.github.io/Logging_2081/klagomålsmail/A 57693-2022 FSC-klagomål mail.docx", "A 57693-2022")</f>
        <v/>
      </c>
      <c r="X52">
        <f>HYPERLINK("https://klasma.github.io/Logging_2081/tillsyn/A 57693-2022 tillsynsbegäran.docx", "A 57693-2022")</f>
        <v/>
      </c>
      <c r="Y52">
        <f>HYPERLINK("https://klasma.github.io/Logging_2081/tillsynsmail/A 57693-2022 tillsynsbegäran mail.docx", "A 57693-2022")</f>
        <v/>
      </c>
    </row>
    <row r="53" ht="15" customHeight="1">
      <c r="A53" t="inlineStr">
        <is>
          <t>A 865-2023</t>
        </is>
      </c>
      <c r="B53" s="1" t="n">
        <v>44931</v>
      </c>
      <c r="C53" s="1" t="n">
        <v>45352</v>
      </c>
      <c r="D53" t="inlineStr">
        <is>
          <t>DALARNAS LÄN</t>
        </is>
      </c>
      <c r="E53" t="inlineStr">
        <is>
          <t>BORLÄNGE</t>
        </is>
      </c>
      <c r="G53" t="n">
        <v>3.1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HYPERLINK("https://klasma.github.io/Logging_2081/artfynd/A 865-2023 artfynd.xlsx", "A 865-2023")</f>
        <v/>
      </c>
      <c r="T53">
        <f>HYPERLINK("https://klasma.github.io/Logging_2081/kartor/A 865-2023 karta.png", "A 865-2023")</f>
        <v/>
      </c>
      <c r="U53">
        <f>HYPERLINK("https://klasma.github.io/Logging_2081/knärot/A 865-2023 karta knärot.png", "A 865-2023")</f>
        <v/>
      </c>
      <c r="V53">
        <f>HYPERLINK("https://klasma.github.io/Logging_2081/klagomål/A 865-2023 FSC-klagomål.docx", "A 865-2023")</f>
        <v/>
      </c>
      <c r="W53">
        <f>HYPERLINK("https://klasma.github.io/Logging_2081/klagomålsmail/A 865-2023 FSC-klagomål mail.docx", "A 865-2023")</f>
        <v/>
      </c>
      <c r="X53">
        <f>HYPERLINK("https://klasma.github.io/Logging_2081/tillsyn/A 865-2023 tillsynsbegäran.docx", "A 865-2023")</f>
        <v/>
      </c>
      <c r="Y53">
        <f>HYPERLINK("https://klasma.github.io/Logging_2081/tillsynsmail/A 865-2023 tillsynsbegäran mail.docx", "A 865-2023")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45352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45352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45352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45352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45352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45352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45352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45352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45352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45352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45352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45352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45352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45352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45352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45352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45352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45352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45352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45352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45352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45352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45352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45352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45352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45352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45352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45352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45352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45352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45352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45352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45352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45352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45352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45352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45352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45352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45352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45352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45352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45352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45352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45352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45352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45352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45352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45352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45352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45352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45352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45352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45352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45352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45352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45352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45352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45352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45352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45352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45352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45352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45352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45352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45352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45352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45352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45352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45352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45352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45352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45352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45352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45352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45352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45352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45352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45352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45352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45352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45352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45352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45352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45352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45352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45352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45352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45352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45352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45352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45352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45352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45352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45352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45352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45352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45352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45352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45352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45352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45352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45352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45352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45352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45352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45352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45352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45352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45352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45352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45352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45352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45352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45352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45352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45352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45352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45352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45352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45352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45352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45352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45352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45352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45352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45352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45352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45352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45352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45352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45352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45352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45352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45352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45352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45352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45352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45352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45352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45352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45352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45352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45352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45352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45352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45352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45352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45352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45352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45352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45352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45352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45352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45352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45352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45352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45352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45352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45352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45352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45352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45352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45352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45352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45352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45352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45352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45352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45352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45352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45352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45352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45352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45352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45352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45352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45352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45352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45352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45352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45352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45352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45352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45352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45352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45352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45352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45352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45352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45352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45352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45352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45352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45352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45352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45352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45352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45352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45352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45352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45352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45352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45352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45352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45352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45352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45352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45352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45352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45352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45352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45352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45352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45352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45352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45352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45352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45352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45352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45352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45352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45352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45352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45352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45352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45352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45352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45352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45352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45352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45352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45352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45352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45352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45352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45352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45352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45352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45352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45352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45352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45352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45352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45352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45352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45352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45352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45352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45352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45352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45352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45352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45352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45352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45352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45352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45352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45352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45352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45352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45352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45352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45352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45352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45352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45352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45352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45352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45352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45352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45352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45352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45352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45352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45352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45352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45352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45352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45352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45352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45352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45352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45352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45352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45352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45352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45352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45352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45352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45352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45352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45352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45352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45352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45352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45352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45352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45352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45352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45352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45352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45352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45352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45352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45352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45352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45352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45352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45352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45352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45352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45352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45352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45352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45352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45352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45352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45352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45352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45352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45352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45352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45352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45352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45352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45352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45352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45352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45352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45352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45352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45352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45352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45352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45352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45352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45352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45352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45352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45352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45352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45352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45352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45352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45352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45352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45352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45352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45352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45352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45352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45352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45352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45352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45352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45352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45352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45352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45352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45352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45352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45352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45352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45352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45352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45352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45352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45352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45352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45352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45352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45352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45352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45352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45352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45352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45352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45352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45352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45352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45352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45352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45352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45352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45352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45352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45352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45352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45352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45352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45352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45352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45352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45352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45352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45352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45352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45352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45352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45352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45352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45352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45352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45352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45352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45352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45352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45352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45352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45352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45352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45352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45352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45352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45352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45352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45352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45352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45352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45352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45352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45352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45352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45352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45352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45352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45352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45352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45352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45352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45352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45352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45352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45352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45352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45352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45352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45352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45352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45352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45352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45352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45352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45352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45352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45352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45352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45352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45352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45352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45352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45352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45352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45352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45352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45352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45352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45352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45352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45352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45352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45352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45352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2024-03-01T12:33:04Z</dcterms:created>
  <dcterms:modified xmlns:dcterms="http://purl.org/dc/terms/" xmlns:xsi="http://www.w3.org/2001/XMLSchema-instance" xsi:type="dcterms:W3CDTF">2024-03-01T12:33:04Z</dcterms:modified>
</cp:coreProperties>
</file>