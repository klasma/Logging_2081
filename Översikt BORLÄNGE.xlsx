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45822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45822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45822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45822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45822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45822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45822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45822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45822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45822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45822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28027-2025</t>
        </is>
      </c>
      <c r="B19" s="1" t="n">
        <v>45817</v>
      </c>
      <c r="C19" s="1" t="n">
        <v>45822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HYPERLINK("https://klasma.github.io/Logging_202081/artfynd/A 28027-2025 artfynd.xlsx", "A 28027-2025")</f>
        <v/>
      </c>
      <c r="T19">
        <f>HYPERLINK("https://klasma.github.io/Logging_202081/kartor/A 28027-2025 karta.png", "A 28027-2025")</f>
        <v/>
      </c>
      <c r="U19">
        <f>HYPERLINK("https://klasma.github.io/Logging_202081/knärot/A 28027-2025 karta knärot.png", "A 28027-2025")</f>
        <v/>
      </c>
      <c r="V19">
        <f>HYPERLINK("https://klasma.github.io/Logging_202081/klagomål/A 28027-2025 FSC-klagomål.docx", "A 28027-2025")</f>
        <v/>
      </c>
      <c r="W19">
        <f>HYPERLINK("https://klasma.github.io/Logging_202081/klagomålsmail/A 28027-2025 FSC-klagomål mail.docx", "A 28027-2025")</f>
        <v/>
      </c>
      <c r="X19">
        <f>HYPERLINK("https://klasma.github.io/Logging_202081/tillsyn/A 28027-2025 tillsynsbegäran.docx", "A 28027-2025")</f>
        <v/>
      </c>
      <c r="Y19">
        <f>HYPERLINK("https://klasma.github.io/Logging_202081/tillsynsmail/A 28027-2025 tillsynsbegäran mail.docx", "A 28027-2025")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45822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45822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40633-2022</t>
        </is>
      </c>
      <c r="B22" s="1" t="n">
        <v>44824</v>
      </c>
      <c r="C22" s="1" t="n">
        <v>45822</v>
      </c>
      <c r="D22" t="inlineStr">
        <is>
          <t>DALARNAS LÄN</t>
        </is>
      </c>
      <c r="E22" t="inlineStr">
        <is>
          <t>BORLÄNGE</t>
        </is>
      </c>
      <c r="G22" t="n">
        <v>0.9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Tretåig hackspett
Skuggblåslav</t>
        </is>
      </c>
      <c r="S22">
        <f>HYPERLINK("https://klasma.github.io/Logging_2081/artfynd/A 40633-2022 artfynd.xlsx", "A 40633-2022")</f>
        <v/>
      </c>
      <c r="T22">
        <f>HYPERLINK("https://klasma.github.io/Logging_2081/kartor/A 40633-2022 karta.png", "A 40633-2022")</f>
        <v/>
      </c>
      <c r="U22">
        <f>HYPERLINK("https://klasma.github.io/Logging_2081/knärot/A 40633-2022 karta knärot.png", "A 40633-2022")</f>
        <v/>
      </c>
      <c r="V22">
        <f>HYPERLINK("https://klasma.github.io/Logging_2081/klagomål/A 40633-2022 FSC-klagomål.docx", "A 40633-2022")</f>
        <v/>
      </c>
      <c r="W22">
        <f>HYPERLINK("https://klasma.github.io/Logging_2081/klagomålsmail/A 40633-2022 FSC-klagomål mail.docx", "A 40633-2022")</f>
        <v/>
      </c>
      <c r="X22">
        <f>HYPERLINK("https://klasma.github.io/Logging_2081/tillsyn/A 40633-2022 tillsynsbegäran.docx", "A 40633-2022")</f>
        <v/>
      </c>
      <c r="Y22">
        <f>HYPERLINK("https://klasma.github.io/Logging_2081/tillsynsmail/A 40633-2022 tillsynsbegäran mail.docx", "A 40633-2022")</f>
        <v/>
      </c>
      <c r="Z22">
        <f>HYPERLINK("https://klasma.github.io/Logging_2081/fåglar/A 40633-2022 prioriterade fågelarter.docx", "A 40633-2022")</f>
        <v/>
      </c>
    </row>
    <row r="23" ht="15" customHeight="1">
      <c r="A23" t="inlineStr">
        <is>
          <t>A 16246-2023</t>
        </is>
      </c>
      <c r="B23" s="1" t="n">
        <v>45028</v>
      </c>
      <c r="C23" s="1" t="n">
        <v>45822</v>
      </c>
      <c r="D23" t="inlineStr">
        <is>
          <t>DALARNAS LÄN</t>
        </is>
      </c>
      <c r="E23" t="inlineStr">
        <is>
          <t>BORLÄNGE</t>
        </is>
      </c>
      <c r="G23" t="n">
        <v>12.3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Vedtrappmossa
Dropptaggsvamp</t>
        </is>
      </c>
      <c r="S23">
        <f>HYPERLINK("https://klasma.github.io/Logging_2081/artfynd/A 16246-2023 artfynd.xlsx", "A 16246-2023")</f>
        <v/>
      </c>
      <c r="T23">
        <f>HYPERLINK("https://klasma.github.io/Logging_2081/kartor/A 16246-2023 karta.png", "A 16246-2023")</f>
        <v/>
      </c>
      <c r="U23">
        <f>HYPERLINK("https://klasma.github.io/Logging_2081/knärot/A 16246-2023 karta knärot.png", "A 16246-2023")</f>
        <v/>
      </c>
      <c r="V23">
        <f>HYPERLINK("https://klasma.github.io/Logging_2081/klagomål/A 16246-2023 FSC-klagomål.docx", "A 16246-2023")</f>
        <v/>
      </c>
      <c r="W23">
        <f>HYPERLINK("https://klasma.github.io/Logging_2081/klagomålsmail/A 16246-2023 FSC-klagomål mail.docx", "A 16246-2023")</f>
        <v/>
      </c>
      <c r="X23">
        <f>HYPERLINK("https://klasma.github.io/Logging_2081/tillsyn/A 16246-2023 tillsynsbegäran.docx", "A 16246-2023")</f>
        <v/>
      </c>
      <c r="Y23">
        <f>HYPERLINK("https://klasma.github.io/Logging_2081/tillsynsmail/A 16246-2023 tillsynsbegäran mail.docx", "A 16246-2023")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45822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45822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</v>
      </c>
      <c r="C26" s="1" t="n">
        <v>45822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3060-2025</t>
        </is>
      </c>
      <c r="B27" s="1" t="n">
        <v>45678</v>
      </c>
      <c r="C27" s="1" t="n">
        <v>45822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16859-2025</t>
        </is>
      </c>
      <c r="B28" s="1" t="n">
        <v>45751</v>
      </c>
      <c r="C28" s="1" t="n">
        <v>45822</v>
      </c>
      <c r="D28" t="inlineStr">
        <is>
          <t>DALARNAS LÄN</t>
        </is>
      </c>
      <c r="E28" t="inlineStr">
        <is>
          <t>BORLÄNGE</t>
        </is>
      </c>
      <c r="G28" t="n">
        <v>12.8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Korallblylav
Stuplav</t>
        </is>
      </c>
      <c r="S28">
        <f>HYPERLINK("https://klasma.github.io/Logging_202081/artfynd/A 16859-2025 artfynd.xlsx", "A 16859-2025")</f>
        <v/>
      </c>
      <c r="T28">
        <f>HYPERLINK("https://klasma.github.io/Logging_202081/kartor/A 16859-2025 karta.png", "A 16859-2025")</f>
        <v/>
      </c>
      <c r="U28">
        <f>HYPERLINK("https://klasma.github.io/Logging_202081/knärot/A 16859-2025 karta knärot.png", "A 16859-2025")</f>
        <v/>
      </c>
      <c r="V28">
        <f>HYPERLINK("https://klasma.github.io/Logging_202081/klagomål/A 16859-2025 FSC-klagomål.docx", "A 16859-2025")</f>
        <v/>
      </c>
      <c r="W28">
        <f>HYPERLINK("https://klasma.github.io/Logging_202081/klagomålsmail/A 16859-2025 FSC-klagomål mail.docx", "A 16859-2025")</f>
        <v/>
      </c>
      <c r="X28">
        <f>HYPERLINK("https://klasma.github.io/Logging_202081/tillsyn/A 16859-2025 tillsynsbegäran.docx", "A 16859-2025")</f>
        <v/>
      </c>
      <c r="Y28">
        <f>HYPERLINK("https://klasma.github.io/Logging_202081/tillsynsmail/A 16859-2025 tillsynsbegäran mail.docx", "A 16859-2025")</f>
        <v/>
      </c>
    </row>
    <row r="29" ht="15" customHeight="1">
      <c r="A29" t="inlineStr">
        <is>
          <t>A 66569-2019</t>
        </is>
      </c>
      <c r="B29" s="1" t="n">
        <v>43781</v>
      </c>
      <c r="C29" s="1" t="n">
        <v>45822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Kopparspindling
Strimspindling
Svavelriska</t>
        </is>
      </c>
      <c r="S29">
        <f>HYPERLINK("https://klasma.github.io/Logging_2081/artfynd/A 66569-2019 artfynd.xlsx", "A 66569-2019")</f>
        <v/>
      </c>
      <c r="T29">
        <f>HYPERLINK("https://klasma.github.io/Logging_2081/kartor/A 66569-2019 karta.png", "A 66569-2019")</f>
        <v/>
      </c>
      <c r="V29">
        <f>HYPERLINK("https://klasma.github.io/Logging_2081/klagomål/A 66569-2019 FSC-klagomål.docx", "A 66569-2019")</f>
        <v/>
      </c>
      <c r="W29">
        <f>HYPERLINK("https://klasma.github.io/Logging_2081/klagomålsmail/A 66569-2019 FSC-klagomål mail.docx", "A 66569-2019")</f>
        <v/>
      </c>
      <c r="X29">
        <f>HYPERLINK("https://klasma.github.io/Logging_2081/tillsyn/A 66569-2019 tillsynsbegäran.docx", "A 66569-2019")</f>
        <v/>
      </c>
      <c r="Y29">
        <f>HYPERLINK("https://klasma.github.io/Logging_2081/tillsynsmail/A 66569-2019 tillsynsbegäran mail.docx", "A 66569-2019")</f>
        <v/>
      </c>
    </row>
    <row r="30" ht="15" customHeight="1">
      <c r="A30" t="inlineStr">
        <is>
          <t>A 6094-2022</t>
        </is>
      </c>
      <c r="B30" s="1" t="n">
        <v>44599</v>
      </c>
      <c r="C30" s="1" t="n">
        <v>45822</v>
      </c>
      <c r="D30" t="inlineStr">
        <is>
          <t>DALARNAS LÄN</t>
        </is>
      </c>
      <c r="E30" t="inlineStr">
        <is>
          <t>BORLÄNGE</t>
        </is>
      </c>
      <c r="G30" t="n">
        <v>19.7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Utter
Bronshjon
Rödgul trumpetsvamp</t>
        </is>
      </c>
      <c r="S30">
        <f>HYPERLINK("https://klasma.github.io/Logging_2081/artfynd/A 6094-2022 artfynd.xlsx", "A 6094-2022")</f>
        <v/>
      </c>
      <c r="T30">
        <f>HYPERLINK("https://klasma.github.io/Logging_2081/kartor/A 6094-2022 karta.png", "A 6094-2022")</f>
        <v/>
      </c>
      <c r="V30">
        <f>HYPERLINK("https://klasma.github.io/Logging_2081/klagomål/A 6094-2022 FSC-klagomål.docx", "A 6094-2022")</f>
        <v/>
      </c>
      <c r="W30">
        <f>HYPERLINK("https://klasma.github.io/Logging_2081/klagomålsmail/A 6094-2022 FSC-klagomål mail.docx", "A 6094-2022")</f>
        <v/>
      </c>
      <c r="X30">
        <f>HYPERLINK("https://klasma.github.io/Logging_2081/tillsyn/A 6094-2022 tillsynsbegäran.docx", "A 6094-2022")</f>
        <v/>
      </c>
      <c r="Y30">
        <f>HYPERLINK("https://klasma.github.io/Logging_2081/tillsynsmail/A 6094-2022 tillsynsbegäran mail.docx", "A 6094-2022")</f>
        <v/>
      </c>
    </row>
    <row r="31" ht="15" customHeight="1">
      <c r="A31" t="inlineStr">
        <is>
          <t>A 6972-2022</t>
        </is>
      </c>
      <c r="B31" s="1" t="n">
        <v>44603</v>
      </c>
      <c r="C31" s="1" t="n">
        <v>45822</v>
      </c>
      <c r="D31" t="inlineStr">
        <is>
          <t>DALARNAS LÄN</t>
        </is>
      </c>
      <c r="E31" t="inlineStr">
        <is>
          <t>BORLÄNGE</t>
        </is>
      </c>
      <c r="G31" t="n">
        <v>3.5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Leptoporus mollis
Talltita
Mattlummer</t>
        </is>
      </c>
      <c r="S31">
        <f>HYPERLINK("https://klasma.github.io/Logging_2081/artfynd/A 6972-2022 artfynd.xlsx", "A 6972-2022")</f>
        <v/>
      </c>
      <c r="T31">
        <f>HYPERLINK("https://klasma.github.io/Logging_2081/kartor/A 6972-2022 karta.png", "A 6972-2022")</f>
        <v/>
      </c>
      <c r="V31">
        <f>HYPERLINK("https://klasma.github.io/Logging_2081/klagomål/A 6972-2022 FSC-klagomål.docx", "A 6972-2022")</f>
        <v/>
      </c>
      <c r="W31">
        <f>HYPERLINK("https://klasma.github.io/Logging_2081/klagomålsmail/A 6972-2022 FSC-klagomål mail.docx", "A 6972-2022")</f>
        <v/>
      </c>
      <c r="X31">
        <f>HYPERLINK("https://klasma.github.io/Logging_2081/tillsyn/A 6972-2022 tillsynsbegäran.docx", "A 6972-2022")</f>
        <v/>
      </c>
      <c r="Y31">
        <f>HYPERLINK("https://klasma.github.io/Logging_2081/tillsynsmail/A 6972-2022 tillsynsbegäran mail.docx", "A 6972-2022")</f>
        <v/>
      </c>
      <c r="Z31">
        <f>HYPERLINK("https://klasma.github.io/Logging_2081/fåglar/A 6972-2022 prioriterade fågelarter.docx", "A 6972-2022")</f>
        <v/>
      </c>
    </row>
    <row r="32" ht="15" customHeight="1">
      <c r="A32" t="inlineStr">
        <is>
          <t>A 59665-2022</t>
        </is>
      </c>
      <c r="B32" s="1" t="n">
        <v>44908</v>
      </c>
      <c r="C32" s="1" t="n">
        <v>45822</v>
      </c>
      <c r="D32" t="inlineStr">
        <is>
          <t>DALARNAS LÄN</t>
        </is>
      </c>
      <c r="E32" t="inlineStr">
        <is>
          <t>BORLÄNGE</t>
        </is>
      </c>
      <c r="G32" t="n">
        <v>16.1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Tjäder
Fläcknycklar</t>
        </is>
      </c>
      <c r="S32">
        <f>HYPERLINK("https://klasma.github.io/Logging_2081/artfynd/A 59665-2022 artfynd.xlsx", "A 59665-2022")</f>
        <v/>
      </c>
      <c r="T32">
        <f>HYPERLINK("https://klasma.github.io/Logging_2081/kartor/A 59665-2022 karta.png", "A 59665-2022")</f>
        <v/>
      </c>
      <c r="U32">
        <f>HYPERLINK("https://klasma.github.io/Logging_2081/knärot/A 59665-2022 karta knärot.png", "A 59665-2022")</f>
        <v/>
      </c>
      <c r="V32">
        <f>HYPERLINK("https://klasma.github.io/Logging_2081/klagomål/A 59665-2022 FSC-klagomål.docx", "A 59665-2022")</f>
        <v/>
      </c>
      <c r="W32">
        <f>HYPERLINK("https://klasma.github.io/Logging_2081/klagomålsmail/A 59665-2022 FSC-klagomål mail.docx", "A 59665-2022")</f>
        <v/>
      </c>
      <c r="X32">
        <f>HYPERLINK("https://klasma.github.io/Logging_2081/tillsyn/A 59665-2022 tillsynsbegäran.docx", "A 59665-2022")</f>
        <v/>
      </c>
      <c r="Y32">
        <f>HYPERLINK("https://klasma.github.io/Logging_2081/tillsynsmail/A 59665-2022 tillsynsbegäran mail.docx", "A 59665-2022")</f>
        <v/>
      </c>
      <c r="Z32">
        <f>HYPERLINK("https://klasma.github.io/Logging_2081/fåglar/A 59665-2022 prioriterade fågelarter.docx", "A 59665-2022")</f>
        <v/>
      </c>
    </row>
    <row r="33" ht="15" customHeight="1">
      <c r="A33" t="inlineStr">
        <is>
          <t>A 22913-2023</t>
        </is>
      </c>
      <c r="B33" s="1" t="n">
        <v>45072</v>
      </c>
      <c r="C33" s="1" t="n">
        <v>45822</v>
      </c>
      <c r="D33" t="inlineStr">
        <is>
          <t>DALARNAS LÄN</t>
        </is>
      </c>
      <c r="E33" t="inlineStr">
        <is>
          <t>BORLÄNGE</t>
        </is>
      </c>
      <c r="G33" t="n">
        <v>3.2</v>
      </c>
      <c r="H33" t="n">
        <v>1</v>
      </c>
      <c r="I33" t="n">
        <v>0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3</v>
      </c>
      <c r="R33" s="2" t="inlineStr">
        <is>
          <t>Knärot
Rynkskinn
Ullticka</t>
        </is>
      </c>
      <c r="S33">
        <f>HYPERLINK("https://klasma.github.io/Logging_2081/artfynd/A 22913-2023 artfynd.xlsx", "A 22913-2023")</f>
        <v/>
      </c>
      <c r="T33">
        <f>HYPERLINK("https://klasma.github.io/Logging_2081/kartor/A 22913-2023 karta.png", "A 22913-2023")</f>
        <v/>
      </c>
      <c r="U33">
        <f>HYPERLINK("https://klasma.github.io/Logging_2081/knärot/A 22913-2023 karta knärot.png", "A 22913-2023")</f>
        <v/>
      </c>
      <c r="V33">
        <f>HYPERLINK("https://klasma.github.io/Logging_2081/klagomål/A 22913-2023 FSC-klagomål.docx", "A 22913-2023")</f>
        <v/>
      </c>
      <c r="W33">
        <f>HYPERLINK("https://klasma.github.io/Logging_2081/klagomålsmail/A 22913-2023 FSC-klagomål mail.docx", "A 22913-2023")</f>
        <v/>
      </c>
      <c r="X33">
        <f>HYPERLINK("https://klasma.github.io/Logging_2081/tillsyn/A 22913-2023 tillsynsbegäran.docx", "A 22913-2023")</f>
        <v/>
      </c>
      <c r="Y33">
        <f>HYPERLINK("https://klasma.github.io/Logging_2081/tillsynsmail/A 22913-2023 tillsynsbegäran mail.docx", "A 22913-2023")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45822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1737-2024</t>
        </is>
      </c>
      <c r="B35" s="1" t="n">
        <v>45307</v>
      </c>
      <c r="C35" s="1" t="n">
        <v>45822</v>
      </c>
      <c r="D35" t="inlineStr">
        <is>
          <t>DALARNAS LÄN</t>
        </is>
      </c>
      <c r="E35" t="inlineStr">
        <is>
          <t>BORLÄNGE</t>
        </is>
      </c>
      <c r="G35" t="n">
        <v>2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Ullticka
Blodticka</t>
        </is>
      </c>
      <c r="S35">
        <f>HYPERLINK("https://klasma.github.io/Logging_2081/artfynd/A 1737-2024 artfynd.xlsx", "A 1737-2024")</f>
        <v/>
      </c>
      <c r="T35">
        <f>HYPERLINK("https://klasma.github.io/Logging_2081/kartor/A 1737-2024 karta.png", "A 1737-2024")</f>
        <v/>
      </c>
      <c r="V35">
        <f>HYPERLINK("https://klasma.github.io/Logging_2081/klagomål/A 1737-2024 FSC-klagomål.docx", "A 1737-2024")</f>
        <v/>
      </c>
      <c r="W35">
        <f>HYPERLINK("https://klasma.github.io/Logging_2081/klagomålsmail/A 1737-2024 FSC-klagomål mail.docx", "A 1737-2024")</f>
        <v/>
      </c>
      <c r="X35">
        <f>HYPERLINK("https://klasma.github.io/Logging_2081/tillsyn/A 1737-2024 tillsynsbegäran.docx", "A 1737-2024")</f>
        <v/>
      </c>
      <c r="Y35">
        <f>HYPERLINK("https://klasma.github.io/Logging_2081/tillsynsmail/A 1737-2024 tillsynsbegäran mail.docx", "A 1737-2024")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45822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15918-2024</t>
        </is>
      </c>
      <c r="B37" s="1" t="n">
        <v>45405</v>
      </c>
      <c r="C37" s="1" t="n">
        <v>45822</v>
      </c>
      <c r="D37" t="inlineStr">
        <is>
          <t>DALARNAS LÄN</t>
        </is>
      </c>
      <c r="E37" t="inlineStr">
        <is>
          <t>BORLÄNGE</t>
        </is>
      </c>
      <c r="G37" t="n">
        <v>9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Tjäder</t>
        </is>
      </c>
      <c r="S37">
        <f>HYPERLINK("https://klasma.github.io/Logging_2081/artfynd/A 15918-2024 artfynd.xlsx", "A 15918-2024")</f>
        <v/>
      </c>
      <c r="T37">
        <f>HYPERLINK("https://klasma.github.io/Logging_2081/kartor/A 15918-2024 karta.png", "A 15918-2024")</f>
        <v/>
      </c>
      <c r="U37">
        <f>HYPERLINK("https://klasma.github.io/Logging_2081/knärot/A 15918-2024 karta knärot.png", "A 15918-2024")</f>
        <v/>
      </c>
      <c r="V37">
        <f>HYPERLINK("https://klasma.github.io/Logging_2081/klagomål/A 15918-2024 FSC-klagomål.docx", "A 15918-2024")</f>
        <v/>
      </c>
      <c r="W37">
        <f>HYPERLINK("https://klasma.github.io/Logging_2081/klagomålsmail/A 15918-2024 FSC-klagomål mail.docx", "A 15918-2024")</f>
        <v/>
      </c>
      <c r="X37">
        <f>HYPERLINK("https://klasma.github.io/Logging_2081/tillsyn/A 15918-2024 tillsynsbegäran.docx", "A 15918-2024")</f>
        <v/>
      </c>
      <c r="Y37">
        <f>HYPERLINK("https://klasma.github.io/Logging_2081/tillsynsmail/A 15918-2024 tillsynsbegäran mail.docx", "A 15918-2024")</f>
        <v/>
      </c>
      <c r="Z37">
        <f>HYPERLINK("https://klasma.github.io/Logging_2081/fåglar/A 15918-2024 prioriterade fågelarter.docx", "A 15918-2024")</f>
        <v/>
      </c>
    </row>
    <row r="38" ht="15" customHeight="1">
      <c r="A38" t="inlineStr">
        <is>
          <t>A 3087-2025</t>
        </is>
      </c>
      <c r="B38" s="1" t="n">
        <v>45678</v>
      </c>
      <c r="C38" s="1" t="n">
        <v>45822</v>
      </c>
      <c r="D38" t="inlineStr">
        <is>
          <t>DALARNAS LÄN</t>
        </is>
      </c>
      <c r="E38" t="inlineStr">
        <is>
          <t>BORLÄNGE</t>
        </is>
      </c>
      <c r="F38" t="inlineStr">
        <is>
          <t>Kommuner</t>
        </is>
      </c>
      <c r="G38" t="n">
        <v>10.8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Blåsippa</t>
        </is>
      </c>
      <c r="S38">
        <f>HYPERLINK("https://klasma.github.io/Logging_2081/artfynd/A 3087-2025 artfynd.xlsx", "A 3087-2025")</f>
        <v/>
      </c>
      <c r="T38">
        <f>HYPERLINK("https://klasma.github.io/Logging_2081/kartor/A 3087-2025 karta.png", "A 3087-2025")</f>
        <v/>
      </c>
      <c r="V38">
        <f>HYPERLINK("https://klasma.github.io/Logging_2081/klagomål/A 3087-2025 FSC-klagomål.docx", "A 3087-2025")</f>
        <v/>
      </c>
      <c r="W38">
        <f>HYPERLINK("https://klasma.github.io/Logging_2081/klagomålsmail/A 3087-2025 FSC-klagomål mail.docx", "A 3087-2025")</f>
        <v/>
      </c>
      <c r="X38">
        <f>HYPERLINK("https://klasma.github.io/Logging_2081/tillsyn/A 3087-2025 tillsynsbegäran.docx", "A 3087-2025")</f>
        <v/>
      </c>
      <c r="Y38">
        <f>HYPERLINK("https://klasma.github.io/Logging_2081/tillsynsmail/A 3087-2025 tillsynsbegäran mail.docx", "A 3087-2025")</f>
        <v/>
      </c>
    </row>
    <row r="39" ht="15" customHeight="1">
      <c r="A39" t="inlineStr">
        <is>
          <t>A 24183-2025</t>
        </is>
      </c>
      <c r="B39" s="1" t="n">
        <v>45796</v>
      </c>
      <c r="C39" s="1" t="n">
        <v>45822</v>
      </c>
      <c r="D39" t="inlineStr">
        <is>
          <t>DALARNAS LÄN</t>
        </is>
      </c>
      <c r="E39" t="inlineStr">
        <is>
          <t>BORLÄNGE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Tallticka
Mindre märgborre</t>
        </is>
      </c>
      <c r="S39">
        <f>HYPERLINK("https://klasma.github.io/Logging_202081/artfynd/A 24183-2025 artfynd.xlsx", "A 24183-2025")</f>
        <v/>
      </c>
      <c r="T39">
        <f>HYPERLINK("https://klasma.github.io/Logging_202081/kartor/A 24183-2025 karta.png", "A 24183-2025")</f>
        <v/>
      </c>
      <c r="V39">
        <f>HYPERLINK("https://klasma.github.io/Logging_202081/klagomål/A 24183-2025 FSC-klagomål.docx", "A 24183-2025")</f>
        <v/>
      </c>
      <c r="W39">
        <f>HYPERLINK("https://klasma.github.io/Logging_202081/klagomålsmail/A 24183-2025 FSC-klagomål mail.docx", "A 24183-2025")</f>
        <v/>
      </c>
      <c r="X39">
        <f>HYPERLINK("https://klasma.github.io/Logging_202081/tillsyn/A 24183-2025 tillsynsbegäran.docx", "A 24183-2025")</f>
        <v/>
      </c>
      <c r="Y39">
        <f>HYPERLINK("https://klasma.github.io/Logging_202081/tillsynsmail/A 24183-2025 tillsynsbegäran mail.docx", "A 24183-2025")</f>
        <v/>
      </c>
      <c r="Z39">
        <f>HYPERLINK("https://klasma.github.io/Logging_202081/fåglar/A 24183-2025 prioriterade fågelarter.docx", "A 24183-2025")</f>
        <v/>
      </c>
    </row>
    <row r="40" ht="15" customHeight="1">
      <c r="A40" t="inlineStr">
        <is>
          <t>A 67989-2019</t>
        </is>
      </c>
      <c r="B40" s="1" t="n">
        <v>43811</v>
      </c>
      <c r="C40" s="1" t="n">
        <v>45822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 taggsvamp
Blåsippa</t>
        </is>
      </c>
      <c r="S40">
        <f>HYPERLINK("https://klasma.github.io/Logging_2081/artfynd/A 67989-2019 artfynd.xlsx", "A 67989-2019")</f>
        <v/>
      </c>
      <c r="T40">
        <f>HYPERLINK("https://klasma.github.io/Logging_2081/kartor/A 67989-2019 karta.png", "A 67989-2019")</f>
        <v/>
      </c>
      <c r="V40">
        <f>HYPERLINK("https://klasma.github.io/Logging_2081/klagomål/A 67989-2019 FSC-klagomål.docx", "A 67989-2019")</f>
        <v/>
      </c>
      <c r="W40">
        <f>HYPERLINK("https://klasma.github.io/Logging_2081/klagomålsmail/A 67989-2019 FSC-klagomål mail.docx", "A 67989-2019")</f>
        <v/>
      </c>
      <c r="X40">
        <f>HYPERLINK("https://klasma.github.io/Logging_2081/tillsyn/A 67989-2019 tillsynsbegäran.docx", "A 67989-2019")</f>
        <v/>
      </c>
      <c r="Y40">
        <f>HYPERLINK("https://klasma.github.io/Logging_2081/tillsynsmail/A 67989-2019 tillsynsbegäran mail.docx", "A 67989-2019")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45822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45822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48937-2021</t>
        </is>
      </c>
      <c r="B43" s="1" t="n">
        <v>44453</v>
      </c>
      <c r="C43" s="1" t="n">
        <v>45822</v>
      </c>
      <c r="D43" t="inlineStr">
        <is>
          <t>DALARNAS LÄN</t>
        </is>
      </c>
      <c r="E43" t="inlineStr">
        <is>
          <t>BORLÄNGE</t>
        </is>
      </c>
      <c r="G43" t="n">
        <v>19.7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HYPERLINK("https://klasma.github.io/Logging_2081/artfynd/A 48937-2021 artfynd.xlsx", "A 48937-2021")</f>
        <v/>
      </c>
      <c r="T43">
        <f>HYPERLINK("https://klasma.github.io/Logging_2081/kartor/A 48937-2021 karta.png", "A 48937-2021")</f>
        <v/>
      </c>
      <c r="U43">
        <f>HYPERLINK("https://klasma.github.io/Logging_2081/knärot/A 48937-2021 karta knärot.png", "A 48937-2021")</f>
        <v/>
      </c>
      <c r="V43">
        <f>HYPERLINK("https://klasma.github.io/Logging_2081/klagomål/A 48937-2021 FSC-klagomål.docx", "A 48937-2021")</f>
        <v/>
      </c>
      <c r="W43">
        <f>HYPERLINK("https://klasma.github.io/Logging_2081/klagomålsmail/A 48937-2021 FSC-klagomål mail.docx", "A 48937-2021")</f>
        <v/>
      </c>
      <c r="X43">
        <f>HYPERLINK("https://klasma.github.io/Logging_2081/tillsyn/A 48937-2021 tillsynsbegäran.docx", "A 48937-2021")</f>
        <v/>
      </c>
      <c r="Y43">
        <f>HYPERLINK("https://klasma.github.io/Logging_2081/tillsynsmail/A 48937-2021 tillsynsbegäran mail.docx", "A 48937-2021")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45822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58556-2021</t>
        </is>
      </c>
      <c r="B45" s="1" t="n">
        <v>44488</v>
      </c>
      <c r="C45" s="1" t="n">
        <v>45822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58556-2021 artfynd.xlsx", "A 58556-2021")</f>
        <v/>
      </c>
      <c r="T45">
        <f>HYPERLINK("https://klasma.github.io/Logging_2081/kartor/A 58556-2021 karta.png", "A 58556-2021")</f>
        <v/>
      </c>
      <c r="V45">
        <f>HYPERLINK("https://klasma.github.io/Logging_2081/klagomål/A 58556-2021 FSC-klagomål.docx", "A 58556-2021")</f>
        <v/>
      </c>
      <c r="W45">
        <f>HYPERLINK("https://klasma.github.io/Logging_2081/klagomålsmail/A 58556-2021 FSC-klagomål mail.docx", "A 58556-2021")</f>
        <v/>
      </c>
      <c r="X45">
        <f>HYPERLINK("https://klasma.github.io/Logging_2081/tillsyn/A 58556-2021 tillsynsbegäran.docx", "A 58556-2021")</f>
        <v/>
      </c>
      <c r="Y45">
        <f>HYPERLINK("https://klasma.github.io/Logging_2081/tillsynsmail/A 58556-2021 tillsynsbegäran mail.docx", "A 58556-2021")</f>
        <v/>
      </c>
      <c r="Z45">
        <f>HYPERLINK("https://klasma.github.io/Logging_2081/fåglar/A 58556-2021 prioriterade fågelarter.docx", "A 58556-2021")</f>
        <v/>
      </c>
    </row>
    <row r="46" ht="15" customHeight="1">
      <c r="A46" t="inlineStr">
        <is>
          <t>A 59701-2021</t>
        </is>
      </c>
      <c r="B46" s="1" t="n">
        <v>44494</v>
      </c>
      <c r="C46" s="1" t="n">
        <v>45822</v>
      </c>
      <c r="D46" t="inlineStr">
        <is>
          <t>DALARNAS LÄN</t>
        </is>
      </c>
      <c r="E46" t="inlineStr">
        <is>
          <t>BORLÄNGE</t>
        </is>
      </c>
      <c r="G46" t="n">
        <v>3.9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Svavelriska</t>
        </is>
      </c>
      <c r="S46">
        <f>HYPERLINK("https://klasma.github.io/Logging_2081/artfynd/A 59701-2021 artfynd.xlsx", "A 59701-2021")</f>
        <v/>
      </c>
      <c r="T46">
        <f>HYPERLINK("https://klasma.github.io/Logging_2081/kartor/A 59701-2021 karta.png", "A 59701-2021")</f>
        <v/>
      </c>
      <c r="V46">
        <f>HYPERLINK("https://klasma.github.io/Logging_2081/klagomål/A 59701-2021 FSC-klagomål.docx", "A 59701-2021")</f>
        <v/>
      </c>
      <c r="W46">
        <f>HYPERLINK("https://klasma.github.io/Logging_2081/klagomålsmail/A 59701-2021 FSC-klagomål mail.docx", "A 59701-2021")</f>
        <v/>
      </c>
      <c r="X46">
        <f>HYPERLINK("https://klasma.github.io/Logging_2081/tillsyn/A 59701-2021 tillsynsbegäran.docx", "A 59701-2021")</f>
        <v/>
      </c>
      <c r="Y46">
        <f>HYPERLINK("https://klasma.github.io/Logging_2081/tillsynsmail/A 59701-2021 tillsynsbegäran mail.docx", "A 59701-2021")</f>
        <v/>
      </c>
    </row>
    <row r="47" ht="15" customHeight="1">
      <c r="A47" t="inlineStr">
        <is>
          <t>A 63118-2021</t>
        </is>
      </c>
      <c r="B47" s="1" t="n">
        <v>44505</v>
      </c>
      <c r="C47" s="1" t="n">
        <v>45822</v>
      </c>
      <c r="D47" t="inlineStr">
        <is>
          <t>DALARNAS LÄN</t>
        </is>
      </c>
      <c r="E47" t="inlineStr">
        <is>
          <t>BORLÄNGE</t>
        </is>
      </c>
      <c r="G47" t="n">
        <v>11.9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Dropptaggsvamp</t>
        </is>
      </c>
      <c r="S47">
        <f>HYPERLINK("https://klasma.github.io/Logging_2081/artfynd/A 63118-2021 artfynd.xlsx", "A 63118-2021")</f>
        <v/>
      </c>
      <c r="T47">
        <f>HYPERLINK("https://klasma.github.io/Logging_2081/kartor/A 63118-2021 karta.png", "A 63118-2021")</f>
        <v/>
      </c>
      <c r="U47">
        <f>HYPERLINK("https://klasma.github.io/Logging_2081/knärot/A 63118-2021 karta knärot.png", "A 63118-2021")</f>
        <v/>
      </c>
      <c r="V47">
        <f>HYPERLINK("https://klasma.github.io/Logging_2081/klagomål/A 63118-2021 FSC-klagomål.docx", "A 63118-2021")</f>
        <v/>
      </c>
      <c r="W47">
        <f>HYPERLINK("https://klasma.github.io/Logging_2081/klagomålsmail/A 63118-2021 FSC-klagomål mail.docx", "A 63118-2021")</f>
        <v/>
      </c>
      <c r="X47">
        <f>HYPERLINK("https://klasma.github.io/Logging_2081/tillsyn/A 63118-2021 tillsynsbegäran.docx", "A 63118-2021")</f>
        <v/>
      </c>
      <c r="Y47">
        <f>HYPERLINK("https://klasma.github.io/Logging_2081/tillsynsmail/A 63118-2021 tillsynsbegäran mail.docx", "A 63118-2021")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45822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3515-2023</t>
        </is>
      </c>
      <c r="B49" s="1" t="n">
        <v>44950</v>
      </c>
      <c r="C49" s="1" t="n">
        <v>45822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3515-2023 artfynd.xlsx", "A 3515-2023")</f>
        <v/>
      </c>
      <c r="T49">
        <f>HYPERLINK("https://klasma.github.io/Logging_2081/kartor/A 3515-2023 karta.png", "A 3515-2023")</f>
        <v/>
      </c>
      <c r="V49">
        <f>HYPERLINK("https://klasma.github.io/Logging_2081/klagomål/A 3515-2023 FSC-klagomål.docx", "A 3515-2023")</f>
        <v/>
      </c>
      <c r="W49">
        <f>HYPERLINK("https://klasma.github.io/Logging_2081/klagomålsmail/A 3515-2023 FSC-klagomål mail.docx", "A 3515-2023")</f>
        <v/>
      </c>
      <c r="X49">
        <f>HYPERLINK("https://klasma.github.io/Logging_2081/tillsyn/A 3515-2023 tillsynsbegäran.docx", "A 3515-2023")</f>
        <v/>
      </c>
      <c r="Y49">
        <f>HYPERLINK("https://klasma.github.io/Logging_2081/tillsynsmail/A 3515-2023 tillsynsbegäran mail.docx", "A 3515-2023")</f>
        <v/>
      </c>
      <c r="Z49">
        <f>HYPERLINK("https://klasma.github.io/Logging_2081/fåglar/A 3515-2023 prioriterade fågelarter.docx", "A 3515-2023")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45822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12444-2023</t>
        </is>
      </c>
      <c r="B51" s="1" t="n">
        <v>44999</v>
      </c>
      <c r="C51" s="1" t="n">
        <v>45822</v>
      </c>
      <c r="D51" t="inlineStr">
        <is>
          <t>DALARNAS LÄN</t>
        </is>
      </c>
      <c r="E51" t="inlineStr">
        <is>
          <t>BORLÄNGE</t>
        </is>
      </c>
      <c r="G51" t="n">
        <v>7.5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Dofttaggsvamp
Talltita</t>
        </is>
      </c>
      <c r="S51">
        <f>HYPERLINK("https://klasma.github.io/Logging_2081/artfynd/A 12444-2023 artfynd.xlsx", "A 12444-2023")</f>
        <v/>
      </c>
      <c r="T51">
        <f>HYPERLINK("https://klasma.github.io/Logging_2081/kartor/A 12444-2023 karta.png", "A 12444-2023")</f>
        <v/>
      </c>
      <c r="V51">
        <f>HYPERLINK("https://klasma.github.io/Logging_2081/klagomål/A 12444-2023 FSC-klagomål.docx", "A 12444-2023")</f>
        <v/>
      </c>
      <c r="W51">
        <f>HYPERLINK("https://klasma.github.io/Logging_2081/klagomålsmail/A 12444-2023 FSC-klagomål mail.docx", "A 12444-2023")</f>
        <v/>
      </c>
      <c r="X51">
        <f>HYPERLINK("https://klasma.github.io/Logging_2081/tillsyn/A 12444-2023 tillsynsbegäran.docx", "A 12444-2023")</f>
        <v/>
      </c>
      <c r="Y51">
        <f>HYPERLINK("https://klasma.github.io/Logging_2081/tillsynsmail/A 12444-2023 tillsynsbegäran mail.docx", "A 12444-2023")</f>
        <v/>
      </c>
      <c r="Z51">
        <f>HYPERLINK("https://klasma.github.io/Logging_2081/fåglar/A 12444-2023 prioriterade fågelarter.docx", "A 12444-2023")</f>
        <v/>
      </c>
    </row>
    <row r="52" ht="15" customHeight="1">
      <c r="A52" t="inlineStr">
        <is>
          <t>A 14651-2023</t>
        </is>
      </c>
      <c r="B52" s="1" t="n">
        <v>45013</v>
      </c>
      <c r="C52" s="1" t="n">
        <v>45822</v>
      </c>
      <c r="D52" t="inlineStr">
        <is>
          <t>DALARNAS LÄN</t>
        </is>
      </c>
      <c r="E52" t="inlineStr">
        <is>
          <t>BORLÄNGE</t>
        </is>
      </c>
      <c r="G52" t="n">
        <v>16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Tallticka</t>
        </is>
      </c>
      <c r="S52">
        <f>HYPERLINK("https://klasma.github.io/Logging_2081/artfynd/A 14651-2023 artfynd.xlsx", "A 14651-2023")</f>
        <v/>
      </c>
      <c r="T52">
        <f>HYPERLINK("https://klasma.github.io/Logging_2081/kartor/A 14651-2023 karta.png", "A 14651-2023")</f>
        <v/>
      </c>
      <c r="U52">
        <f>HYPERLINK("https://klasma.github.io/Logging_2081/knärot/A 14651-2023 karta knärot.png", "A 14651-2023")</f>
        <v/>
      </c>
      <c r="V52">
        <f>HYPERLINK("https://klasma.github.io/Logging_2081/klagomål/A 14651-2023 FSC-klagomål.docx", "A 14651-2023")</f>
        <v/>
      </c>
      <c r="W52">
        <f>HYPERLINK("https://klasma.github.io/Logging_2081/klagomålsmail/A 14651-2023 FSC-klagomål mail.docx", "A 14651-2023")</f>
        <v/>
      </c>
      <c r="X52">
        <f>HYPERLINK("https://klasma.github.io/Logging_2081/tillsyn/A 14651-2023 tillsynsbegäran.docx", "A 14651-2023")</f>
        <v/>
      </c>
      <c r="Y52">
        <f>HYPERLINK("https://klasma.github.io/Logging_2081/tillsynsmail/A 14651-2023 tillsynsbegäran mail.docx", "A 14651-2023")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45822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45822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31680-2023</t>
        </is>
      </c>
      <c r="B55" s="1" t="n">
        <v>45117</v>
      </c>
      <c r="C55" s="1" t="n">
        <v>45822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Vågbandad barkbock
Blåsippa</t>
        </is>
      </c>
      <c r="S55">
        <f>HYPERLINK("https://klasma.github.io/Logging_2081/artfynd/A 31680-2023 artfynd.xlsx", "A 31680-2023")</f>
        <v/>
      </c>
      <c r="T55">
        <f>HYPERLINK("https://klasma.github.io/Logging_2081/kartor/A 31680-2023 karta.png", "A 31680-2023")</f>
        <v/>
      </c>
      <c r="U55">
        <f>HYPERLINK("https://klasma.github.io/Logging_2081/knärot/A 31680-2023 karta knärot.png", "A 31680-2023")</f>
        <v/>
      </c>
      <c r="V55">
        <f>HYPERLINK("https://klasma.github.io/Logging_2081/klagomål/A 31680-2023 FSC-klagomål.docx", "A 31680-2023")</f>
        <v/>
      </c>
      <c r="W55">
        <f>HYPERLINK("https://klasma.github.io/Logging_2081/klagomålsmail/A 31680-2023 FSC-klagomål mail.docx", "A 31680-2023")</f>
        <v/>
      </c>
      <c r="X55">
        <f>HYPERLINK("https://klasma.github.io/Logging_2081/tillsyn/A 31680-2023 tillsynsbegäran.docx", "A 31680-2023")</f>
        <v/>
      </c>
      <c r="Y55">
        <f>HYPERLINK("https://klasma.github.io/Logging_2081/tillsynsmail/A 31680-2023 tillsynsbegäran mail.docx", "A 31680-2023")</f>
        <v/>
      </c>
    </row>
    <row r="56" ht="15" customHeight="1">
      <c r="A56" t="inlineStr">
        <is>
          <t>A 54154-2023</t>
        </is>
      </c>
      <c r="B56" s="1" t="n">
        <v>45232</v>
      </c>
      <c r="C56" s="1" t="n">
        <v>45822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Bronshjon</t>
        </is>
      </c>
      <c r="S56">
        <f>HYPERLINK("https://klasma.github.io/Logging_2081/artfynd/A 54154-2023 artfynd.xlsx", "A 54154-2023")</f>
        <v/>
      </c>
      <c r="T56">
        <f>HYPERLINK("https://klasma.github.io/Logging_2081/kartor/A 54154-2023 karta.png", "A 54154-2023")</f>
        <v/>
      </c>
      <c r="V56">
        <f>HYPERLINK("https://klasma.github.io/Logging_2081/klagomål/A 54154-2023 FSC-klagomål.docx", "A 54154-2023")</f>
        <v/>
      </c>
      <c r="W56">
        <f>HYPERLINK("https://klasma.github.io/Logging_2081/klagomålsmail/A 54154-2023 FSC-klagomål mail.docx", "A 54154-2023")</f>
        <v/>
      </c>
      <c r="X56">
        <f>HYPERLINK("https://klasma.github.io/Logging_2081/tillsyn/A 54154-2023 tillsynsbegäran.docx", "A 54154-2023")</f>
        <v/>
      </c>
      <c r="Y56">
        <f>HYPERLINK("https://klasma.github.io/Logging_2081/tillsynsmail/A 54154-2023 tillsynsbegäran mail.docx", "A 54154-2023")</f>
        <v/>
      </c>
    </row>
    <row r="57" ht="15" customHeight="1">
      <c r="A57" t="inlineStr">
        <is>
          <t>A 58614-2023</t>
        </is>
      </c>
      <c r="B57" s="1" t="n">
        <v>45251</v>
      </c>
      <c r="C57" s="1" t="n">
        <v>45822</v>
      </c>
      <c r="D57" t="inlineStr">
        <is>
          <t>DALARNAS LÄN</t>
        </is>
      </c>
      <c r="E57" t="inlineStr">
        <is>
          <t>BORLÄNGE</t>
        </is>
      </c>
      <c r="G57" t="n">
        <v>1.8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Gropticka</t>
        </is>
      </c>
      <c r="S57">
        <f>HYPERLINK("https://klasma.github.io/Logging_2081/artfynd/A 58614-2023 artfynd.xlsx", "A 58614-2023")</f>
        <v/>
      </c>
      <c r="T57">
        <f>HYPERLINK("https://klasma.github.io/Logging_2081/kartor/A 58614-2023 karta.png", "A 58614-2023")</f>
        <v/>
      </c>
      <c r="U57">
        <f>HYPERLINK("https://klasma.github.io/Logging_2081/knärot/A 58614-2023 karta knärot.png", "A 58614-2023")</f>
        <v/>
      </c>
      <c r="V57">
        <f>HYPERLINK("https://klasma.github.io/Logging_2081/klagomål/A 58614-2023 FSC-klagomål.docx", "A 58614-2023")</f>
        <v/>
      </c>
      <c r="W57">
        <f>HYPERLINK("https://klasma.github.io/Logging_2081/klagomålsmail/A 58614-2023 FSC-klagomål mail.docx", "A 58614-2023")</f>
        <v/>
      </c>
      <c r="X57">
        <f>HYPERLINK("https://klasma.github.io/Logging_2081/tillsyn/A 58614-2023 tillsynsbegäran.docx", "A 58614-2023")</f>
        <v/>
      </c>
      <c r="Y57">
        <f>HYPERLINK("https://klasma.github.io/Logging_2081/tillsynsmail/A 58614-2023 tillsynsbegäran mail.docx", "A 58614-2023")</f>
        <v/>
      </c>
    </row>
    <row r="58" ht="15" customHeight="1">
      <c r="A58" t="inlineStr">
        <is>
          <t>A 1750-2024</t>
        </is>
      </c>
      <c r="B58" s="1" t="n">
        <v>45307</v>
      </c>
      <c r="C58" s="1" t="n">
        <v>45822</v>
      </c>
      <c r="D58" t="inlineStr">
        <is>
          <t>DALARNAS LÄN</t>
        </is>
      </c>
      <c r="E58" t="inlineStr">
        <is>
          <t>BORLÄNGE</t>
        </is>
      </c>
      <c r="G58" t="n">
        <v>2.9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HYPERLINK("https://klasma.github.io/Logging_2081/artfynd/A 1750-2024 artfynd.xlsx", "A 1750-2024")</f>
        <v/>
      </c>
      <c r="T58">
        <f>HYPERLINK("https://klasma.github.io/Logging_2081/kartor/A 1750-2024 karta.png", "A 1750-2024")</f>
        <v/>
      </c>
      <c r="V58">
        <f>HYPERLINK("https://klasma.github.io/Logging_2081/klagomål/A 1750-2024 FSC-klagomål.docx", "A 1750-2024")</f>
        <v/>
      </c>
      <c r="W58">
        <f>HYPERLINK("https://klasma.github.io/Logging_2081/klagomålsmail/A 1750-2024 FSC-klagomål mail.docx", "A 1750-2024")</f>
        <v/>
      </c>
      <c r="X58">
        <f>HYPERLINK("https://klasma.github.io/Logging_2081/tillsyn/A 1750-2024 tillsynsbegäran.docx", "A 1750-2024")</f>
        <v/>
      </c>
      <c r="Y58">
        <f>HYPERLINK("https://klasma.github.io/Logging_2081/tillsynsmail/A 1750-2024 tillsynsbegäran mail.docx", "A 1750-2024")</f>
        <v/>
      </c>
    </row>
    <row r="59" ht="15" customHeight="1">
      <c r="A59" t="inlineStr">
        <is>
          <t>A 10740-2024</t>
        </is>
      </c>
      <c r="B59" s="1" t="n">
        <v>45369</v>
      </c>
      <c r="C59" s="1" t="n">
        <v>45822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Skrovlig taggsvamp
Ullticka</t>
        </is>
      </c>
      <c r="S59">
        <f>HYPERLINK("https://klasma.github.io/Logging_2081/artfynd/A 10740-2024 artfynd.xlsx", "A 10740-2024")</f>
        <v/>
      </c>
      <c r="T59">
        <f>HYPERLINK("https://klasma.github.io/Logging_2081/kartor/A 10740-2024 karta.png", "A 10740-2024")</f>
        <v/>
      </c>
      <c r="V59">
        <f>HYPERLINK("https://klasma.github.io/Logging_2081/klagomål/A 10740-2024 FSC-klagomål.docx", "A 10740-2024")</f>
        <v/>
      </c>
      <c r="W59">
        <f>HYPERLINK("https://klasma.github.io/Logging_2081/klagomålsmail/A 10740-2024 FSC-klagomål mail.docx", "A 10740-2024")</f>
        <v/>
      </c>
      <c r="X59">
        <f>HYPERLINK("https://klasma.github.io/Logging_2081/tillsyn/A 10740-2024 tillsynsbegäran.docx", "A 10740-2024")</f>
        <v/>
      </c>
      <c r="Y59">
        <f>HYPERLINK("https://klasma.github.io/Logging_2081/tillsynsmail/A 10740-2024 tillsynsbegäran mail.docx", "A 10740-2024")</f>
        <v/>
      </c>
    </row>
    <row r="60" ht="15" customHeight="1">
      <c r="A60" t="inlineStr">
        <is>
          <t>A 19650-2024</t>
        </is>
      </c>
      <c r="B60" s="1" t="n">
        <v>45432</v>
      </c>
      <c r="C60" s="1" t="n">
        <v>45822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2.5</v>
      </c>
      <c r="H60" t="n">
        <v>2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Tretåig hackspett</t>
        </is>
      </c>
      <c r="S60">
        <f>HYPERLINK("https://klasma.github.io/Logging_2081/artfynd/A 19650-2024 artfynd.xlsx", "A 19650-2024")</f>
        <v/>
      </c>
      <c r="T60">
        <f>HYPERLINK("https://klasma.github.io/Logging_2081/kartor/A 19650-2024 karta.png", "A 19650-2024")</f>
        <v/>
      </c>
      <c r="U60">
        <f>HYPERLINK("https://klasma.github.io/Logging_2081/knärot/A 19650-2024 karta knärot.png", "A 19650-2024")</f>
        <v/>
      </c>
      <c r="V60">
        <f>HYPERLINK("https://klasma.github.io/Logging_2081/klagomål/A 19650-2024 FSC-klagomål.docx", "A 19650-2024")</f>
        <v/>
      </c>
      <c r="W60">
        <f>HYPERLINK("https://klasma.github.io/Logging_2081/klagomålsmail/A 19650-2024 FSC-klagomål mail.docx", "A 19650-2024")</f>
        <v/>
      </c>
      <c r="X60">
        <f>HYPERLINK("https://klasma.github.io/Logging_2081/tillsyn/A 19650-2024 tillsynsbegäran.docx", "A 19650-2024")</f>
        <v/>
      </c>
      <c r="Y60">
        <f>HYPERLINK("https://klasma.github.io/Logging_2081/tillsynsmail/A 19650-2024 tillsynsbegäran mail.docx", "A 19650-2024")</f>
        <v/>
      </c>
      <c r="Z60">
        <f>HYPERLINK("https://klasma.github.io/Logging_2081/fåglar/A 19650-2024 prioriterade fågelarter.docx", "A 19650-2024")</f>
        <v/>
      </c>
    </row>
    <row r="61" ht="15" customHeight="1">
      <c r="A61" t="inlineStr">
        <is>
          <t>A 37723-2024</t>
        </is>
      </c>
      <c r="B61" s="1" t="n">
        <v>45541</v>
      </c>
      <c r="C61" s="1" t="n">
        <v>45822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HYPERLINK("https://klasma.github.io/Logging_2081/artfynd/A 37723-2024 artfynd.xlsx", "A 37723-2024")</f>
        <v/>
      </c>
      <c r="T61">
        <f>HYPERLINK("https://klasma.github.io/Logging_2081/kartor/A 37723-2024 karta.png", "A 37723-2024")</f>
        <v/>
      </c>
      <c r="V61">
        <f>HYPERLINK("https://klasma.github.io/Logging_2081/klagomål/A 37723-2024 FSC-klagomål.docx", "A 37723-2024")</f>
        <v/>
      </c>
      <c r="W61">
        <f>HYPERLINK("https://klasma.github.io/Logging_2081/klagomålsmail/A 37723-2024 FSC-klagomål mail.docx", "A 37723-2024")</f>
        <v/>
      </c>
      <c r="X61">
        <f>HYPERLINK("https://klasma.github.io/Logging_2081/tillsyn/A 37723-2024 tillsynsbegäran.docx", "A 37723-2024")</f>
        <v/>
      </c>
      <c r="Y61">
        <f>HYPERLINK("https://klasma.github.io/Logging_2081/tillsynsmail/A 37723-2024 tillsynsbegäran mail.docx", "A 37723-2024")</f>
        <v/>
      </c>
    </row>
    <row r="62" ht="15" customHeight="1">
      <c r="A62" t="inlineStr">
        <is>
          <t>A 22907-2025</t>
        </is>
      </c>
      <c r="B62" s="1" t="n">
        <v>45790</v>
      </c>
      <c r="C62" s="1" t="n">
        <v>45822</v>
      </c>
      <c r="D62" t="inlineStr">
        <is>
          <t>DALARNAS LÄN</t>
        </is>
      </c>
      <c r="E62" t="inlineStr">
        <is>
          <t>BORLÄNGE</t>
        </is>
      </c>
      <c r="G62" t="n">
        <v>10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Tjäder
Fläcknycklar</t>
        </is>
      </c>
      <c r="S62">
        <f>HYPERLINK("https://klasma.github.io/Logging_202081/artfynd/A 22907-2025 artfynd.xlsx", "A 22907-2025")</f>
        <v/>
      </c>
      <c r="T62">
        <f>HYPERLINK("https://klasma.github.io/Logging_202081/kartor/A 22907-2025 karta.png", "A 22907-2025")</f>
        <v/>
      </c>
      <c r="V62">
        <f>HYPERLINK("https://klasma.github.io/Logging_202081/klagomål/A 22907-2025 FSC-klagomål.docx", "A 22907-2025")</f>
        <v/>
      </c>
      <c r="W62">
        <f>HYPERLINK("https://klasma.github.io/Logging_202081/klagomålsmail/A 22907-2025 FSC-klagomål mail.docx", "A 22907-2025")</f>
        <v/>
      </c>
      <c r="X62">
        <f>HYPERLINK("https://klasma.github.io/Logging_202081/tillsyn/A 22907-2025 tillsynsbegäran.docx", "A 22907-2025")</f>
        <v/>
      </c>
      <c r="Y62">
        <f>HYPERLINK("https://klasma.github.io/Logging_202081/tillsynsmail/A 22907-2025 tillsynsbegäran mail.docx", "A 22907-2025")</f>
        <v/>
      </c>
      <c r="Z62">
        <f>HYPERLINK("https://klasma.github.io/Logging_202081/fåglar/A 22907-2025 prioriterade fågelarter.docx", "A 22907-2025")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45822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45822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45822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45822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45822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45822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45822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45822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45822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45822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45822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45822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45822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45822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45822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45822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45822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45822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45822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45822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45822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45822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45822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45822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45822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45822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45822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45822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45822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45822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45822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45822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45822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45822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45822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45822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45822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45822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45822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45822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45822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45822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45822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45822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45822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45822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45822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45822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45822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45822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45822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45822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45822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45822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45822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45822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45822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45822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45822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45822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45822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45822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45822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45822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45822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45822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45822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45822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45822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45822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45822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45822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45822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45822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45822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45822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45822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45822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45822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45822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45822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45822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45822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45822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45822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45822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45822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45822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45822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45822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45822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45822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45822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45822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45822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45822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45822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45822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45822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45822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45822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45822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45822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45822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45822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45822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45822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45822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45822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45822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45822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45822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45822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45822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45822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45822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45822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45822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45822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45822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45822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45822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45822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45822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45822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45822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45822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45822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45822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45822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45822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45822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45822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45822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45822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45822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45822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45822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45822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45822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45822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45822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45822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45822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45822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45822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45822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45822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45822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45822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45822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45822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45822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45822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45822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45822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45822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45822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45822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45822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45822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45822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45822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45822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45822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45822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45822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45822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45822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45822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45822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45822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45822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45822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45822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45822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45822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45822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45822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45822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45822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45822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45822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45822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45822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45822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45822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45822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45822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45822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45822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45822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45822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45822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45822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45822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45822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45822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45822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45822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45822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45822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45822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45822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45822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45822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45822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45822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45822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45822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45822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45822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45822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45822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45822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45822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45822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45822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45822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45822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45822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45822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45822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45822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45822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45822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45822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45822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45822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45822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45822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45822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45822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45822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45822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45822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45822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45822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45822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45822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45822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45822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45822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45822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45822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45822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45822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45822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45822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45822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45822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45822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45822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45822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45822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45822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45822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45822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45822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45822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45822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45822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45822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45822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45822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45822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45822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45822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45822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45822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45822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45822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45822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45822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45822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45822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45822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45822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45822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45822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45822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45822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45822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45822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45822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45822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45822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45822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45822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45822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45822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45822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45822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45822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45822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45822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45822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45822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45822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45822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45822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45822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45822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45822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45822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45822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45822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45822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45822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45822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45822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45822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45822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45822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45822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45822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45822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45822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45822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45822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45822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45822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45822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45822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45822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45822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45822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45822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45822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45822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45822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45822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45822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45822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45822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45822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45822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45822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45822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45822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45822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45822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45822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45822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45822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45822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45822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45822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45822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45822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45822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45822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45822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45822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45822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45822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45822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45822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45822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45822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45822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45822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45822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45822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45822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45822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45822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45822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45822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45822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45822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45822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45822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45822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45822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45822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45822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45822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45822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45822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45822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45822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45822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45822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45822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45822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45822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45822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45822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45822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45822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45822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45822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45822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45822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45822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45822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45822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45822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45822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45822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45822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45822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45822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45822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45822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45822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45822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45822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45822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45822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45822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45822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45822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45822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45822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45822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45822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45822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45822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45822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45822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45822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45822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45822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45822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45822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45822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45822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45822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45822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45822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45822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45822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45822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45822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45822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45822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45822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45822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45822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45822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45822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45822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45822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45822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45822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45822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45822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45822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45822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45822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45822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45822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45822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45822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45822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45822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45822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45822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45822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45822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45822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45822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45822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45822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45822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45822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45822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45822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45822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45822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45822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45822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45822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45822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45822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45822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45822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45822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45822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45822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45822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45822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45822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45822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45822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45822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45822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45822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45822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45822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45822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45822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45822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45822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45822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45822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45822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45822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45822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45822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45822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45822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45822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45822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45822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45822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45822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45822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45822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45822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45822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45822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45822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45822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45822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45822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45822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45822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45822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45822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45822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45822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45822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45822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45822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45822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45822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45822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45822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45822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45822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45822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45822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45822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45822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45822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45822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45822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45822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45822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45822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45822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45822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45822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45822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45822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45822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45822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45822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45822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45822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45822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45822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45822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45822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45822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45822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45822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45822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45822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45822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45822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45822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45822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45822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45822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45822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45822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45822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45822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45822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45822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45822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45822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45822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45822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45822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45822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45822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45822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45822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45822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45822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45822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45822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45822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45822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45822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45822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45822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45822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45822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45822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45822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45822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45822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24645-2025</t>
        </is>
      </c>
      <c r="B694" s="1" t="n">
        <v>45798</v>
      </c>
      <c r="C694" s="1" t="n">
        <v>45822</v>
      </c>
      <c r="D694" t="inlineStr">
        <is>
          <t>DALARNAS LÄN</t>
        </is>
      </c>
      <c r="E694" t="inlineStr">
        <is>
          <t>BORLÄNGE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24594-2025</t>
        </is>
      </c>
      <c r="B695" s="1" t="n">
        <v>45798</v>
      </c>
      <c r="C695" s="1" t="n">
        <v>45822</v>
      </c>
      <c r="D695" t="inlineStr">
        <is>
          <t>DALARNAS LÄN</t>
        </is>
      </c>
      <c r="E695" t="inlineStr">
        <is>
          <t>BORLÄNGE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24641-2025</t>
        </is>
      </c>
      <c r="B696" s="1" t="n">
        <v>45798</v>
      </c>
      <c r="C696" s="1" t="n">
        <v>45822</v>
      </c>
      <c r="D696" t="inlineStr">
        <is>
          <t>DALARNAS LÄN</t>
        </is>
      </c>
      <c r="E696" t="inlineStr">
        <is>
          <t>BORLÄNGE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45822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45822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25932-2025</t>
        </is>
      </c>
      <c r="B699" s="1" t="n">
        <v>45804</v>
      </c>
      <c r="C699" s="1" t="n">
        <v>45822</v>
      </c>
      <c r="D699" t="inlineStr">
        <is>
          <t>DALARNAS LÄN</t>
        </is>
      </c>
      <c r="E699" t="inlineStr">
        <is>
          <t>BORLÄNGE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45822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45822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45822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27713-2025</t>
        </is>
      </c>
      <c r="B703" s="1" t="n">
        <v>45813</v>
      </c>
      <c r="C703" s="1" t="n">
        <v>45822</v>
      </c>
      <c r="D703" t="inlineStr">
        <is>
          <t>DALARNAS LÄN</t>
        </is>
      </c>
      <c r="E703" t="inlineStr">
        <is>
          <t>BORLÄNGE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27714-2025</t>
        </is>
      </c>
      <c r="B704" s="1" t="n">
        <v>45813</v>
      </c>
      <c r="C704" s="1" t="n">
        <v>45822</v>
      </c>
      <c r="D704" t="inlineStr">
        <is>
          <t>DALARNAS LÄN</t>
        </is>
      </c>
      <c r="E704" t="inlineStr">
        <is>
          <t>BORLÄNGE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45822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45822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45822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2025-06-15T00:14:38Z</dcterms:created>
  <dcterms:modified xmlns:dcterms="http://purl.org/dc/terms/" xmlns:xsi="http://www.w3.org/2001/XMLSchema-instance" xsi:type="dcterms:W3CDTF">2025-06-15T00:14:39Z</dcterms:modified>
</cp:coreProperties>
</file>