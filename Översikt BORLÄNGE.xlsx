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45731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45731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45731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45731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45731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45731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45731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45731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45731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45731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45731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45731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45731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45731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45731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45731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45731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45731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45731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45731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45731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45731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45731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45731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45731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45731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45731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45731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45731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45731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45731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45731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45731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45731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45731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45731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45731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45731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45731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45731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45731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45731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45731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45731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45731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45731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45731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45731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45731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45731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45731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45731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45731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11710-2025</t>
        </is>
      </c>
      <c r="B55" s="1" t="n">
        <v>45727</v>
      </c>
      <c r="C55" s="1" t="n">
        <v>45731</v>
      </c>
      <c r="D55" t="inlineStr">
        <is>
          <t>DALARNAS LÄN</t>
        </is>
      </c>
      <c r="E55" t="inlineStr">
        <is>
          <t>BORLÄNGE</t>
        </is>
      </c>
      <c r="G55" t="n">
        <v>12.8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Korallblylav</t>
        </is>
      </c>
      <c r="S55">
        <f>HYPERLINK("https://klasma.github.io/Logging_2081/artfynd/A 11710-2025 artfynd.xlsx", "A 11710-2025")</f>
        <v/>
      </c>
      <c r="T55">
        <f>HYPERLINK("https://klasma.github.io/Logging_2081/kartor/A 11710-2025 karta.png", "A 11710-2025")</f>
        <v/>
      </c>
      <c r="V55">
        <f>HYPERLINK("https://klasma.github.io/Logging_2081/klagomål/A 11710-2025 FSC-klagomål.docx", "A 11710-2025")</f>
        <v/>
      </c>
      <c r="W55">
        <f>HYPERLINK("https://klasma.github.io/Logging_2081/klagomålsmail/A 11710-2025 FSC-klagomål mail.docx", "A 11710-2025")</f>
        <v/>
      </c>
      <c r="X55">
        <f>HYPERLINK("https://klasma.github.io/Logging_2081/tillsyn/A 11710-2025 tillsynsbegäran.docx", "A 11710-2025")</f>
        <v/>
      </c>
      <c r="Y55">
        <f>HYPERLINK("https://klasma.github.io/Logging_2081/tillsynsmail/A 11710-2025 tillsynsbegäran mail.docx", "A 11710-2025")</f>
        <v/>
      </c>
    </row>
    <row r="56" ht="15" customHeight="1">
      <c r="A56" t="inlineStr">
        <is>
          <t>A 23553-2020</t>
        </is>
      </c>
      <c r="B56" s="1" t="n">
        <v>43969</v>
      </c>
      <c r="C56" s="1" t="n">
        <v>45731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23553-2020 artfynd.xlsx", "A 23553-2020")</f>
        <v/>
      </c>
      <c r="T56">
        <f>HYPERLINK("https://klasma.github.io/Logging_2081/kartor/A 23553-2020 karta.png", "A 23553-2020")</f>
        <v/>
      </c>
      <c r="V56">
        <f>HYPERLINK("https://klasma.github.io/Logging_2081/klagomål/A 23553-2020 FSC-klagomål.docx", "A 23553-2020")</f>
        <v/>
      </c>
      <c r="W56">
        <f>HYPERLINK("https://klasma.github.io/Logging_2081/klagomålsmail/A 23553-2020 FSC-klagomål mail.docx", "A 23553-2020")</f>
        <v/>
      </c>
      <c r="X56">
        <f>HYPERLINK("https://klasma.github.io/Logging_2081/tillsyn/A 23553-2020 tillsynsbegäran.docx", "A 23553-2020")</f>
        <v/>
      </c>
      <c r="Y56">
        <f>HYPERLINK("https://klasma.github.io/Logging_2081/tillsynsmail/A 23553-2020 tillsynsbegäran mail.docx", "A 23553-2020")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45731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41874-2021</t>
        </is>
      </c>
      <c r="B58" s="1" t="n">
        <v>44426</v>
      </c>
      <c r="C58" s="1" t="n">
        <v>45731</v>
      </c>
      <c r="D58" t="inlineStr">
        <is>
          <t>DALARNAS LÄN</t>
        </is>
      </c>
      <c r="E58" t="inlineStr">
        <is>
          <t>BORLÄNGE</t>
        </is>
      </c>
      <c r="G58" t="n">
        <v>13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HYPERLINK("https://klasma.github.io/Logging_2081/artfynd/A 41874-2021 artfynd.xlsx", "A 41874-2021")</f>
        <v/>
      </c>
      <c r="T58">
        <f>HYPERLINK("https://klasma.github.io/Logging_2081/kartor/A 41874-2021 karta.png", "A 41874-2021")</f>
        <v/>
      </c>
      <c r="V58">
        <f>HYPERLINK("https://klasma.github.io/Logging_2081/klagomål/A 41874-2021 FSC-klagomål.docx", "A 41874-2021")</f>
        <v/>
      </c>
      <c r="W58">
        <f>HYPERLINK("https://klasma.github.io/Logging_2081/klagomålsmail/A 41874-2021 FSC-klagomål mail.docx", "A 41874-2021")</f>
        <v/>
      </c>
      <c r="X58">
        <f>HYPERLINK("https://klasma.github.io/Logging_2081/tillsyn/A 41874-2021 tillsynsbegäran.docx", "A 41874-2021")</f>
        <v/>
      </c>
      <c r="Y58">
        <f>HYPERLINK("https://klasma.github.io/Logging_2081/tillsynsmail/A 41874-2021 tillsynsbegäran mail.docx", "A 41874-2021")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45731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</v>
      </c>
      <c r="C60" s="1" t="n">
        <v>45731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54045-2021</t>
        </is>
      </c>
      <c r="B61" s="1" t="n">
        <v>44470</v>
      </c>
      <c r="C61" s="1" t="n">
        <v>45731</v>
      </c>
      <c r="D61" t="inlineStr">
        <is>
          <t>DALARNAS LÄN</t>
        </is>
      </c>
      <c r="E61" t="inlineStr">
        <is>
          <t>BORLÄNGE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54045-2021 artfynd.xlsx", "A 54045-2021")</f>
        <v/>
      </c>
      <c r="T61">
        <f>HYPERLINK("https://klasma.github.io/Logging_2081/kartor/A 54045-2021 karta.png", "A 54045-2021")</f>
        <v/>
      </c>
      <c r="V61">
        <f>HYPERLINK("https://klasma.github.io/Logging_2081/klagomål/A 54045-2021 FSC-klagomål.docx", "A 54045-2021")</f>
        <v/>
      </c>
      <c r="W61">
        <f>HYPERLINK("https://klasma.github.io/Logging_2081/klagomålsmail/A 54045-2021 FSC-klagomål mail.docx", "A 54045-2021")</f>
        <v/>
      </c>
      <c r="X61">
        <f>HYPERLINK("https://klasma.github.io/Logging_2081/tillsyn/A 54045-2021 tillsynsbegäran.docx", "A 54045-2021")</f>
        <v/>
      </c>
      <c r="Y61">
        <f>HYPERLINK("https://klasma.github.io/Logging_2081/tillsynsmail/A 54045-2021 tillsynsbegäran mail.docx", "A 54045-2021")</f>
        <v/>
      </c>
    </row>
    <row r="62" ht="15" customHeight="1">
      <c r="A62" t="inlineStr">
        <is>
          <t>A 54699-2021</t>
        </is>
      </c>
      <c r="B62" s="1" t="n">
        <v>44473</v>
      </c>
      <c r="C62" s="1" t="n">
        <v>45731</v>
      </c>
      <c r="D62" t="inlineStr">
        <is>
          <t>DALARNAS LÄN</t>
        </is>
      </c>
      <c r="E62" t="inlineStr">
        <is>
          <t>BORLÄNGE</t>
        </is>
      </c>
      <c r="F62" t="inlineStr">
        <is>
          <t>Naturvårdsverket</t>
        </is>
      </c>
      <c r="G62" t="n">
        <v>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54699-2021 artfynd.xlsx", "A 54699-2021")</f>
        <v/>
      </c>
      <c r="T62">
        <f>HYPERLINK("https://klasma.github.io/Logging_2081/kartor/A 54699-2021 karta.png", "A 54699-2021")</f>
        <v/>
      </c>
      <c r="U62">
        <f>HYPERLINK("https://klasma.github.io/Logging_2081/knärot/A 54699-2021 karta knärot.png", "A 54699-2021")</f>
        <v/>
      </c>
      <c r="V62">
        <f>HYPERLINK("https://klasma.github.io/Logging_2081/klagomål/A 54699-2021 FSC-klagomål.docx", "A 54699-2021")</f>
        <v/>
      </c>
      <c r="W62">
        <f>HYPERLINK("https://klasma.github.io/Logging_2081/klagomålsmail/A 54699-2021 FSC-klagomål mail.docx", "A 54699-2021")</f>
        <v/>
      </c>
      <c r="X62">
        <f>HYPERLINK("https://klasma.github.io/Logging_2081/tillsyn/A 54699-2021 tillsynsbegäran.docx", "A 54699-2021")</f>
        <v/>
      </c>
      <c r="Y62">
        <f>HYPERLINK("https://klasma.github.io/Logging_2081/tillsynsmail/A 54699-2021 tillsynsbegäran mail.docx", "A 54699-2021")</f>
        <v/>
      </c>
    </row>
    <row r="63" ht="15" customHeight="1">
      <c r="A63" t="inlineStr">
        <is>
          <t>A 13779-2022</t>
        </is>
      </c>
      <c r="B63" s="1" t="n">
        <v>44649</v>
      </c>
      <c r="C63" s="1" t="n">
        <v>45731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HYPERLINK("https://klasma.github.io/Logging_2081/artfynd/A 13779-2022 artfynd.xlsx", "A 13779-2022")</f>
        <v/>
      </c>
      <c r="T63">
        <f>HYPERLINK("https://klasma.github.io/Logging_2081/kartor/A 13779-2022 karta.png", "A 13779-2022")</f>
        <v/>
      </c>
      <c r="V63">
        <f>HYPERLINK("https://klasma.github.io/Logging_2081/klagomål/A 13779-2022 FSC-klagomål.docx", "A 13779-2022")</f>
        <v/>
      </c>
      <c r="W63">
        <f>HYPERLINK("https://klasma.github.io/Logging_2081/klagomålsmail/A 13779-2022 FSC-klagomål mail.docx", "A 13779-2022")</f>
        <v/>
      </c>
      <c r="X63">
        <f>HYPERLINK("https://klasma.github.io/Logging_2081/tillsyn/A 13779-2022 tillsynsbegäran.docx", "A 13779-2022")</f>
        <v/>
      </c>
      <c r="Y63">
        <f>HYPERLINK("https://klasma.github.io/Logging_2081/tillsynsmail/A 13779-2022 tillsynsbegäran mail.docx", "A 13779-2022")</f>
        <v/>
      </c>
      <c r="Z63">
        <f>HYPERLINK("https://klasma.github.io/Logging_2081/fåglar/A 13779-2022 prioriterade fågelarter.docx", "A 13779-2022")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45731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33694-2022</t>
        </is>
      </c>
      <c r="B65" s="1" t="n">
        <v>44789</v>
      </c>
      <c r="C65" s="1" t="n">
        <v>45731</v>
      </c>
      <c r="D65" t="inlineStr">
        <is>
          <t>DALARNAS LÄN</t>
        </is>
      </c>
      <c r="E65" t="inlineStr">
        <is>
          <t>BORLÄNGE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33694-2022 artfynd.xlsx", "A 33694-2022")</f>
        <v/>
      </c>
      <c r="T65">
        <f>HYPERLINK("https://klasma.github.io/Logging_2081/kartor/A 33694-2022 karta.png", "A 33694-2022")</f>
        <v/>
      </c>
      <c r="U65">
        <f>HYPERLINK("https://klasma.github.io/Logging_2081/knärot/A 33694-2022 karta knärot.png", "A 33694-2022")</f>
        <v/>
      </c>
      <c r="V65">
        <f>HYPERLINK("https://klasma.github.io/Logging_2081/klagomål/A 33694-2022 FSC-klagomål.docx", "A 33694-2022")</f>
        <v/>
      </c>
      <c r="W65">
        <f>HYPERLINK("https://klasma.github.io/Logging_2081/klagomålsmail/A 33694-2022 FSC-klagomål mail.docx", "A 33694-2022")</f>
        <v/>
      </c>
      <c r="X65">
        <f>HYPERLINK("https://klasma.github.io/Logging_2081/tillsyn/A 33694-2022 tillsynsbegäran.docx", "A 33694-2022")</f>
        <v/>
      </c>
      <c r="Y65">
        <f>HYPERLINK("https://klasma.github.io/Logging_2081/tillsynsmail/A 33694-2022 tillsynsbegäran mail.docx", "A 33694-2022")</f>
        <v/>
      </c>
    </row>
    <row r="66" ht="15" customHeight="1">
      <c r="A66" t="inlineStr">
        <is>
          <t>A 35370-2022</t>
        </is>
      </c>
      <c r="B66" s="1" t="n">
        <v>44798</v>
      </c>
      <c r="C66" s="1" t="n">
        <v>45731</v>
      </c>
      <c r="D66" t="inlineStr">
        <is>
          <t>DALARNAS LÄN</t>
        </is>
      </c>
      <c r="E66" t="inlineStr">
        <is>
          <t>BORLÄNGE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35370-2022 artfynd.xlsx", "A 35370-2022")</f>
        <v/>
      </c>
      <c r="T66">
        <f>HYPERLINK("https://klasma.github.io/Logging_2081/kartor/A 35370-2022 karta.png", "A 35370-2022")</f>
        <v/>
      </c>
      <c r="V66">
        <f>HYPERLINK("https://klasma.github.io/Logging_2081/klagomål/A 35370-2022 FSC-klagomål.docx", "A 35370-2022")</f>
        <v/>
      </c>
      <c r="W66">
        <f>HYPERLINK("https://klasma.github.io/Logging_2081/klagomålsmail/A 35370-2022 FSC-klagomål mail.docx", "A 35370-2022")</f>
        <v/>
      </c>
      <c r="X66">
        <f>HYPERLINK("https://klasma.github.io/Logging_2081/tillsyn/A 35370-2022 tillsynsbegäran.docx", "A 35370-2022")</f>
        <v/>
      </c>
      <c r="Y66">
        <f>HYPERLINK("https://klasma.github.io/Logging_2081/tillsynsmail/A 35370-2022 tillsynsbegäran mail.docx", "A 35370-2022")</f>
        <v/>
      </c>
    </row>
    <row r="67" ht="15" customHeight="1">
      <c r="A67" t="inlineStr">
        <is>
          <t>A 35389-2022</t>
        </is>
      </c>
      <c r="B67" s="1" t="n">
        <v>44798</v>
      </c>
      <c r="C67" s="1" t="n">
        <v>45731</v>
      </c>
      <c r="D67" t="inlineStr">
        <is>
          <t>DALARNAS LÄN</t>
        </is>
      </c>
      <c r="E67" t="inlineStr">
        <is>
          <t>BORLÄNGE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35389-2022 artfynd.xlsx", "A 35389-2022")</f>
        <v/>
      </c>
      <c r="T67">
        <f>HYPERLINK("https://klasma.github.io/Logging_2081/kartor/A 35389-2022 karta.png", "A 35389-2022")</f>
        <v/>
      </c>
      <c r="V67">
        <f>HYPERLINK("https://klasma.github.io/Logging_2081/klagomål/A 35389-2022 FSC-klagomål.docx", "A 35389-2022")</f>
        <v/>
      </c>
      <c r="W67">
        <f>HYPERLINK("https://klasma.github.io/Logging_2081/klagomålsmail/A 35389-2022 FSC-klagomål mail.docx", "A 35389-2022")</f>
        <v/>
      </c>
      <c r="X67">
        <f>HYPERLINK("https://klasma.github.io/Logging_2081/tillsyn/A 35389-2022 tillsynsbegäran.docx", "A 35389-2022")</f>
        <v/>
      </c>
      <c r="Y67">
        <f>HYPERLINK("https://klasma.github.io/Logging_2081/tillsynsmail/A 35389-2022 tillsynsbegäran mail.docx", "A 35389-2022")</f>
        <v/>
      </c>
    </row>
    <row r="68" ht="15" customHeight="1">
      <c r="A68" t="inlineStr">
        <is>
          <t>A 43639-2022</t>
        </is>
      </c>
      <c r="B68" s="1" t="n">
        <v>44837</v>
      </c>
      <c r="C68" s="1" t="n">
        <v>45731</v>
      </c>
      <c r="D68" t="inlineStr">
        <is>
          <t>DALARNAS LÄN</t>
        </is>
      </c>
      <c r="E68" t="inlineStr">
        <is>
          <t>BORLÄNGE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HYPERLINK("https://klasma.github.io/Logging_2081/artfynd/A 43639-2022 artfynd.xlsx", "A 43639-2022")</f>
        <v/>
      </c>
      <c r="T68">
        <f>HYPERLINK("https://klasma.github.io/Logging_2081/kartor/A 43639-2022 karta.png", "A 43639-2022")</f>
        <v/>
      </c>
      <c r="V68">
        <f>HYPERLINK("https://klasma.github.io/Logging_2081/klagomål/A 43639-2022 FSC-klagomål.docx", "A 43639-2022")</f>
        <v/>
      </c>
      <c r="W68">
        <f>HYPERLINK("https://klasma.github.io/Logging_2081/klagomålsmail/A 43639-2022 FSC-klagomål mail.docx", "A 43639-2022")</f>
        <v/>
      </c>
      <c r="X68">
        <f>HYPERLINK("https://klasma.github.io/Logging_2081/tillsyn/A 43639-2022 tillsynsbegäran.docx", "A 43639-2022")</f>
        <v/>
      </c>
      <c r="Y68">
        <f>HYPERLINK("https://klasma.github.io/Logging_2081/tillsynsmail/A 43639-2022 tillsynsbegäran mail.docx", "A 43639-2022")</f>
        <v/>
      </c>
    </row>
    <row r="69" ht="15" customHeight="1">
      <c r="A69" t="inlineStr">
        <is>
          <t>A 52278-2022</t>
        </is>
      </c>
      <c r="B69" s="1" t="n">
        <v>44869</v>
      </c>
      <c r="C69" s="1" t="n">
        <v>45731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HYPERLINK("https://klasma.github.io/Logging_2081/artfynd/A 52278-2022 artfynd.xlsx", "A 52278-2022")</f>
        <v/>
      </c>
      <c r="T69">
        <f>HYPERLINK("https://klasma.github.io/Logging_2081/kartor/A 52278-2022 karta.png", "A 52278-2022")</f>
        <v/>
      </c>
      <c r="V69">
        <f>HYPERLINK("https://klasma.github.io/Logging_2081/klagomål/A 52278-2022 FSC-klagomål.docx", "A 52278-2022")</f>
        <v/>
      </c>
      <c r="W69">
        <f>HYPERLINK("https://klasma.github.io/Logging_2081/klagomålsmail/A 52278-2022 FSC-klagomål mail.docx", "A 52278-2022")</f>
        <v/>
      </c>
      <c r="X69">
        <f>HYPERLINK("https://klasma.github.io/Logging_2081/tillsyn/A 52278-2022 tillsynsbegäran.docx", "A 52278-2022")</f>
        <v/>
      </c>
      <c r="Y69">
        <f>HYPERLINK("https://klasma.github.io/Logging_2081/tillsynsmail/A 52278-2022 tillsynsbegäran mail.docx", "A 52278-2022")</f>
        <v/>
      </c>
    </row>
    <row r="70" ht="15" customHeight="1">
      <c r="A70" t="inlineStr">
        <is>
          <t>A 57693-2022</t>
        </is>
      </c>
      <c r="B70" s="1" t="n">
        <v>44897</v>
      </c>
      <c r="C70" s="1" t="n">
        <v>45731</v>
      </c>
      <c r="D70" t="inlineStr">
        <is>
          <t>DALARNAS LÄN</t>
        </is>
      </c>
      <c r="E70" t="inlineStr">
        <is>
          <t>BORLÄNGE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Nästlav</t>
        </is>
      </c>
      <c r="S70">
        <f>HYPERLINK("https://klasma.github.io/Logging_2081/artfynd/A 57693-2022 artfynd.xlsx", "A 57693-2022")</f>
        <v/>
      </c>
      <c r="T70">
        <f>HYPERLINK("https://klasma.github.io/Logging_2081/kartor/A 57693-2022 karta.png", "A 57693-2022")</f>
        <v/>
      </c>
      <c r="V70">
        <f>HYPERLINK("https://klasma.github.io/Logging_2081/klagomål/A 57693-2022 FSC-klagomål.docx", "A 57693-2022")</f>
        <v/>
      </c>
      <c r="W70">
        <f>HYPERLINK("https://klasma.github.io/Logging_2081/klagomålsmail/A 57693-2022 FSC-klagomål mail.docx", "A 57693-2022")</f>
        <v/>
      </c>
      <c r="X70">
        <f>HYPERLINK("https://klasma.github.io/Logging_2081/tillsyn/A 57693-2022 tillsynsbegäran.docx", "A 57693-2022")</f>
        <v/>
      </c>
      <c r="Y70">
        <f>HYPERLINK("https://klasma.github.io/Logging_2081/tillsynsmail/A 57693-2022 tillsynsbegäran mail.docx", "A 57693-2022")</f>
        <v/>
      </c>
    </row>
    <row r="71" ht="15" customHeight="1">
      <c r="A71" t="inlineStr">
        <is>
          <t>A 865-2023</t>
        </is>
      </c>
      <c r="B71" s="1" t="n">
        <v>44931</v>
      </c>
      <c r="C71" s="1" t="n">
        <v>45731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865-2023 artfynd.xlsx", "A 865-2023")</f>
        <v/>
      </c>
      <c r="T71">
        <f>HYPERLINK("https://klasma.github.io/Logging_2081/kartor/A 865-2023 karta.png", "A 865-2023")</f>
        <v/>
      </c>
      <c r="U71">
        <f>HYPERLINK("https://klasma.github.io/Logging_2081/knärot/A 865-2023 karta knärot.png", "A 865-2023")</f>
        <v/>
      </c>
      <c r="V71">
        <f>HYPERLINK("https://klasma.github.io/Logging_2081/klagomål/A 865-2023 FSC-klagomål.docx", "A 865-2023")</f>
        <v/>
      </c>
      <c r="W71">
        <f>HYPERLINK("https://klasma.github.io/Logging_2081/klagomålsmail/A 865-2023 FSC-klagomål mail.docx", "A 865-2023")</f>
        <v/>
      </c>
      <c r="X71">
        <f>HYPERLINK("https://klasma.github.io/Logging_2081/tillsyn/A 865-2023 tillsynsbegäran.docx", "A 865-2023")</f>
        <v/>
      </c>
      <c r="Y71">
        <f>HYPERLINK("https://klasma.github.io/Logging_2081/tillsynsmail/A 865-2023 tillsynsbegäran mail.docx", "A 865-2023")</f>
        <v/>
      </c>
    </row>
    <row r="72" ht="15" customHeight="1">
      <c r="A72" t="inlineStr">
        <is>
          <t>A 11846-2023</t>
        </is>
      </c>
      <c r="B72" s="1" t="n">
        <v>44995</v>
      </c>
      <c r="C72" s="1" t="n">
        <v>45731</v>
      </c>
      <c r="D72" t="inlineStr">
        <is>
          <t>DALARNAS LÄN</t>
        </is>
      </c>
      <c r="E72" t="inlineStr">
        <is>
          <t>BORLÄNGE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HYPERLINK("https://klasma.github.io/Logging_2081/artfynd/A 11846-2023 artfynd.xlsx", "A 11846-2023")</f>
        <v/>
      </c>
      <c r="T72">
        <f>HYPERLINK("https://klasma.github.io/Logging_2081/kartor/A 11846-2023 karta.png", "A 11846-2023")</f>
        <v/>
      </c>
      <c r="V72">
        <f>HYPERLINK("https://klasma.github.io/Logging_2081/klagomål/A 11846-2023 FSC-klagomål.docx", "A 11846-2023")</f>
        <v/>
      </c>
      <c r="W72">
        <f>HYPERLINK("https://klasma.github.io/Logging_2081/klagomålsmail/A 11846-2023 FSC-klagomål mail.docx", "A 11846-2023")</f>
        <v/>
      </c>
      <c r="X72">
        <f>HYPERLINK("https://klasma.github.io/Logging_2081/tillsyn/A 11846-2023 tillsynsbegäran.docx", "A 11846-2023")</f>
        <v/>
      </c>
      <c r="Y72">
        <f>HYPERLINK("https://klasma.github.io/Logging_2081/tillsynsmail/A 11846-2023 tillsynsbegäran mail.docx", "A 11846-2023")</f>
        <v/>
      </c>
    </row>
    <row r="73" ht="15" customHeight="1">
      <c r="A73" t="inlineStr">
        <is>
          <t>A 15196-2023</t>
        </is>
      </c>
      <c r="B73" s="1" t="n">
        <v>45016</v>
      </c>
      <c r="C73" s="1" t="n">
        <v>45731</v>
      </c>
      <c r="D73" t="inlineStr">
        <is>
          <t>DALARNAS LÄN</t>
        </is>
      </c>
      <c r="E73" t="inlineStr">
        <is>
          <t>BORLÄNGE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HYPERLINK("https://klasma.github.io/Logging_2081/artfynd/A 15196-2023 artfynd.xlsx", "A 15196-2023")</f>
        <v/>
      </c>
      <c r="T73">
        <f>HYPERLINK("https://klasma.github.io/Logging_2081/kartor/A 15196-2023 karta.png", "A 15196-2023")</f>
        <v/>
      </c>
      <c r="V73">
        <f>HYPERLINK("https://klasma.github.io/Logging_2081/klagomål/A 15196-2023 FSC-klagomål.docx", "A 15196-2023")</f>
        <v/>
      </c>
      <c r="W73">
        <f>HYPERLINK("https://klasma.github.io/Logging_2081/klagomålsmail/A 15196-2023 FSC-klagomål mail.docx", "A 15196-2023")</f>
        <v/>
      </c>
      <c r="X73">
        <f>HYPERLINK("https://klasma.github.io/Logging_2081/tillsyn/A 15196-2023 tillsynsbegäran.docx", "A 15196-2023")</f>
        <v/>
      </c>
      <c r="Y73">
        <f>HYPERLINK("https://klasma.github.io/Logging_2081/tillsynsmail/A 15196-2023 tillsynsbegäran mail.docx", "A 15196-2023")</f>
        <v/>
      </c>
    </row>
    <row r="74" ht="15" customHeight="1">
      <c r="A74" t="inlineStr">
        <is>
          <t>A 17576-2023</t>
        </is>
      </c>
      <c r="B74" s="1" t="n">
        <v>45036</v>
      </c>
      <c r="C74" s="1" t="n">
        <v>45731</v>
      </c>
      <c r="D74" t="inlineStr">
        <is>
          <t>DALARNAS LÄN</t>
        </is>
      </c>
      <c r="E74" t="inlineStr">
        <is>
          <t>BORLÄNGE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17576-2023 artfynd.xlsx", "A 17576-2023")</f>
        <v/>
      </c>
      <c r="T74">
        <f>HYPERLINK("https://klasma.github.io/Logging_2081/kartor/A 17576-2023 karta.png", "A 17576-2023")</f>
        <v/>
      </c>
      <c r="V74">
        <f>HYPERLINK("https://klasma.github.io/Logging_2081/klagomål/A 17576-2023 FSC-klagomål.docx", "A 17576-2023")</f>
        <v/>
      </c>
      <c r="W74">
        <f>HYPERLINK("https://klasma.github.io/Logging_2081/klagomålsmail/A 17576-2023 FSC-klagomål mail.docx", "A 17576-2023")</f>
        <v/>
      </c>
      <c r="X74">
        <f>HYPERLINK("https://klasma.github.io/Logging_2081/tillsyn/A 17576-2023 tillsynsbegäran.docx", "A 17576-2023")</f>
        <v/>
      </c>
      <c r="Y74">
        <f>HYPERLINK("https://klasma.github.io/Logging_2081/tillsynsmail/A 17576-2023 tillsynsbegäran mail.docx", "A 17576-2023")</f>
        <v/>
      </c>
      <c r="Z74">
        <f>HYPERLINK("https://klasma.github.io/Logging_2081/fåglar/A 17576-2023 prioriterade fågelarter.docx", "A 17576-2023")</f>
        <v/>
      </c>
    </row>
    <row r="75" ht="15" customHeight="1">
      <c r="A75" t="inlineStr">
        <is>
          <t>A 17571-2023</t>
        </is>
      </c>
      <c r="B75" s="1" t="n">
        <v>45036</v>
      </c>
      <c r="C75" s="1" t="n">
        <v>45731</v>
      </c>
      <c r="D75" t="inlineStr">
        <is>
          <t>DALARNAS LÄN</t>
        </is>
      </c>
      <c r="E75" t="inlineStr">
        <is>
          <t>BORLÄNGE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HYPERLINK("https://klasma.github.io/Logging_2081/artfynd/A 17571-2023 artfynd.xlsx", "A 17571-2023")</f>
        <v/>
      </c>
      <c r="T75">
        <f>HYPERLINK("https://klasma.github.io/Logging_2081/kartor/A 17571-2023 karta.png", "A 17571-2023")</f>
        <v/>
      </c>
      <c r="V75">
        <f>HYPERLINK("https://klasma.github.io/Logging_2081/klagomål/A 17571-2023 FSC-klagomål.docx", "A 17571-2023")</f>
        <v/>
      </c>
      <c r="W75">
        <f>HYPERLINK("https://klasma.github.io/Logging_2081/klagomålsmail/A 17571-2023 FSC-klagomål mail.docx", "A 17571-2023")</f>
        <v/>
      </c>
      <c r="X75">
        <f>HYPERLINK("https://klasma.github.io/Logging_2081/tillsyn/A 17571-2023 tillsynsbegäran.docx", "A 17571-2023")</f>
        <v/>
      </c>
      <c r="Y75">
        <f>HYPERLINK("https://klasma.github.io/Logging_2081/tillsynsmail/A 17571-2023 tillsynsbegäran mail.docx", "A 17571-2023")</f>
        <v/>
      </c>
      <c r="Z75">
        <f>HYPERLINK("https://klasma.github.io/Logging_2081/fåglar/A 17571-2023 prioriterade fågelarter.docx", "A 17571-2023")</f>
        <v/>
      </c>
    </row>
    <row r="76" ht="15" customHeight="1">
      <c r="A76" t="inlineStr">
        <is>
          <t>A 17913-2023</t>
        </is>
      </c>
      <c r="B76" s="1" t="n">
        <v>45040</v>
      </c>
      <c r="C76" s="1" t="n">
        <v>45731</v>
      </c>
      <c r="D76" t="inlineStr">
        <is>
          <t>DALARNAS LÄN</t>
        </is>
      </c>
      <c r="E76" t="inlineStr">
        <is>
          <t>BORLÄNGE</t>
        </is>
      </c>
      <c r="G76" t="n">
        <v>8.800000000000001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17913-2023 artfynd.xlsx", "A 17913-2023")</f>
        <v/>
      </c>
      <c r="T76">
        <f>HYPERLINK("https://klasma.github.io/Logging_2081/kartor/A 17913-2023 karta.png", "A 17913-2023")</f>
        <v/>
      </c>
      <c r="V76">
        <f>HYPERLINK("https://klasma.github.io/Logging_2081/klagomål/A 17913-2023 FSC-klagomål.docx", "A 17913-2023")</f>
        <v/>
      </c>
      <c r="W76">
        <f>HYPERLINK("https://klasma.github.io/Logging_2081/klagomålsmail/A 17913-2023 FSC-klagomål mail.docx", "A 17913-2023")</f>
        <v/>
      </c>
      <c r="X76">
        <f>HYPERLINK("https://klasma.github.io/Logging_2081/tillsyn/A 17913-2023 tillsynsbegäran.docx", "A 17913-2023")</f>
        <v/>
      </c>
      <c r="Y76">
        <f>HYPERLINK("https://klasma.github.io/Logging_2081/tillsynsmail/A 17913-2023 tillsynsbegäran mail.docx", "A 17913-2023")</f>
        <v/>
      </c>
    </row>
    <row r="77" ht="15" customHeight="1">
      <c r="A77" t="inlineStr">
        <is>
          <t>A 20925-2023</t>
        </is>
      </c>
      <c r="B77" s="1" t="n">
        <v>45061</v>
      </c>
      <c r="C77" s="1" t="n">
        <v>45731</v>
      </c>
      <c r="D77" t="inlineStr">
        <is>
          <t>DALARNAS LÄN</t>
        </is>
      </c>
      <c r="E77" t="inlineStr">
        <is>
          <t>BORLÄNGE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20925-2023 artfynd.xlsx", "A 20925-2023")</f>
        <v/>
      </c>
      <c r="T77">
        <f>HYPERLINK("https://klasma.github.io/Logging_2081/kartor/A 20925-2023 karta.png", "A 20925-2023")</f>
        <v/>
      </c>
      <c r="U77">
        <f>HYPERLINK("https://klasma.github.io/Logging_2081/knärot/A 20925-2023 karta knärot.png", "A 20925-2023")</f>
        <v/>
      </c>
      <c r="V77">
        <f>HYPERLINK("https://klasma.github.io/Logging_2081/klagomål/A 20925-2023 FSC-klagomål.docx", "A 20925-2023")</f>
        <v/>
      </c>
      <c r="W77">
        <f>HYPERLINK("https://klasma.github.io/Logging_2081/klagomålsmail/A 20925-2023 FSC-klagomål mail.docx", "A 20925-2023")</f>
        <v/>
      </c>
      <c r="X77">
        <f>HYPERLINK("https://klasma.github.io/Logging_2081/tillsyn/A 20925-2023 tillsynsbegäran.docx", "A 20925-2023")</f>
        <v/>
      </c>
      <c r="Y77">
        <f>HYPERLINK("https://klasma.github.io/Logging_2081/tillsynsmail/A 20925-2023 tillsynsbegäran mail.docx", "A 20925-2023")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45731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22900-2023</t>
        </is>
      </c>
      <c r="B79" s="1" t="n">
        <v>45072</v>
      </c>
      <c r="C79" s="1" t="n">
        <v>45731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4.8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 gräsfjäril</t>
        </is>
      </c>
      <c r="S79">
        <f>HYPERLINK("https://klasma.github.io/Logging_2081/artfynd/A 22900-2023 artfynd.xlsx", "A 22900-2023")</f>
        <v/>
      </c>
      <c r="T79">
        <f>HYPERLINK("https://klasma.github.io/Logging_2081/kartor/A 22900-2023 karta.png", "A 22900-2023")</f>
        <v/>
      </c>
      <c r="V79">
        <f>HYPERLINK("https://klasma.github.io/Logging_2081/klagomål/A 22900-2023 FSC-klagomål.docx", "A 22900-2023")</f>
        <v/>
      </c>
      <c r="W79">
        <f>HYPERLINK("https://klasma.github.io/Logging_2081/klagomålsmail/A 22900-2023 FSC-klagomål mail.docx", "A 22900-2023")</f>
        <v/>
      </c>
      <c r="X79">
        <f>HYPERLINK("https://klasma.github.io/Logging_2081/tillsyn/A 22900-2023 tillsynsbegäran.docx", "A 22900-2023")</f>
        <v/>
      </c>
      <c r="Y79">
        <f>HYPERLINK("https://klasma.github.io/Logging_2081/tillsynsmail/A 22900-2023 tillsynsbegäran mail.docx", "A 22900-2023")</f>
        <v/>
      </c>
    </row>
    <row r="80" ht="15" customHeight="1">
      <c r="A80" t="inlineStr">
        <is>
          <t>A 25763-2023</t>
        </is>
      </c>
      <c r="B80" s="1" t="n">
        <v>45090</v>
      </c>
      <c r="C80" s="1" t="n">
        <v>45731</v>
      </c>
      <c r="D80" t="inlineStr">
        <is>
          <t>DALARNAS LÄN</t>
        </is>
      </c>
      <c r="E80" t="inlineStr">
        <is>
          <t>BORLÄNGE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25763-2023 artfynd.xlsx", "A 25763-2023")</f>
        <v/>
      </c>
      <c r="T80">
        <f>HYPERLINK("https://klasma.github.io/Logging_2081/kartor/A 25763-2023 karta.png", "A 25763-2023")</f>
        <v/>
      </c>
      <c r="V80">
        <f>HYPERLINK("https://klasma.github.io/Logging_2081/klagomål/A 25763-2023 FSC-klagomål.docx", "A 25763-2023")</f>
        <v/>
      </c>
      <c r="W80">
        <f>HYPERLINK("https://klasma.github.io/Logging_2081/klagomålsmail/A 25763-2023 FSC-klagomål mail.docx", "A 25763-2023")</f>
        <v/>
      </c>
      <c r="X80">
        <f>HYPERLINK("https://klasma.github.io/Logging_2081/tillsyn/A 25763-2023 tillsynsbegäran.docx", "A 25763-2023")</f>
        <v/>
      </c>
      <c r="Y80">
        <f>HYPERLINK("https://klasma.github.io/Logging_2081/tillsynsmail/A 25763-2023 tillsynsbegäran mail.docx", "A 25763-2023")</f>
        <v/>
      </c>
    </row>
    <row r="81" ht="15" customHeight="1">
      <c r="A81" t="inlineStr">
        <is>
          <t>A 42040-2023</t>
        </is>
      </c>
      <c r="B81" s="1" t="n">
        <v>45177</v>
      </c>
      <c r="C81" s="1" t="n">
        <v>45731</v>
      </c>
      <c r="D81" t="inlineStr">
        <is>
          <t>DALARNAS LÄN</t>
        </is>
      </c>
      <c r="E81" t="inlineStr">
        <is>
          <t>BORLÄNGE</t>
        </is>
      </c>
      <c r="G81" t="n">
        <v>4.7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HYPERLINK("https://klasma.github.io/Logging_2081/artfynd/A 42040-2023 artfynd.xlsx", "A 42040-2023")</f>
        <v/>
      </c>
      <c r="T81">
        <f>HYPERLINK("https://klasma.github.io/Logging_2081/kartor/A 42040-2023 karta.png", "A 42040-2023")</f>
        <v/>
      </c>
      <c r="U81">
        <f>HYPERLINK("https://klasma.github.io/Logging_2081/knärot/A 42040-2023 karta knärot.png", "A 42040-2023")</f>
        <v/>
      </c>
      <c r="V81">
        <f>HYPERLINK("https://klasma.github.io/Logging_2081/klagomål/A 42040-2023 FSC-klagomål.docx", "A 42040-2023")</f>
        <v/>
      </c>
      <c r="W81">
        <f>HYPERLINK("https://klasma.github.io/Logging_2081/klagomålsmail/A 42040-2023 FSC-klagomål mail.docx", "A 42040-2023")</f>
        <v/>
      </c>
      <c r="X81">
        <f>HYPERLINK("https://klasma.github.io/Logging_2081/tillsyn/A 42040-2023 tillsynsbegäran.docx", "A 42040-2023")</f>
        <v/>
      </c>
      <c r="Y81">
        <f>HYPERLINK("https://klasma.github.io/Logging_2081/tillsynsmail/A 42040-2023 tillsynsbegäran mail.docx", "A 42040-2023")</f>
        <v/>
      </c>
    </row>
    <row r="82" ht="15" customHeight="1">
      <c r="A82" t="inlineStr">
        <is>
          <t>A 47211-2023</t>
        </is>
      </c>
      <c r="B82" s="1" t="n">
        <v>45202</v>
      </c>
      <c r="C82" s="1" t="n">
        <v>45731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7.4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47211-2023 artfynd.xlsx", "A 47211-2023")</f>
        <v/>
      </c>
      <c r="T82">
        <f>HYPERLINK("https://klasma.github.io/Logging_2081/kartor/A 47211-2023 karta.png", "A 47211-2023")</f>
        <v/>
      </c>
      <c r="U82">
        <f>HYPERLINK("https://klasma.github.io/Logging_2081/knärot/A 47211-2023 karta knärot.png", "A 47211-2023")</f>
        <v/>
      </c>
      <c r="V82">
        <f>HYPERLINK("https://klasma.github.io/Logging_2081/klagomål/A 47211-2023 FSC-klagomål.docx", "A 47211-2023")</f>
        <v/>
      </c>
      <c r="W82">
        <f>HYPERLINK("https://klasma.github.io/Logging_2081/klagomålsmail/A 47211-2023 FSC-klagomål mail.docx", "A 47211-2023")</f>
        <v/>
      </c>
      <c r="X82">
        <f>HYPERLINK("https://klasma.github.io/Logging_2081/tillsyn/A 47211-2023 tillsynsbegäran.docx", "A 47211-2023")</f>
        <v/>
      </c>
      <c r="Y82">
        <f>HYPERLINK("https://klasma.github.io/Logging_2081/tillsynsmail/A 47211-2023 tillsynsbegäran mail.docx", "A 47211-2023")</f>
        <v/>
      </c>
    </row>
    <row r="83" ht="15" customHeight="1">
      <c r="A83" t="inlineStr">
        <is>
          <t>A 58609-2023</t>
        </is>
      </c>
      <c r="B83" s="1" t="n">
        <v>45251</v>
      </c>
      <c r="C83" s="1" t="n">
        <v>45731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HYPERLINK("https://klasma.github.io/Logging_2081/artfynd/A 58609-2023 artfynd.xlsx", "A 58609-2023")</f>
        <v/>
      </c>
      <c r="T83">
        <f>HYPERLINK("https://klasma.github.io/Logging_2081/kartor/A 58609-2023 karta.png", "A 58609-2023")</f>
        <v/>
      </c>
      <c r="V83">
        <f>HYPERLINK("https://klasma.github.io/Logging_2081/klagomål/A 58609-2023 FSC-klagomål.docx", "A 58609-2023")</f>
        <v/>
      </c>
      <c r="W83">
        <f>HYPERLINK("https://klasma.github.io/Logging_2081/klagomålsmail/A 58609-2023 FSC-klagomål mail.docx", "A 58609-2023")</f>
        <v/>
      </c>
      <c r="X83">
        <f>HYPERLINK("https://klasma.github.io/Logging_2081/tillsyn/A 58609-2023 tillsynsbegäran.docx", "A 58609-2023")</f>
        <v/>
      </c>
      <c r="Y83">
        <f>HYPERLINK("https://klasma.github.io/Logging_2081/tillsynsmail/A 58609-2023 tillsynsbegäran mail.docx", "A 58609-2023")</f>
        <v/>
      </c>
    </row>
    <row r="84" ht="15" customHeight="1">
      <c r="A84" t="inlineStr">
        <is>
          <t>A 60150-2023</t>
        </is>
      </c>
      <c r="B84" s="1" t="n">
        <v>45258</v>
      </c>
      <c r="C84" s="1" t="n">
        <v>45731</v>
      </c>
      <c r="D84" t="inlineStr">
        <is>
          <t>DALARNAS LÄN</t>
        </is>
      </c>
      <c r="E84" t="inlineStr">
        <is>
          <t>BORLÄNGE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Trådticka</t>
        </is>
      </c>
      <c r="S84">
        <f>HYPERLINK("https://klasma.github.io/Logging_2081/artfynd/A 60150-2023 artfynd.xlsx", "A 60150-2023")</f>
        <v/>
      </c>
      <c r="T84">
        <f>HYPERLINK("https://klasma.github.io/Logging_2081/kartor/A 60150-2023 karta.png", "A 60150-2023")</f>
        <v/>
      </c>
      <c r="V84">
        <f>HYPERLINK("https://klasma.github.io/Logging_2081/klagomål/A 60150-2023 FSC-klagomål.docx", "A 60150-2023")</f>
        <v/>
      </c>
      <c r="W84">
        <f>HYPERLINK("https://klasma.github.io/Logging_2081/klagomålsmail/A 60150-2023 FSC-klagomål mail.docx", "A 60150-2023")</f>
        <v/>
      </c>
      <c r="X84">
        <f>HYPERLINK("https://klasma.github.io/Logging_2081/tillsyn/A 60150-2023 tillsynsbegäran.docx", "A 60150-2023")</f>
        <v/>
      </c>
      <c r="Y84">
        <f>HYPERLINK("https://klasma.github.io/Logging_2081/tillsynsmail/A 60150-2023 tillsynsbegäran mail.docx", "A 60150-2023")</f>
        <v/>
      </c>
    </row>
    <row r="85" ht="15" customHeight="1">
      <c r="A85" t="inlineStr">
        <is>
          <t>A 1751-2024</t>
        </is>
      </c>
      <c r="B85" s="1" t="n">
        <v>45307</v>
      </c>
      <c r="C85" s="1" t="n">
        <v>45731</v>
      </c>
      <c r="D85" t="inlineStr">
        <is>
          <t>DALARNAS LÄN</t>
        </is>
      </c>
      <c r="E85" t="inlineStr">
        <is>
          <t>BORLÄNGE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1751-2024 artfynd.xlsx", "A 1751-2024")</f>
        <v/>
      </c>
      <c r="T85">
        <f>HYPERLINK("https://klasma.github.io/Logging_2081/kartor/A 1751-2024 karta.png", "A 1751-2024")</f>
        <v/>
      </c>
      <c r="V85">
        <f>HYPERLINK("https://klasma.github.io/Logging_2081/klagomål/A 1751-2024 FSC-klagomål.docx", "A 1751-2024")</f>
        <v/>
      </c>
      <c r="W85">
        <f>HYPERLINK("https://klasma.github.io/Logging_2081/klagomålsmail/A 1751-2024 FSC-klagomål mail.docx", "A 1751-2024")</f>
        <v/>
      </c>
      <c r="X85">
        <f>HYPERLINK("https://klasma.github.io/Logging_2081/tillsyn/A 1751-2024 tillsynsbegäran.docx", "A 1751-2024")</f>
        <v/>
      </c>
      <c r="Y85">
        <f>HYPERLINK("https://klasma.github.io/Logging_2081/tillsynsmail/A 1751-2024 tillsynsbegäran mail.docx", "A 1751-2024")</f>
        <v/>
      </c>
    </row>
    <row r="86" ht="15" customHeight="1">
      <c r="A86" t="inlineStr">
        <is>
          <t>A 18971-2024</t>
        </is>
      </c>
      <c r="B86" s="1" t="n">
        <v>45427</v>
      </c>
      <c r="C86" s="1" t="n">
        <v>45731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18971-2024 artfynd.xlsx", "A 18971-2024")</f>
        <v/>
      </c>
      <c r="T86">
        <f>HYPERLINK("https://klasma.github.io/Logging_2081/kartor/A 18971-2024 karta.png", "A 18971-2024")</f>
        <v/>
      </c>
      <c r="U86">
        <f>HYPERLINK("https://klasma.github.io/Logging_2081/knärot/A 18971-2024 karta knärot.png", "A 18971-2024")</f>
        <v/>
      </c>
      <c r="V86">
        <f>HYPERLINK("https://klasma.github.io/Logging_2081/klagomål/A 18971-2024 FSC-klagomål.docx", "A 18971-2024")</f>
        <v/>
      </c>
      <c r="W86">
        <f>HYPERLINK("https://klasma.github.io/Logging_2081/klagomålsmail/A 18971-2024 FSC-klagomål mail.docx", "A 18971-2024")</f>
        <v/>
      </c>
      <c r="X86">
        <f>HYPERLINK("https://klasma.github.io/Logging_2081/tillsyn/A 18971-2024 tillsynsbegäran.docx", "A 18971-2024")</f>
        <v/>
      </c>
      <c r="Y86">
        <f>HYPERLINK("https://klasma.github.io/Logging_2081/tillsynsmail/A 18971-2024 tillsynsbegäran mail.docx", "A 18971-2024")</f>
        <v/>
      </c>
    </row>
    <row r="87" ht="15" customHeight="1">
      <c r="A87" t="inlineStr">
        <is>
          <t>A 30870-2024</t>
        </is>
      </c>
      <c r="B87" s="1" t="n">
        <v>45497</v>
      </c>
      <c r="C87" s="1" t="n">
        <v>45731</v>
      </c>
      <c r="D87" t="inlineStr">
        <is>
          <t>DALARNAS LÄN</t>
        </is>
      </c>
      <c r="E87" t="inlineStr">
        <is>
          <t>BORLÄNGE</t>
        </is>
      </c>
      <c r="G87" t="n">
        <v>1.8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30870-2024 artfynd.xlsx", "A 30870-2024")</f>
        <v/>
      </c>
      <c r="T87">
        <f>HYPERLINK("https://klasma.github.io/Logging_2081/kartor/A 30870-2024 karta.png", "A 30870-2024")</f>
        <v/>
      </c>
      <c r="U87">
        <f>HYPERLINK("https://klasma.github.io/Logging_2081/knärot/A 30870-2024 karta knärot.png", "A 30870-2024")</f>
        <v/>
      </c>
      <c r="V87">
        <f>HYPERLINK("https://klasma.github.io/Logging_2081/klagomål/A 30870-2024 FSC-klagomål.docx", "A 30870-2024")</f>
        <v/>
      </c>
      <c r="W87">
        <f>HYPERLINK("https://klasma.github.io/Logging_2081/klagomålsmail/A 30870-2024 FSC-klagomål mail.docx", "A 30870-2024")</f>
        <v/>
      </c>
      <c r="X87">
        <f>HYPERLINK("https://klasma.github.io/Logging_2081/tillsyn/A 30870-2024 tillsynsbegäran.docx", "A 30870-2024")</f>
        <v/>
      </c>
      <c r="Y87">
        <f>HYPERLINK("https://klasma.github.io/Logging_2081/tillsynsmail/A 30870-2024 tillsynsbegäran mail.docx", "A 30870-2024")</f>
        <v/>
      </c>
    </row>
    <row r="88" ht="15" customHeight="1">
      <c r="A88" t="inlineStr">
        <is>
          <t>A 36739-2024</t>
        </is>
      </c>
      <c r="B88" s="1" t="n">
        <v>45538</v>
      </c>
      <c r="C88" s="1" t="n">
        <v>45731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9.5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36739-2024 artfynd.xlsx", "A 36739-2024")</f>
        <v/>
      </c>
      <c r="T88">
        <f>HYPERLINK("https://klasma.github.io/Logging_2081/kartor/A 36739-2024 karta.png", "A 36739-2024")</f>
        <v/>
      </c>
      <c r="U88">
        <f>HYPERLINK("https://klasma.github.io/Logging_2081/knärot/A 36739-2024 karta knärot.png", "A 36739-2024")</f>
        <v/>
      </c>
      <c r="V88">
        <f>HYPERLINK("https://klasma.github.io/Logging_2081/klagomål/A 36739-2024 FSC-klagomål.docx", "A 36739-2024")</f>
        <v/>
      </c>
      <c r="W88">
        <f>HYPERLINK("https://klasma.github.io/Logging_2081/klagomålsmail/A 36739-2024 FSC-klagomål mail.docx", "A 36739-2024")</f>
        <v/>
      </c>
      <c r="X88">
        <f>HYPERLINK("https://klasma.github.io/Logging_2081/tillsyn/A 36739-2024 tillsynsbegäran.docx", "A 36739-2024")</f>
        <v/>
      </c>
      <c r="Y88">
        <f>HYPERLINK("https://klasma.github.io/Logging_2081/tillsynsmail/A 36739-2024 tillsynsbegäran mail.docx", "A 36739-2024")</f>
        <v/>
      </c>
    </row>
    <row r="89" ht="15" customHeight="1">
      <c r="A89" t="inlineStr">
        <is>
          <t>A 50972-2024</t>
        </is>
      </c>
      <c r="B89" s="1" t="n">
        <v>45603</v>
      </c>
      <c r="C89" s="1" t="n">
        <v>45731</v>
      </c>
      <c r="D89" t="inlineStr">
        <is>
          <t>DALARNAS LÄN</t>
        </is>
      </c>
      <c r="E89" t="inlineStr">
        <is>
          <t>BORLÄNGE</t>
        </is>
      </c>
      <c r="G89" t="n">
        <v>6.6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HYPERLINK("https://klasma.github.io/Logging_2081/artfynd/A 50972-2024 artfynd.xlsx", "A 50972-2024")</f>
        <v/>
      </c>
      <c r="T89">
        <f>HYPERLINK("https://klasma.github.io/Logging_2081/kartor/A 50972-2024 karta.png", "A 50972-2024")</f>
        <v/>
      </c>
      <c r="V89">
        <f>HYPERLINK("https://klasma.github.io/Logging_2081/klagomål/A 50972-2024 FSC-klagomål.docx", "A 50972-2024")</f>
        <v/>
      </c>
      <c r="W89">
        <f>HYPERLINK("https://klasma.github.io/Logging_2081/klagomålsmail/A 50972-2024 FSC-klagomål mail.docx", "A 50972-2024")</f>
        <v/>
      </c>
      <c r="X89">
        <f>HYPERLINK("https://klasma.github.io/Logging_2081/tillsyn/A 50972-2024 tillsynsbegäran.docx", "A 50972-2024")</f>
        <v/>
      </c>
      <c r="Y89">
        <f>HYPERLINK("https://klasma.github.io/Logging_2081/tillsynsmail/A 50972-2024 tillsynsbegäran mail.docx", "A 50972-2024")</f>
        <v/>
      </c>
    </row>
    <row r="90" ht="15" customHeight="1">
      <c r="A90" t="inlineStr">
        <is>
          <t>A 59185-2024</t>
        </is>
      </c>
      <c r="B90" s="1" t="n">
        <v>45637</v>
      </c>
      <c r="C90" s="1" t="n">
        <v>45731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3.4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59185-2024 artfynd.xlsx", "A 59185-2024")</f>
        <v/>
      </c>
      <c r="T90">
        <f>HYPERLINK("https://klasma.github.io/Logging_2081/kartor/A 59185-2024 karta.png", "A 59185-2024")</f>
        <v/>
      </c>
      <c r="V90">
        <f>HYPERLINK("https://klasma.github.io/Logging_2081/klagomål/A 59185-2024 FSC-klagomål.docx", "A 59185-2024")</f>
        <v/>
      </c>
      <c r="W90">
        <f>HYPERLINK("https://klasma.github.io/Logging_2081/klagomålsmail/A 59185-2024 FSC-klagomål mail.docx", "A 59185-2024")</f>
        <v/>
      </c>
      <c r="X90">
        <f>HYPERLINK("https://klasma.github.io/Logging_2081/tillsyn/A 59185-2024 tillsynsbegäran.docx", "A 59185-2024")</f>
        <v/>
      </c>
      <c r="Y90">
        <f>HYPERLINK("https://klasma.github.io/Logging_2081/tillsynsmail/A 59185-2024 tillsynsbegäran mail.docx", "A 59185-2024")</f>
        <v/>
      </c>
    </row>
    <row r="91" ht="15" customHeight="1">
      <c r="A91" t="inlineStr">
        <is>
          <t>A 59184-2024</t>
        </is>
      </c>
      <c r="B91" s="1" t="n">
        <v>45637</v>
      </c>
      <c r="C91" s="1" t="n">
        <v>45731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4.2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59184-2024 artfynd.xlsx", "A 59184-2024")</f>
        <v/>
      </c>
      <c r="T91">
        <f>HYPERLINK("https://klasma.github.io/Logging_2081/kartor/A 59184-2024 karta.png", "A 59184-2024")</f>
        <v/>
      </c>
      <c r="V91">
        <f>HYPERLINK("https://klasma.github.io/Logging_2081/klagomål/A 59184-2024 FSC-klagomål.docx", "A 59184-2024")</f>
        <v/>
      </c>
      <c r="W91">
        <f>HYPERLINK("https://klasma.github.io/Logging_2081/klagomålsmail/A 59184-2024 FSC-klagomål mail.docx", "A 59184-2024")</f>
        <v/>
      </c>
      <c r="X91">
        <f>HYPERLINK("https://klasma.github.io/Logging_2081/tillsyn/A 59184-2024 tillsynsbegäran.docx", "A 59184-2024")</f>
        <v/>
      </c>
      <c r="Y91">
        <f>HYPERLINK("https://klasma.github.io/Logging_2081/tillsynsmail/A 59184-2024 tillsynsbegäran mail.docx", "A 59184-2024")</f>
        <v/>
      </c>
    </row>
    <row r="92" ht="15" customHeight="1">
      <c r="A92" t="inlineStr">
        <is>
          <t>A 287-2025</t>
        </is>
      </c>
      <c r="B92" s="1" t="n">
        <v>45656</v>
      </c>
      <c r="C92" s="1" t="n">
        <v>45731</v>
      </c>
      <c r="D92" t="inlineStr">
        <is>
          <t>DALARNAS LÄN</t>
        </is>
      </c>
      <c r="E92" t="inlineStr">
        <is>
          <t>BORLÄNGE</t>
        </is>
      </c>
      <c r="G92" t="n">
        <v>9.800000000000001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HYPERLINK("https://klasma.github.io/Logging_2081/artfynd/A 287-2025 artfynd.xlsx", "A 287-2025")</f>
        <v/>
      </c>
      <c r="T92">
        <f>HYPERLINK("https://klasma.github.io/Logging_2081/kartor/A 287-2025 karta.png", "A 287-2025")</f>
        <v/>
      </c>
      <c r="V92">
        <f>HYPERLINK("https://klasma.github.io/Logging_2081/klagomål/A 287-2025 FSC-klagomål.docx", "A 287-2025")</f>
        <v/>
      </c>
      <c r="W92">
        <f>HYPERLINK("https://klasma.github.io/Logging_2081/klagomålsmail/A 287-2025 FSC-klagomål mail.docx", "A 287-2025")</f>
        <v/>
      </c>
      <c r="X92">
        <f>HYPERLINK("https://klasma.github.io/Logging_2081/tillsyn/A 287-2025 tillsynsbegäran.docx", "A 287-2025")</f>
        <v/>
      </c>
      <c r="Y92">
        <f>HYPERLINK("https://klasma.github.io/Logging_2081/tillsynsmail/A 287-2025 tillsynsbegäran mail.docx", "A 287-2025")</f>
        <v/>
      </c>
    </row>
    <row r="93" ht="15" customHeight="1">
      <c r="A93" t="inlineStr">
        <is>
          <t>A 3006-2025</t>
        </is>
      </c>
      <c r="B93" s="1" t="n">
        <v>45678</v>
      </c>
      <c r="C93" s="1" t="n">
        <v>45731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5.8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groda</t>
        </is>
      </c>
      <c r="S93">
        <f>HYPERLINK("https://klasma.github.io/Logging_2081/artfynd/A 3006-2025 artfynd.xlsx", "A 3006-2025")</f>
        <v/>
      </c>
      <c r="T93">
        <f>HYPERLINK("https://klasma.github.io/Logging_2081/kartor/A 3006-2025 karta.png", "A 3006-2025")</f>
        <v/>
      </c>
      <c r="V93">
        <f>HYPERLINK("https://klasma.github.io/Logging_2081/klagomål/A 3006-2025 FSC-klagomål.docx", "A 3006-2025")</f>
        <v/>
      </c>
      <c r="W93">
        <f>HYPERLINK("https://klasma.github.io/Logging_2081/klagomålsmail/A 3006-2025 FSC-klagomål mail.docx", "A 3006-2025")</f>
        <v/>
      </c>
      <c r="X93">
        <f>HYPERLINK("https://klasma.github.io/Logging_2081/tillsyn/A 3006-2025 tillsynsbegäran.docx", "A 3006-2025")</f>
        <v/>
      </c>
      <c r="Y93">
        <f>HYPERLINK("https://klasma.github.io/Logging_2081/tillsynsmail/A 3006-2025 tillsynsbegäran mail.docx", "A 3006-2025")</f>
        <v/>
      </c>
    </row>
    <row r="94" ht="15" customHeight="1">
      <c r="A94" t="inlineStr">
        <is>
          <t>A 17996-2019</t>
        </is>
      </c>
      <c r="B94" s="1" t="n">
        <v>43556</v>
      </c>
      <c r="C94" s="1" t="n">
        <v>45731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21707-2019</t>
        </is>
      </c>
      <c r="B95" s="1" t="n">
        <v>43581</v>
      </c>
      <c r="C95" s="1" t="n">
        <v>45731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24586-2019</t>
        </is>
      </c>
      <c r="B96" s="1" t="n">
        <v>43601</v>
      </c>
      <c r="C96" s="1" t="n">
        <v>45731</v>
      </c>
      <c r="D96" t="inlineStr">
        <is>
          <t>DALARNAS LÄN</t>
        </is>
      </c>
      <c r="E96" t="inlineStr">
        <is>
          <t>BORLÄNGE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25421-2019</t>
        </is>
      </c>
      <c r="B97" s="1" t="n">
        <v>43606</v>
      </c>
      <c r="C97" s="1" t="n">
        <v>45731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26874-2019</t>
        </is>
      </c>
      <c r="B98" s="1" t="n">
        <v>43613</v>
      </c>
      <c r="C98" s="1" t="n">
        <v>45731</v>
      </c>
      <c r="D98" t="inlineStr">
        <is>
          <t>DALARNAS LÄN</t>
        </is>
      </c>
      <c r="E98" t="inlineStr">
        <is>
          <t>BORLÄNGE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27062-2019</t>
        </is>
      </c>
      <c r="B99" s="1" t="n">
        <v>43614</v>
      </c>
      <c r="C99" s="1" t="n">
        <v>45731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27009-2019</t>
        </is>
      </c>
      <c r="B100" s="1" t="n">
        <v>43614</v>
      </c>
      <c r="C100" s="1" t="n">
        <v>45731</v>
      </c>
      <c r="D100" t="inlineStr">
        <is>
          <t>DALARNAS LÄN</t>
        </is>
      </c>
      <c r="E100" t="inlineStr">
        <is>
          <t>BORLÄNGE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27008-2019</t>
        </is>
      </c>
      <c r="B101" s="1" t="n">
        <v>43614</v>
      </c>
      <c r="C101" s="1" t="n">
        <v>45731</v>
      </c>
      <c r="D101" t="inlineStr">
        <is>
          <t>DALARNAS LÄN</t>
        </is>
      </c>
      <c r="E101" t="inlineStr">
        <is>
          <t>BORLÄNGE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29697-2019</t>
        </is>
      </c>
      <c r="B102" s="1" t="n">
        <v>43630</v>
      </c>
      <c r="C102" s="1" t="n">
        <v>45731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31833-2019</t>
        </is>
      </c>
      <c r="B103" s="1" t="n">
        <v>43642</v>
      </c>
      <c r="C103" s="1" t="n">
        <v>45731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32826-2019</t>
        </is>
      </c>
      <c r="B104" s="1" t="n">
        <v>43648</v>
      </c>
      <c r="C104" s="1" t="n">
        <v>45731</v>
      </c>
      <c r="D104" t="inlineStr">
        <is>
          <t>DALARNAS LÄN</t>
        </is>
      </c>
      <c r="E104" t="inlineStr">
        <is>
          <t>BORLÄNGE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33003-2019</t>
        </is>
      </c>
      <c r="B105" s="1" t="n">
        <v>43649</v>
      </c>
      <c r="C105" s="1" t="n">
        <v>45731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34992-2019</t>
        </is>
      </c>
      <c r="B106" s="1" t="n">
        <v>43660</v>
      </c>
      <c r="C106" s="1" t="n">
        <v>45731</v>
      </c>
      <c r="D106" t="inlineStr">
        <is>
          <t>DALARNAS LÄN</t>
        </is>
      </c>
      <c r="E106" t="inlineStr">
        <is>
          <t>BORLÄNGE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42531-2019</t>
        </is>
      </c>
      <c r="B107" s="1" t="n">
        <v>43704</v>
      </c>
      <c r="C107" s="1" t="n">
        <v>45731</v>
      </c>
      <c r="D107" t="inlineStr">
        <is>
          <t>DALARNAS LÄN</t>
        </is>
      </c>
      <c r="E107" t="inlineStr">
        <is>
          <t>BORLÄNGE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42540-2019</t>
        </is>
      </c>
      <c r="B108" s="1" t="n">
        <v>43704</v>
      </c>
      <c r="C108" s="1" t="n">
        <v>45731</v>
      </c>
      <c r="D108" t="inlineStr">
        <is>
          <t>DALARNAS LÄN</t>
        </is>
      </c>
      <c r="E108" t="inlineStr">
        <is>
          <t>BORLÄNGE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43835-2019</t>
        </is>
      </c>
      <c r="B109" s="1" t="n">
        <v>43707</v>
      </c>
      <c r="C109" s="1" t="n">
        <v>45731</v>
      </c>
      <c r="D109" t="inlineStr">
        <is>
          <t>DALARNAS LÄN</t>
        </is>
      </c>
      <c r="E109" t="inlineStr">
        <is>
          <t>BORLÄNGE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51019-2019</t>
        </is>
      </c>
      <c r="B110" s="1" t="n">
        <v>43739</v>
      </c>
      <c r="C110" s="1" t="n">
        <v>45731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57297-2019</t>
        </is>
      </c>
      <c r="B111" s="1" t="n">
        <v>43767</v>
      </c>
      <c r="C111" s="1" t="n">
        <v>45731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57618-2019</t>
        </is>
      </c>
      <c r="B112" s="1" t="n">
        <v>43768</v>
      </c>
      <c r="C112" s="1" t="n">
        <v>45731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61107-2019</t>
        </is>
      </c>
      <c r="B113" s="1" t="n">
        <v>43782</v>
      </c>
      <c r="C113" s="1" t="n">
        <v>45731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61288-2019</t>
        </is>
      </c>
      <c r="B114" s="1" t="n">
        <v>43783</v>
      </c>
      <c r="C114" s="1" t="n">
        <v>45731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66563-2019</t>
        </is>
      </c>
      <c r="B115" s="1" t="n">
        <v>43803</v>
      </c>
      <c r="C115" s="1" t="n">
        <v>45731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66159-2019</t>
        </is>
      </c>
      <c r="B116" s="1" t="n">
        <v>43808</v>
      </c>
      <c r="C116" s="1" t="n">
        <v>45731</v>
      </c>
      <c r="D116" t="inlineStr">
        <is>
          <t>DALARNAS LÄN</t>
        </is>
      </c>
      <c r="E116" t="inlineStr">
        <is>
          <t>BORLÄNGE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67435-2019</t>
        </is>
      </c>
      <c r="B117" s="1" t="n">
        <v>43812</v>
      </c>
      <c r="C117" s="1" t="n">
        <v>45731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9309-2020</t>
        </is>
      </c>
      <c r="B118" s="1" t="n">
        <v>43880</v>
      </c>
      <c r="C118" s="1" t="n">
        <v>45731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11590-2020</t>
        </is>
      </c>
      <c r="B119" s="1" t="n">
        <v>43893</v>
      </c>
      <c r="C119" s="1" t="n">
        <v>45731</v>
      </c>
      <c r="D119" t="inlineStr">
        <is>
          <t>DALARNAS LÄN</t>
        </is>
      </c>
      <c r="E119" t="inlineStr">
        <is>
          <t>BORLÄNGE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13404-2020</t>
        </is>
      </c>
      <c r="B120" s="1" t="n">
        <v>43902</v>
      </c>
      <c r="C120" s="1" t="n">
        <v>45731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14736-2020</t>
        </is>
      </c>
      <c r="B121" s="1" t="n">
        <v>43909</v>
      </c>
      <c r="C121" s="1" t="n">
        <v>45731</v>
      </c>
      <c r="D121" t="inlineStr">
        <is>
          <t>DALARNAS LÄN</t>
        </is>
      </c>
      <c r="E121" t="inlineStr">
        <is>
          <t>BORLÄNGE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15089-2020</t>
        </is>
      </c>
      <c r="B122" s="1" t="n">
        <v>43910</v>
      </c>
      <c r="C122" s="1" t="n">
        <v>45731</v>
      </c>
      <c r="D122" t="inlineStr">
        <is>
          <t>DALARNAS LÄN</t>
        </is>
      </c>
      <c r="E122" t="inlineStr">
        <is>
          <t>BORLÄNGE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16404-2020</t>
        </is>
      </c>
      <c r="B123" s="1" t="n">
        <v>43918</v>
      </c>
      <c r="C123" s="1" t="n">
        <v>45731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18108-2020</t>
        </is>
      </c>
      <c r="B124" s="1" t="n">
        <v>43927</v>
      </c>
      <c r="C124" s="1" t="n">
        <v>45731</v>
      </c>
      <c r="D124" t="inlineStr">
        <is>
          <t>DALARNAS LÄN</t>
        </is>
      </c>
      <c r="E124" t="inlineStr">
        <is>
          <t>BORLÄNGE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19446-2020</t>
        </is>
      </c>
      <c r="B125" s="1" t="n">
        <v>43938</v>
      </c>
      <c r="C125" s="1" t="n">
        <v>45731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19667-2020</t>
        </is>
      </c>
      <c r="B126" s="1" t="n">
        <v>43941</v>
      </c>
      <c r="C126" s="1" t="n">
        <v>45731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20501-2020</t>
        </is>
      </c>
      <c r="B127" s="1" t="n">
        <v>43948</v>
      </c>
      <c r="C127" s="1" t="n">
        <v>45731</v>
      </c>
      <c r="D127" t="inlineStr">
        <is>
          <t>DALARNAS LÄN</t>
        </is>
      </c>
      <c r="E127" t="inlineStr">
        <is>
          <t>BORLÄNGE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21684-2020</t>
        </is>
      </c>
      <c r="B128" s="1" t="n">
        <v>43957</v>
      </c>
      <c r="C128" s="1" t="n">
        <v>45731</v>
      </c>
      <c r="D128" t="inlineStr">
        <is>
          <t>DALARNAS LÄN</t>
        </is>
      </c>
      <c r="E128" t="inlineStr">
        <is>
          <t>BORLÄNGE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23998-2020</t>
        </is>
      </c>
      <c r="B129" s="1" t="n">
        <v>43971</v>
      </c>
      <c r="C129" s="1" t="n">
        <v>45731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27064-2020</t>
        </is>
      </c>
      <c r="B130" s="1" t="n">
        <v>43991</v>
      </c>
      <c r="C130" s="1" t="n">
        <v>45731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39449-2020</t>
        </is>
      </c>
      <c r="B131" s="1" t="n">
        <v>44064</v>
      </c>
      <c r="C131" s="1" t="n">
        <v>45731</v>
      </c>
      <c r="D131" t="inlineStr">
        <is>
          <t>DALARNAS LÄN</t>
        </is>
      </c>
      <c r="E131" t="inlineStr">
        <is>
          <t>BORLÄNGE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44111-2020</t>
        </is>
      </c>
      <c r="B132" s="1" t="n">
        <v>44083</v>
      </c>
      <c r="C132" s="1" t="n">
        <v>45731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44118-2020</t>
        </is>
      </c>
      <c r="B133" s="1" t="n">
        <v>44083</v>
      </c>
      <c r="C133" s="1" t="n">
        <v>45731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50164-2020</t>
        </is>
      </c>
      <c r="B134" s="1" t="n">
        <v>44104</v>
      </c>
      <c r="C134" s="1" t="n">
        <v>45731</v>
      </c>
      <c r="D134" t="inlineStr">
        <is>
          <t>DALARNAS LÄN</t>
        </is>
      </c>
      <c r="E134" t="inlineStr">
        <is>
          <t>BORLÄNGE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49348-2020</t>
        </is>
      </c>
      <c r="B135" s="1" t="n">
        <v>44105</v>
      </c>
      <c r="C135" s="1" t="n">
        <v>45731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50459-2020</t>
        </is>
      </c>
      <c r="B136" s="1" t="n">
        <v>44110</v>
      </c>
      <c r="C136" s="1" t="n">
        <v>45731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50437-2020</t>
        </is>
      </c>
      <c r="B137" s="1" t="n">
        <v>44110</v>
      </c>
      <c r="C137" s="1" t="n">
        <v>45731</v>
      </c>
      <c r="D137" t="inlineStr">
        <is>
          <t>DALARNAS LÄN</t>
        </is>
      </c>
      <c r="E137" t="inlineStr">
        <is>
          <t>BORLÄNGE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50496-2020</t>
        </is>
      </c>
      <c r="B138" s="1" t="n">
        <v>44110</v>
      </c>
      <c r="C138" s="1" t="n">
        <v>45731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50441-2020</t>
        </is>
      </c>
      <c r="B139" s="1" t="n">
        <v>44110</v>
      </c>
      <c r="C139" s="1" t="n">
        <v>45731</v>
      </c>
      <c r="D139" t="inlineStr">
        <is>
          <t>DALARNAS LÄN</t>
        </is>
      </c>
      <c r="E139" t="inlineStr">
        <is>
          <t>BORLÄNGE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52515-2020</t>
        </is>
      </c>
      <c r="B140" s="1" t="n">
        <v>44118</v>
      </c>
      <c r="C140" s="1" t="n">
        <v>45731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52957-2020</t>
        </is>
      </c>
      <c r="B141" s="1" t="n">
        <v>44120</v>
      </c>
      <c r="C141" s="1" t="n">
        <v>45731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52943-2020</t>
        </is>
      </c>
      <c r="B142" s="1" t="n">
        <v>44120</v>
      </c>
      <c r="C142" s="1" t="n">
        <v>45731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45731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45731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45731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45731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45731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45731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45731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45731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45731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45731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45731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45731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45731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45731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45731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45731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45731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45731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45731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45731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45731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45731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45731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45731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45731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45731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45731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45731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45731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45731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45731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45731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45731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45731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45731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45731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45731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45731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45731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45731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45731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45731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45731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45731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45731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45731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45731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45731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45731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45731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45731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45731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45731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45731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45731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45731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45731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45731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45731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45731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45731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45731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45731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45731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45731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45731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45731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45731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45731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45731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45731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45731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45731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45731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45731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45731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45731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45731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45731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45731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45731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45731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45731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45731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45731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45731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45731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45731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45731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45731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45731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45731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45731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45731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45731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45731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45731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45731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45731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45731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45731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45731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45731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45731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45731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45731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45731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45731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45731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45731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45731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45731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45731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45731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45731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45731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45731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45731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45731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45731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45731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45731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45731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45731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45731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45731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45731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45731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45731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45731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45731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45731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45731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45731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45731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45731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45731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45731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45731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45731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45731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45731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45731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45731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45731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45731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45731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45731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45731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45731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45731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45731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45731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45731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45731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45731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45731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45731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45731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45731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45731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45731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45731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45731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45731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45731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45731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45731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45731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45731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45731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45731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45731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45731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45731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45731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45731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45731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45731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45731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45731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45731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45731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45731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45731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45731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45731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45731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45731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45731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45731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45731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45731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45731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45731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45731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45731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45731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45731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45731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45731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45731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45731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45731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45731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45731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45731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45731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45731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45731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45731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45731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45731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45731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45731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45731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45731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45731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45731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45731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45731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45731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45731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45731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45731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45731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45731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45731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45731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45731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45731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45731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45731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45731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45731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45731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45731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45731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45731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45731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45731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45731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45731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45731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45731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45731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45731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45731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45731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45731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45731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45731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45731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45731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45731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45731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45731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45731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45731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45731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45731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45731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45731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45731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45731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45731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45731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45731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45731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45731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45731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45731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45731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45731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45731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45731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45731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45731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45731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45731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45731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45731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45731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45731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45731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45731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45731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45731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45731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45731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45731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45731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45731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45731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45731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45731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45731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45731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45731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45731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45731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45731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45731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45731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45731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45731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45731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45731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45731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45731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45731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45731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45731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45731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45731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45731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45731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45731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45731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45731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45731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45731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45731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45731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45731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45731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45731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45731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45731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45731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45731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45731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45731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45731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45731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45731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45731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45731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45731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45731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45731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45731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45731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45731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45731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45731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45731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45731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45731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45731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45731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45731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45731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45731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45731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45731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45731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45731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45731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45731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45731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45731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45731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45731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45731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45731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45731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45731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45731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45731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45731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45731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45731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45731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45731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45731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45731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45731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45731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45731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45731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45731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45731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45731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45731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45731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45731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45731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45731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45731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45731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45731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45731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45731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45731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45731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45731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45731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45731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45731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45731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45731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45731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45731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45731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45731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45731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45731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45731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45731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45731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45731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45731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45731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45731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45731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45731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45731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45731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45731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45731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45731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45731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45731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45731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45731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45731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45731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45731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45731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45731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45731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45731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45731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45731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45731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45731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45731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45731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45731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45731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45731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45731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45731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45731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45731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45731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45731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45731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45731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45731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45731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45731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45731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45731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45731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45731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45731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45731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45731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45731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45731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45731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45731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45731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45731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45731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45731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45731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45731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45731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45731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45731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45731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45731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45731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45731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45731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45731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45731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45731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45731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45731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45731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45731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45731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45731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45731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45731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45731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45731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45731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45731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45731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45731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45731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45731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45731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45731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45731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45731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45731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45731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45731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45731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45731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45731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45731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45731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45731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45731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45731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45731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45731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45731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45731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45731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45731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45731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45731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45731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45731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45731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45731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45731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45731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45731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8489-2025</t>
        </is>
      </c>
      <c r="B670" s="1" t="n">
        <v>45709</v>
      </c>
      <c r="C670" s="1" t="n">
        <v>45731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10173-2025</t>
        </is>
      </c>
      <c r="B671" s="1" t="n">
        <v>45719</v>
      </c>
      <c r="C671" s="1" t="n">
        <v>45731</v>
      </c>
      <c r="D671" t="inlineStr">
        <is>
          <t>DALARNAS LÄN</t>
        </is>
      </c>
      <c r="E671" t="inlineStr">
        <is>
          <t>BORLÄNGE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10156-2025</t>
        </is>
      </c>
      <c r="B672" s="1" t="n">
        <v>45719</v>
      </c>
      <c r="C672" s="1" t="n">
        <v>45731</v>
      </c>
      <c r="D672" t="inlineStr">
        <is>
          <t>DALARNAS LÄN</t>
        </is>
      </c>
      <c r="E672" t="inlineStr">
        <is>
          <t>BORLÄNGE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10712-2025</t>
        </is>
      </c>
      <c r="B673" s="1" t="n">
        <v>45722</v>
      </c>
      <c r="C673" s="1" t="n">
        <v>45731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2025-03-15T17:39:26Z</dcterms:created>
  <dcterms:modified xmlns:dcterms="http://purl.org/dc/terms/" xmlns:xsi="http://www.w3.org/2001/XMLSchema-instance" xsi:type="dcterms:W3CDTF">2025-03-15T17:39:26Z</dcterms:modified>
</cp:coreProperties>
</file>