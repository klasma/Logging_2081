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46038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46038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46038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46038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46038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46038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46038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46038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46038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46038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46038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46038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46038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46038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46038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3067-2025</t>
        </is>
      </c>
      <c r="B22" s="1" t="n">
        <v>45678.63605324074</v>
      </c>
      <c r="C22" s="1" t="n">
        <v>46038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Vedticka
Tjäder</t>
        </is>
      </c>
      <c r="S22">
        <f>HYPERLINK("https://klasma.github.io/Logging_2081/artfynd/A 3067-2025 artfynd.xlsx", "A 3067-2025")</f>
        <v/>
      </c>
      <c r="T22">
        <f>HYPERLINK("https://klasma.github.io/Logging_2081/kartor/A 3067-2025 karta.png", "A 3067-2025")</f>
        <v/>
      </c>
      <c r="U22">
        <f>HYPERLINK("https://klasma.github.io/Logging_2081/knärot/A 3067-2025 karta knärot.png", "A 3067-2025")</f>
        <v/>
      </c>
      <c r="V22">
        <f>HYPERLINK("https://klasma.github.io/Logging_2081/klagomål/A 3067-2025 FSC-klagomål.docx", "A 3067-2025")</f>
        <v/>
      </c>
      <c r="W22">
        <f>HYPERLINK("https://klasma.github.io/Logging_2081/klagomålsmail/A 3067-2025 FSC-klagomål mail.docx", "A 3067-2025")</f>
        <v/>
      </c>
      <c r="X22">
        <f>HYPERLINK("https://klasma.github.io/Logging_2081/tillsyn/A 3067-2025 tillsynsbegäran.docx", "A 3067-2025")</f>
        <v/>
      </c>
      <c r="Y22">
        <f>HYPERLINK("https://klasma.github.io/Logging_2081/tillsynsmail/A 3067-2025 tillsynsbegäran mail.docx", "A 3067-2025")</f>
        <v/>
      </c>
      <c r="Z22">
        <f>HYPERLINK("https://klasma.github.io/Logging_2081/fåglar/A 3067-2025 prioriterade fågelarter.docx", "A 3067-2025")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46038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46038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46038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46038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46038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46038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46038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46038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46038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49835-2025</t>
        </is>
      </c>
      <c r="B32" s="1" t="n">
        <v>45940.46645833334</v>
      </c>
      <c r="C32" s="1" t="n">
        <v>46038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5.6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Fjällig taggsvamp s.str.</t>
        </is>
      </c>
      <c r="S32">
        <f>HYPERLINK("https://klasma.github.io/Logging_2081/artfynd/A 49835-2025 artfynd.xlsx", "A 49835-2025")</f>
        <v/>
      </c>
      <c r="T32">
        <f>HYPERLINK("https://klasma.github.io/Logging_2081/kartor/A 49835-2025 karta.png", "A 49835-2025")</f>
        <v/>
      </c>
      <c r="U32">
        <f>HYPERLINK("https://klasma.github.io/Logging_2081/knärot/A 49835-2025 karta knärot.png", "A 49835-2025")</f>
        <v/>
      </c>
      <c r="V32">
        <f>HYPERLINK("https://klasma.github.io/Logging_2081/klagomål/A 49835-2025 FSC-klagomål.docx", "A 49835-2025")</f>
        <v/>
      </c>
      <c r="W32">
        <f>HYPERLINK("https://klasma.github.io/Logging_2081/klagomålsmail/A 49835-2025 FSC-klagomål mail.docx", "A 49835-2025")</f>
        <v/>
      </c>
      <c r="X32">
        <f>HYPERLINK("https://klasma.github.io/Logging_2081/tillsyn/A 49835-2025 tillsynsbegäran.docx", "A 49835-2025")</f>
        <v/>
      </c>
      <c r="Y32">
        <f>HYPERLINK("https://klasma.github.io/Logging_2081/tillsynsmail/A 49835-2025 tillsynsbegäran mail.docx", "A 49835-2025")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46038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46038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2289-2026</t>
        </is>
      </c>
      <c r="B35" s="1" t="n">
        <v>46036.58131944444</v>
      </c>
      <c r="C35" s="1" t="n">
        <v>46038</v>
      </c>
      <c r="D35" t="inlineStr">
        <is>
          <t>DALARNAS LÄN</t>
        </is>
      </c>
      <c r="E35" t="inlineStr">
        <is>
          <t>BORLÄNGE</t>
        </is>
      </c>
      <c r="G35" t="n">
        <v>0.9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Tretåig hackspett
Ullticka</t>
        </is>
      </c>
      <c r="S35">
        <f>HYPERLINK("https://klasma.github.io/Logging_2081/artfynd/A 2289-2026 artfynd.xlsx", "A 2289-2026")</f>
        <v/>
      </c>
      <c r="T35">
        <f>HYPERLINK("https://klasma.github.io/Logging_2081/kartor/A 2289-2026 karta.png", "A 2289-2026")</f>
        <v/>
      </c>
      <c r="U35">
        <f>HYPERLINK("https://klasma.github.io/Logging_2081/knärot/A 2289-2026 karta knärot.png", "A 2289-2026")</f>
        <v/>
      </c>
      <c r="V35">
        <f>HYPERLINK("https://klasma.github.io/Logging_2081/klagomål/A 2289-2026 FSC-klagomål.docx", "A 2289-2026")</f>
        <v/>
      </c>
      <c r="W35">
        <f>HYPERLINK("https://klasma.github.io/Logging_2081/klagomålsmail/A 2289-2026 FSC-klagomål mail.docx", "A 2289-2026")</f>
        <v/>
      </c>
      <c r="X35">
        <f>HYPERLINK("https://klasma.github.io/Logging_2081/tillsyn/A 2289-2026 tillsynsbegäran.docx", "A 2289-2026")</f>
        <v/>
      </c>
      <c r="Y35">
        <f>HYPERLINK("https://klasma.github.io/Logging_2081/tillsynsmail/A 2289-2026 tillsynsbegäran mail.docx", "A 2289-2026")</f>
        <v/>
      </c>
      <c r="Z35">
        <f>HYPERLINK("https://klasma.github.io/Logging_2081/fåglar/A 2289-2026 prioriterade fågelarter.docx", "A 2289-2026")</f>
        <v/>
      </c>
    </row>
    <row r="36" ht="15" customHeight="1">
      <c r="A36" t="inlineStr">
        <is>
          <t>A 2224-2026</t>
        </is>
      </c>
      <c r="B36" s="1" t="n">
        <v>46036.51528935185</v>
      </c>
      <c r="C36" s="1" t="n">
        <v>46038</v>
      </c>
      <c r="D36" t="inlineStr">
        <is>
          <t>DALARNAS LÄN</t>
        </is>
      </c>
      <c r="E36" t="inlineStr">
        <is>
          <t>BORLÄNGE</t>
        </is>
      </c>
      <c r="G36" t="n">
        <v>27.2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HYPERLINK("https://klasma.github.io/Logging_2081/artfynd/A 2224-2026 artfynd.xlsx", "A 2224-2026")</f>
        <v/>
      </c>
      <c r="T36">
        <f>HYPERLINK("https://klasma.github.io/Logging_2081/kartor/A 2224-2026 karta.png", "A 2224-2026")</f>
        <v/>
      </c>
      <c r="U36">
        <f>HYPERLINK("https://klasma.github.io/Logging_2081/knärot/A 2224-2026 karta knärot.png", "A 2224-2026")</f>
        <v/>
      </c>
      <c r="V36">
        <f>HYPERLINK("https://klasma.github.io/Logging_2081/klagomål/A 2224-2026 FSC-klagomål.docx", "A 2224-2026")</f>
        <v/>
      </c>
      <c r="W36">
        <f>HYPERLINK("https://klasma.github.io/Logging_2081/klagomålsmail/A 2224-2026 FSC-klagomål mail.docx", "A 2224-2026")</f>
        <v/>
      </c>
      <c r="X36">
        <f>HYPERLINK("https://klasma.github.io/Logging_2081/tillsyn/A 2224-2026 tillsynsbegäran.docx", "A 2224-2026")</f>
        <v/>
      </c>
      <c r="Y36">
        <f>HYPERLINK("https://klasma.github.io/Logging_2081/tillsynsmail/A 2224-2026 tillsynsbegäran mail.docx", "A 2224-2026")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46038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46038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46038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46038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46038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46038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46038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46038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46038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37354-2025</t>
        </is>
      </c>
      <c r="B46" s="1" t="n">
        <v>45876</v>
      </c>
      <c r="C46" s="1" t="n">
        <v>46038</v>
      </c>
      <c r="D46" t="inlineStr">
        <is>
          <t>DALARNAS LÄN</t>
        </is>
      </c>
      <c r="E46" t="inlineStr">
        <is>
          <t>BORLÄNGE</t>
        </is>
      </c>
      <c r="G46" t="n">
        <v>9.1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37354-2025 artfynd.xlsx", "A 37354-2025")</f>
        <v/>
      </c>
      <c r="T46">
        <f>HYPERLINK("https://klasma.github.io/Logging_2081/kartor/A 37354-2025 karta.png", "A 37354-2025")</f>
        <v/>
      </c>
      <c r="V46">
        <f>HYPERLINK("https://klasma.github.io/Logging_2081/klagomål/A 37354-2025 FSC-klagomål.docx", "A 37354-2025")</f>
        <v/>
      </c>
      <c r="W46">
        <f>HYPERLINK("https://klasma.github.io/Logging_2081/klagomålsmail/A 37354-2025 FSC-klagomål mail.docx", "A 37354-2025")</f>
        <v/>
      </c>
      <c r="X46">
        <f>HYPERLINK("https://klasma.github.io/Logging_2081/tillsyn/A 37354-2025 tillsynsbegäran.docx", "A 37354-2025")</f>
        <v/>
      </c>
      <c r="Y46">
        <f>HYPERLINK("https://klasma.github.io/Logging_2081/tillsynsmail/A 37354-2025 tillsynsbegäran mail.docx", "A 37354-2025")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46038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46038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46038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46038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19650-2024</t>
        </is>
      </c>
      <c r="B51" s="1" t="n">
        <v>45432.43915509259</v>
      </c>
      <c r="C51" s="1" t="n">
        <v>46038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46038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46038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46038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37723-2024</t>
        </is>
      </c>
      <c r="B55" s="1" t="n">
        <v>45541.64898148148</v>
      </c>
      <c r="C55" s="1" t="n">
        <v>46038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37723-2024 artfynd.xlsx", "A 37723-2024")</f>
        <v/>
      </c>
      <c r="T55">
        <f>HYPERLINK("https://klasma.github.io/Logging_2081/kartor/A 37723-2024 karta.png", "A 37723-2024")</f>
        <v/>
      </c>
      <c r="V55">
        <f>HYPERLINK("https://klasma.github.io/Logging_2081/klagomål/A 37723-2024 FSC-klagomål.docx", "A 37723-2024")</f>
        <v/>
      </c>
      <c r="W55">
        <f>HYPERLINK("https://klasma.github.io/Logging_2081/klagomålsmail/A 37723-2024 FSC-klagomål mail.docx", "A 37723-2024")</f>
        <v/>
      </c>
      <c r="X55">
        <f>HYPERLINK("https://klasma.github.io/Logging_2081/tillsyn/A 37723-2024 tillsynsbegäran.docx", "A 37723-2024")</f>
        <v/>
      </c>
      <c r="Y55">
        <f>HYPERLINK("https://klasma.github.io/Logging_2081/tillsynsmail/A 37723-2024 tillsynsbegäran mail.docx", "A 37723-2024")</f>
        <v/>
      </c>
    </row>
    <row r="56" ht="15" customHeight="1">
      <c r="A56" t="inlineStr">
        <is>
          <t>A 40578-2021</t>
        </is>
      </c>
      <c r="B56" s="1" t="n">
        <v>44420</v>
      </c>
      <c r="C56" s="1" t="n">
        <v>46038</v>
      </c>
      <c r="D56" t="inlineStr">
        <is>
          <t>DALARNAS LÄN</t>
        </is>
      </c>
      <c r="E56" t="inlineStr">
        <is>
          <t>BORLÄNGE</t>
        </is>
      </c>
      <c r="G56" t="n">
        <v>3.8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Revlummer</t>
        </is>
      </c>
      <c r="S56">
        <f>HYPERLINK("https://klasma.github.io/Logging_2081/artfynd/A 40578-2021 artfynd.xlsx", "A 40578-2021")</f>
        <v/>
      </c>
      <c r="T56">
        <f>HYPERLINK("https://klasma.github.io/Logging_2081/kartor/A 40578-2021 karta.png", "A 40578-2021")</f>
        <v/>
      </c>
      <c r="U56">
        <f>HYPERLINK("https://klasma.github.io/Logging_2081/knärot/A 40578-2021 karta knärot.png", "A 40578-2021")</f>
        <v/>
      </c>
      <c r="V56">
        <f>HYPERLINK("https://klasma.github.io/Logging_2081/klagomål/A 40578-2021 FSC-klagomål.docx", "A 40578-2021")</f>
        <v/>
      </c>
      <c r="W56">
        <f>HYPERLINK("https://klasma.github.io/Logging_2081/klagomålsmail/A 40578-2021 FSC-klagomål mail.docx", "A 40578-2021")</f>
        <v/>
      </c>
      <c r="X56">
        <f>HYPERLINK("https://klasma.github.io/Logging_2081/tillsyn/A 40578-2021 tillsynsbegäran.docx", "A 40578-2021")</f>
        <v/>
      </c>
      <c r="Y56">
        <f>HYPERLINK("https://klasma.github.io/Logging_2081/tillsynsmail/A 40578-2021 tillsynsbegäran mail.docx", "A 40578-2021")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46038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46038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46038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46038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60150-2023</t>
        </is>
      </c>
      <c r="B61" s="1" t="n">
        <v>45258</v>
      </c>
      <c r="C61" s="1" t="n">
        <v>46038</v>
      </c>
      <c r="D61" t="inlineStr">
        <is>
          <t>DALARNAS LÄN</t>
        </is>
      </c>
      <c r="E61" t="inlineStr">
        <is>
          <t>BORLÄNGE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Trådticka</t>
        </is>
      </c>
      <c r="S61">
        <f>HYPERLINK("https://klasma.github.io/Logging_2081/artfynd/A 60150-2023 artfynd.xlsx", "A 60150-2023")</f>
        <v/>
      </c>
      <c r="T61">
        <f>HYPERLINK("https://klasma.github.io/Logging_2081/kartor/A 60150-2023 karta.png", "A 60150-2023")</f>
        <v/>
      </c>
      <c r="V61">
        <f>HYPERLINK("https://klasma.github.io/Logging_2081/klagomål/A 60150-2023 FSC-klagomål.docx", "A 60150-2023")</f>
        <v/>
      </c>
      <c r="W61">
        <f>HYPERLINK("https://klasma.github.io/Logging_2081/klagomålsmail/A 60150-2023 FSC-klagomål mail.docx", "A 60150-2023")</f>
        <v/>
      </c>
      <c r="X61">
        <f>HYPERLINK("https://klasma.github.io/Logging_2081/tillsyn/A 60150-2023 tillsynsbegäran.docx", "A 60150-2023")</f>
        <v/>
      </c>
      <c r="Y61">
        <f>HYPERLINK("https://klasma.github.io/Logging_2081/tillsynsmail/A 60150-2023 tillsynsbegäran mail.docx", "A 60150-2023")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46038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46038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46038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33694-2022</t>
        </is>
      </c>
      <c r="B65" s="1" t="n">
        <v>44789.67186342592</v>
      </c>
      <c r="C65" s="1" t="n">
        <v>46038</v>
      </c>
      <c r="D65" t="inlineStr">
        <is>
          <t>DALARNAS LÄN</t>
        </is>
      </c>
      <c r="E65" t="inlineStr">
        <is>
          <t>BORLÄNGE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33694-2022 artfynd.xlsx", "A 33694-2022")</f>
        <v/>
      </c>
      <c r="T65">
        <f>HYPERLINK("https://klasma.github.io/Logging_2081/kartor/A 33694-2022 karta.png", "A 33694-2022")</f>
        <v/>
      </c>
      <c r="U65">
        <f>HYPERLINK("https://klasma.github.io/Logging_2081/knärot/A 33694-2022 karta knärot.png", "A 33694-2022")</f>
        <v/>
      </c>
      <c r="V65">
        <f>HYPERLINK("https://klasma.github.io/Logging_2081/klagomål/A 33694-2022 FSC-klagomål.docx", "A 33694-2022")</f>
        <v/>
      </c>
      <c r="W65">
        <f>HYPERLINK("https://klasma.github.io/Logging_2081/klagomålsmail/A 33694-2022 FSC-klagomål mail.docx", "A 33694-2022")</f>
        <v/>
      </c>
      <c r="X65">
        <f>HYPERLINK("https://klasma.github.io/Logging_2081/tillsyn/A 33694-2022 tillsynsbegäran.docx", "A 33694-2022")</f>
        <v/>
      </c>
      <c r="Y65">
        <f>HYPERLINK("https://klasma.github.io/Logging_2081/tillsynsmail/A 33694-2022 tillsynsbegäran mail.docx", "A 33694-2022")</f>
        <v/>
      </c>
    </row>
    <row r="66" ht="15" customHeight="1">
      <c r="A66" t="inlineStr">
        <is>
          <t>A 14724-2025</t>
        </is>
      </c>
      <c r="B66" s="1" t="n">
        <v>45742.62967592593</v>
      </c>
      <c r="C66" s="1" t="n">
        <v>46038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HYPERLINK("https://klasma.github.io/Logging_2081/artfynd/A 14724-2025 artfynd.xlsx", "A 14724-2025")</f>
        <v/>
      </c>
      <c r="T66">
        <f>HYPERLINK("https://klasma.github.io/Logging_2081/kartor/A 14724-2025 karta.png", "A 14724-2025")</f>
        <v/>
      </c>
      <c r="V66">
        <f>HYPERLINK("https://klasma.github.io/Logging_2081/klagomål/A 14724-2025 FSC-klagomål.docx", "A 14724-2025")</f>
        <v/>
      </c>
      <c r="W66">
        <f>HYPERLINK("https://klasma.github.io/Logging_2081/klagomålsmail/A 14724-2025 FSC-klagomål mail.docx", "A 14724-2025")</f>
        <v/>
      </c>
      <c r="X66">
        <f>HYPERLINK("https://klasma.github.io/Logging_2081/tillsyn/A 14724-2025 tillsynsbegäran.docx", "A 14724-2025")</f>
        <v/>
      </c>
      <c r="Y66">
        <f>HYPERLINK("https://klasma.github.io/Logging_2081/tillsynsmail/A 14724-2025 tillsynsbegäran mail.docx", "A 14724-2025")</f>
        <v/>
      </c>
    </row>
    <row r="67" ht="15" customHeight="1">
      <c r="A67" t="inlineStr">
        <is>
          <t>A 18971-2024</t>
        </is>
      </c>
      <c r="B67" s="1" t="n">
        <v>45427.56424768519</v>
      </c>
      <c r="C67" s="1" t="n">
        <v>46038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18971-2024 artfynd.xlsx", "A 18971-2024")</f>
        <v/>
      </c>
      <c r="T67">
        <f>HYPERLINK("https://klasma.github.io/Logging_2081/kartor/A 18971-2024 karta.png", "A 18971-2024")</f>
        <v/>
      </c>
      <c r="U67">
        <f>HYPERLINK("https://klasma.github.io/Logging_2081/knärot/A 18971-2024 karta knärot.png", "A 18971-2024")</f>
        <v/>
      </c>
      <c r="V67">
        <f>HYPERLINK("https://klasma.github.io/Logging_2081/klagomål/A 18971-2024 FSC-klagomål.docx", "A 18971-2024")</f>
        <v/>
      </c>
      <c r="W67">
        <f>HYPERLINK("https://klasma.github.io/Logging_2081/klagomålsmail/A 18971-2024 FSC-klagomål mail.docx", "A 18971-2024")</f>
        <v/>
      </c>
      <c r="X67">
        <f>HYPERLINK("https://klasma.github.io/Logging_2081/tillsyn/A 18971-2024 tillsynsbegäran.docx", "A 18971-2024")</f>
        <v/>
      </c>
      <c r="Y67">
        <f>HYPERLINK("https://klasma.github.io/Logging_2081/tillsynsmail/A 18971-2024 tillsynsbegäran mail.docx", "A 18971-2024")</f>
        <v/>
      </c>
    </row>
    <row r="68" ht="15" customHeight="1">
      <c r="A68" t="inlineStr">
        <is>
          <t>A 42040-2023</t>
        </is>
      </c>
      <c r="B68" s="1" t="n">
        <v>45177</v>
      </c>
      <c r="C68" s="1" t="n">
        <v>46038</v>
      </c>
      <c r="D68" t="inlineStr">
        <is>
          <t>DALARNAS LÄN</t>
        </is>
      </c>
      <c r="E68" t="inlineStr">
        <is>
          <t>BORLÄNGE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HYPERLINK("https://klasma.github.io/Logging_2081/artfynd/A 42040-2023 artfynd.xlsx", "A 42040-2023")</f>
        <v/>
      </c>
      <c r="T68">
        <f>HYPERLINK("https://klasma.github.io/Logging_2081/kartor/A 42040-2023 karta.png", "A 42040-2023")</f>
        <v/>
      </c>
      <c r="U68">
        <f>HYPERLINK("https://klasma.github.io/Logging_2081/knärot/A 42040-2023 karta knärot.png", "A 42040-2023")</f>
        <v/>
      </c>
      <c r="V68">
        <f>HYPERLINK("https://klasma.github.io/Logging_2081/klagomål/A 42040-2023 FSC-klagomål.docx", "A 42040-2023")</f>
        <v/>
      </c>
      <c r="W68">
        <f>HYPERLINK("https://klasma.github.io/Logging_2081/klagomålsmail/A 42040-2023 FSC-klagomål mail.docx", "A 42040-2023")</f>
        <v/>
      </c>
      <c r="X68">
        <f>HYPERLINK("https://klasma.github.io/Logging_2081/tillsyn/A 42040-2023 tillsynsbegäran.docx", "A 42040-2023")</f>
        <v/>
      </c>
      <c r="Y68">
        <f>HYPERLINK("https://klasma.github.io/Logging_2081/tillsynsmail/A 42040-2023 tillsynsbegäran mail.docx", "A 42040-2023")</f>
        <v/>
      </c>
    </row>
    <row r="69" ht="15" customHeight="1">
      <c r="A69" t="inlineStr">
        <is>
          <t>A 3006-2025</t>
        </is>
      </c>
      <c r="B69" s="1" t="n">
        <v>45678.55945601852</v>
      </c>
      <c r="C69" s="1" t="n">
        <v>46038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HYPERLINK("https://klasma.github.io/Logging_2081/artfynd/A 3006-2025 artfynd.xlsx", "A 3006-2025")</f>
        <v/>
      </c>
      <c r="T69">
        <f>HYPERLINK("https://klasma.github.io/Logging_2081/kartor/A 3006-2025 karta.png", "A 3006-2025")</f>
        <v/>
      </c>
      <c r="V69">
        <f>HYPERLINK("https://klasma.github.io/Logging_2081/klagomål/A 3006-2025 FSC-klagomål.docx", "A 3006-2025")</f>
        <v/>
      </c>
      <c r="W69">
        <f>HYPERLINK("https://klasma.github.io/Logging_2081/klagomålsmail/A 3006-2025 FSC-klagomål mail.docx", "A 3006-2025")</f>
        <v/>
      </c>
      <c r="X69">
        <f>HYPERLINK("https://klasma.github.io/Logging_2081/tillsyn/A 3006-2025 tillsynsbegäran.docx", "A 3006-2025")</f>
        <v/>
      </c>
      <c r="Y69">
        <f>HYPERLINK("https://klasma.github.io/Logging_2081/tillsynsmail/A 3006-2025 tillsynsbegäran mail.docx", "A 3006-2025")</f>
        <v/>
      </c>
    </row>
    <row r="70" ht="15" customHeight="1">
      <c r="A70" t="inlineStr">
        <is>
          <t>A 38708-2021</t>
        </is>
      </c>
      <c r="B70" s="1" t="n">
        <v>44410</v>
      </c>
      <c r="C70" s="1" t="n">
        <v>46038</v>
      </c>
      <c r="D70" t="inlineStr">
        <is>
          <t>DALARNAS LÄN</t>
        </is>
      </c>
      <c r="E70" t="inlineStr">
        <is>
          <t>BORLÄNGE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HYPERLINK("https://klasma.github.io/Logging_2081/artfynd/A 38708-2021 artfynd.xlsx", "A 38708-2021")</f>
        <v/>
      </c>
      <c r="T70">
        <f>HYPERLINK("https://klasma.github.io/Logging_2081/kartor/A 38708-2021 karta.png", "A 38708-2021")</f>
        <v/>
      </c>
      <c r="V70">
        <f>HYPERLINK("https://klasma.github.io/Logging_2081/klagomål/A 38708-2021 FSC-klagomål.docx", "A 38708-2021")</f>
        <v/>
      </c>
      <c r="W70">
        <f>HYPERLINK("https://klasma.github.io/Logging_2081/klagomålsmail/A 38708-2021 FSC-klagomål mail.docx", "A 38708-2021")</f>
        <v/>
      </c>
      <c r="X70">
        <f>HYPERLINK("https://klasma.github.io/Logging_2081/tillsyn/A 38708-2021 tillsynsbegäran.docx", "A 38708-2021")</f>
        <v/>
      </c>
      <c r="Y70">
        <f>HYPERLINK("https://klasma.github.io/Logging_2081/tillsynsmail/A 38708-2021 tillsynsbegäran mail.docx", "A 38708-2021")</f>
        <v/>
      </c>
    </row>
    <row r="71" ht="15" customHeight="1">
      <c r="A71" t="inlineStr">
        <is>
          <t>A 51417-2025</t>
        </is>
      </c>
      <c r="B71" s="1" t="n">
        <v>45950.51105324074</v>
      </c>
      <c r="C71" s="1" t="n">
        <v>46038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Dolkstekelsglasvinge</t>
        </is>
      </c>
      <c r="S71">
        <f>HYPERLINK("https://klasma.github.io/Logging_2081/artfynd/A 51417-2025 artfynd.xlsx", "A 51417-2025")</f>
        <v/>
      </c>
      <c r="T71">
        <f>HYPERLINK("https://klasma.github.io/Logging_2081/kartor/A 51417-2025 karta.png", "A 51417-2025")</f>
        <v/>
      </c>
      <c r="V71">
        <f>HYPERLINK("https://klasma.github.io/Logging_2081/klagomål/A 51417-2025 FSC-klagomål.docx", "A 51417-2025")</f>
        <v/>
      </c>
      <c r="W71">
        <f>HYPERLINK("https://klasma.github.io/Logging_2081/klagomålsmail/A 51417-2025 FSC-klagomål mail.docx", "A 51417-2025")</f>
        <v/>
      </c>
      <c r="X71">
        <f>HYPERLINK("https://klasma.github.io/Logging_2081/tillsyn/A 51417-2025 tillsynsbegäran.docx", "A 51417-2025")</f>
        <v/>
      </c>
      <c r="Y71">
        <f>HYPERLINK("https://klasma.github.io/Logging_2081/tillsynsmail/A 51417-2025 tillsynsbegäran mail.docx", "A 51417-2025")</f>
        <v/>
      </c>
    </row>
    <row r="72" ht="15" customHeight="1">
      <c r="A72" t="inlineStr">
        <is>
          <t>A 52613-2025</t>
        </is>
      </c>
      <c r="B72" s="1" t="n">
        <v>45954.67348379629</v>
      </c>
      <c r="C72" s="1" t="n">
        <v>46038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52613-2025 artfynd.xlsx", "A 52613-2025")</f>
        <v/>
      </c>
      <c r="T72">
        <f>HYPERLINK("https://klasma.github.io/Logging_2081/kartor/A 52613-2025 karta.png", "A 52613-2025")</f>
        <v/>
      </c>
      <c r="U72">
        <f>HYPERLINK("https://klasma.github.io/Logging_2081/knärot/A 52613-2025 karta knärot.png", "A 52613-2025")</f>
        <v/>
      </c>
      <c r="V72">
        <f>HYPERLINK("https://klasma.github.io/Logging_2081/klagomål/A 52613-2025 FSC-klagomål.docx", "A 52613-2025")</f>
        <v/>
      </c>
      <c r="W72">
        <f>HYPERLINK("https://klasma.github.io/Logging_2081/klagomålsmail/A 52613-2025 FSC-klagomål mail.docx", "A 52613-2025")</f>
        <v/>
      </c>
      <c r="X72">
        <f>HYPERLINK("https://klasma.github.io/Logging_2081/tillsyn/A 52613-2025 tillsynsbegäran.docx", "A 52613-2025")</f>
        <v/>
      </c>
      <c r="Y72">
        <f>HYPERLINK("https://klasma.github.io/Logging_2081/tillsynsmail/A 52613-2025 tillsynsbegäran mail.docx", "A 52613-2025")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46038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46038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410-2026</t>
        </is>
      </c>
      <c r="B75" s="1" t="n">
        <v>46028.69642361111</v>
      </c>
      <c r="C75" s="1" t="n">
        <v>46038</v>
      </c>
      <c r="D75" t="inlineStr">
        <is>
          <t>DALARNAS LÄN</t>
        </is>
      </c>
      <c r="E75" t="inlineStr">
        <is>
          <t>BORLÄNGE</t>
        </is>
      </c>
      <c r="G75" t="n">
        <v>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HYPERLINK("https://klasma.github.io/Logging_2081/artfynd/A 410-2026 artfynd.xlsx", "A 410-2026")</f>
        <v/>
      </c>
      <c r="T75">
        <f>HYPERLINK("https://klasma.github.io/Logging_2081/kartor/A 410-2026 karta.png", "A 410-2026")</f>
        <v/>
      </c>
      <c r="V75">
        <f>HYPERLINK("https://klasma.github.io/Logging_2081/klagomål/A 410-2026 FSC-klagomål.docx", "A 410-2026")</f>
        <v/>
      </c>
      <c r="W75">
        <f>HYPERLINK("https://klasma.github.io/Logging_2081/klagomålsmail/A 410-2026 FSC-klagomål mail.docx", "A 410-2026")</f>
        <v/>
      </c>
      <c r="X75">
        <f>HYPERLINK("https://klasma.github.io/Logging_2081/tillsyn/A 410-2026 tillsynsbegäran.docx", "A 410-2026")</f>
        <v/>
      </c>
      <c r="Y75">
        <f>HYPERLINK("https://klasma.github.io/Logging_2081/tillsynsmail/A 410-2026 tillsynsbegäran mail.docx", "A 410-2026")</f>
        <v/>
      </c>
    </row>
    <row r="76" ht="15" customHeight="1">
      <c r="A76" t="inlineStr">
        <is>
          <t>A 431-2026</t>
        </is>
      </c>
      <c r="B76" s="1" t="n">
        <v>46029.30613425926</v>
      </c>
      <c r="C76" s="1" t="n">
        <v>46038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HYPERLINK("https://klasma.github.io/Logging_2081/artfynd/A 431-2026 artfynd.xlsx", "A 431-2026")</f>
        <v/>
      </c>
      <c r="T76">
        <f>HYPERLINK("https://klasma.github.io/Logging_2081/kartor/A 431-2026 karta.png", "A 431-2026")</f>
        <v/>
      </c>
      <c r="V76">
        <f>HYPERLINK("https://klasma.github.io/Logging_2081/klagomål/A 431-2026 FSC-klagomål.docx", "A 431-2026")</f>
        <v/>
      </c>
      <c r="W76">
        <f>HYPERLINK("https://klasma.github.io/Logging_2081/klagomålsmail/A 431-2026 FSC-klagomål mail.docx", "A 431-2026")</f>
        <v/>
      </c>
      <c r="X76">
        <f>HYPERLINK("https://klasma.github.io/Logging_2081/tillsyn/A 431-2026 tillsynsbegäran.docx", "A 431-2026")</f>
        <v/>
      </c>
      <c r="Y76">
        <f>HYPERLINK("https://klasma.github.io/Logging_2081/tillsynsmail/A 431-2026 tillsynsbegäran mail.docx", "A 431-2026")</f>
        <v/>
      </c>
    </row>
    <row r="77" ht="15" customHeight="1">
      <c r="A77" t="inlineStr">
        <is>
          <t>A 755-2026</t>
        </is>
      </c>
      <c r="B77" s="1" t="n">
        <v>46029.68619212963</v>
      </c>
      <c r="C77" s="1" t="n">
        <v>46038</v>
      </c>
      <c r="D77" t="inlineStr">
        <is>
          <t>DALARNAS LÄN</t>
        </is>
      </c>
      <c r="E77" t="inlineStr">
        <is>
          <t>BORLÄNGE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755-2026 artfynd.xlsx", "A 755-2026")</f>
        <v/>
      </c>
      <c r="T77">
        <f>HYPERLINK("https://klasma.github.io/Logging_2081/kartor/A 755-2026 karta.png", "A 755-2026")</f>
        <v/>
      </c>
      <c r="U77">
        <f>HYPERLINK("https://klasma.github.io/Logging_2081/knärot/A 755-2026 karta knärot.png", "A 755-2026")</f>
        <v/>
      </c>
      <c r="V77">
        <f>HYPERLINK("https://klasma.github.io/Logging_2081/klagomål/A 755-2026 FSC-klagomål.docx", "A 755-2026")</f>
        <v/>
      </c>
      <c r="W77">
        <f>HYPERLINK("https://klasma.github.io/Logging_2081/klagomålsmail/A 755-2026 FSC-klagomål mail.docx", "A 755-2026")</f>
        <v/>
      </c>
      <c r="X77">
        <f>HYPERLINK("https://klasma.github.io/Logging_2081/tillsyn/A 755-2026 tillsynsbegäran.docx", "A 755-2026")</f>
        <v/>
      </c>
      <c r="Y77">
        <f>HYPERLINK("https://klasma.github.io/Logging_2081/tillsynsmail/A 755-2026 tillsynsbegäran mail.docx", "A 755-2026")</f>
        <v/>
      </c>
    </row>
    <row r="78" ht="15" customHeight="1">
      <c r="A78" t="inlineStr">
        <is>
          <t>A 1843-2026</t>
        </is>
      </c>
      <c r="B78" s="1" t="n">
        <v>46035.40274305556</v>
      </c>
      <c r="C78" s="1" t="n">
        <v>46038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HYPERLINK("https://klasma.github.io/Logging_2081/artfynd/A 1843-2026 artfynd.xlsx", "A 1843-2026")</f>
        <v/>
      </c>
      <c r="T78">
        <f>HYPERLINK("https://klasma.github.io/Logging_2081/kartor/A 1843-2026 karta.png", "A 1843-2026")</f>
        <v/>
      </c>
      <c r="V78">
        <f>HYPERLINK("https://klasma.github.io/Logging_2081/klagomål/A 1843-2026 FSC-klagomål.docx", "A 1843-2026")</f>
        <v/>
      </c>
      <c r="W78">
        <f>HYPERLINK("https://klasma.github.io/Logging_2081/klagomålsmail/A 1843-2026 FSC-klagomål mail.docx", "A 1843-2026")</f>
        <v/>
      </c>
      <c r="X78">
        <f>HYPERLINK("https://klasma.github.io/Logging_2081/tillsyn/A 1843-2026 tillsynsbegäran.docx", "A 1843-2026")</f>
        <v/>
      </c>
      <c r="Y78">
        <f>HYPERLINK("https://klasma.github.io/Logging_2081/tillsynsmail/A 1843-2026 tillsynsbegäran mail.docx", "A 1843-2026")</f>
        <v/>
      </c>
    </row>
    <row r="79" ht="15" customHeight="1">
      <c r="A79" t="inlineStr">
        <is>
          <t>A 2303-2026</t>
        </is>
      </c>
      <c r="B79" s="1" t="n">
        <v>46036.59011574074</v>
      </c>
      <c r="C79" s="1" t="n">
        <v>46038</v>
      </c>
      <c r="D79" t="inlineStr">
        <is>
          <t>DALARNAS LÄN</t>
        </is>
      </c>
      <c r="E79" t="inlineStr">
        <is>
          <t>BORLÄNGE</t>
        </is>
      </c>
      <c r="G79" t="n">
        <v>6.8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HYPERLINK("https://klasma.github.io/Logging_2081/artfynd/A 2303-2026 artfynd.xlsx", "A 2303-2026")</f>
        <v/>
      </c>
      <c r="T79">
        <f>HYPERLINK("https://klasma.github.io/Logging_2081/kartor/A 2303-2026 karta.png", "A 2303-2026")</f>
        <v/>
      </c>
      <c r="V79">
        <f>HYPERLINK("https://klasma.github.io/Logging_2081/klagomål/A 2303-2026 FSC-klagomål.docx", "A 2303-2026")</f>
        <v/>
      </c>
      <c r="W79">
        <f>HYPERLINK("https://klasma.github.io/Logging_2081/klagomålsmail/A 2303-2026 FSC-klagomål mail.docx", "A 2303-2026")</f>
        <v/>
      </c>
      <c r="X79">
        <f>HYPERLINK("https://klasma.github.io/Logging_2081/tillsyn/A 2303-2026 tillsynsbegäran.docx", "A 2303-2026")</f>
        <v/>
      </c>
      <c r="Y79">
        <f>HYPERLINK("https://klasma.github.io/Logging_2081/tillsynsmail/A 2303-2026 tillsynsbegäran mail.docx", "A 2303-2026")</f>
        <v/>
      </c>
    </row>
    <row r="80" ht="15" customHeight="1">
      <c r="A80" t="inlineStr">
        <is>
          <t>A 2342-2026</t>
        </is>
      </c>
      <c r="B80" s="1" t="n">
        <v>46036.62027777778</v>
      </c>
      <c r="C80" s="1" t="n">
        <v>46038</v>
      </c>
      <c r="D80" t="inlineStr">
        <is>
          <t>DALARNAS LÄN</t>
        </is>
      </c>
      <c r="E80" t="inlineStr">
        <is>
          <t>BORLÄNGE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2342-2026 artfynd.xlsx", "A 2342-2026")</f>
        <v/>
      </c>
      <c r="T80">
        <f>HYPERLINK("https://klasma.github.io/Logging_2081/kartor/A 2342-2026 karta.png", "A 2342-2026")</f>
        <v/>
      </c>
      <c r="U80">
        <f>HYPERLINK("https://klasma.github.io/Logging_2081/knärot/A 2342-2026 karta knärot.png", "A 2342-2026")</f>
        <v/>
      </c>
      <c r="V80">
        <f>HYPERLINK("https://klasma.github.io/Logging_2081/klagomål/A 2342-2026 FSC-klagomål.docx", "A 2342-2026")</f>
        <v/>
      </c>
      <c r="W80">
        <f>HYPERLINK("https://klasma.github.io/Logging_2081/klagomålsmail/A 2342-2026 FSC-klagomål mail.docx", "A 2342-2026")</f>
        <v/>
      </c>
      <c r="X80">
        <f>HYPERLINK("https://klasma.github.io/Logging_2081/tillsyn/A 2342-2026 tillsynsbegäran.docx", "A 2342-2026")</f>
        <v/>
      </c>
      <c r="Y80">
        <f>HYPERLINK("https://klasma.github.io/Logging_2081/tillsynsmail/A 2342-2026 tillsynsbegäran mail.docx", "A 2342-2026")</f>
        <v/>
      </c>
    </row>
    <row r="81" ht="15" customHeight="1">
      <c r="A81" t="inlineStr">
        <is>
          <t>A 90-2026</t>
        </is>
      </c>
      <c r="B81" s="1" t="n">
        <v>46024.4859375</v>
      </c>
      <c r="C81" s="1" t="n">
        <v>46038</v>
      </c>
      <c r="D81" t="inlineStr">
        <is>
          <t>DALARNAS LÄN</t>
        </is>
      </c>
      <c r="E81" t="inlineStr">
        <is>
          <t>BORLÄNGE</t>
        </is>
      </c>
      <c r="G81" t="n">
        <v>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90-2026 artfynd.xlsx", "A 90-2026")</f>
        <v/>
      </c>
      <c r="T81">
        <f>HYPERLINK("https://klasma.github.io/Logging_2081/kartor/A 90-2026 karta.png", "A 90-2026")</f>
        <v/>
      </c>
      <c r="V81">
        <f>HYPERLINK("https://klasma.github.io/Logging_2081/klagomål/A 90-2026 FSC-klagomål.docx", "A 90-2026")</f>
        <v/>
      </c>
      <c r="W81">
        <f>HYPERLINK("https://klasma.github.io/Logging_2081/klagomålsmail/A 90-2026 FSC-klagomål mail.docx", "A 90-2026")</f>
        <v/>
      </c>
      <c r="X81">
        <f>HYPERLINK("https://klasma.github.io/Logging_2081/tillsyn/A 90-2026 tillsynsbegäran.docx", "A 90-2026")</f>
        <v/>
      </c>
      <c r="Y81">
        <f>HYPERLINK("https://klasma.github.io/Logging_2081/tillsynsmail/A 90-2026 tillsynsbegäran mail.docx", "A 90-2026")</f>
        <v/>
      </c>
    </row>
    <row r="82" ht="15" customHeight="1">
      <c r="A82" t="inlineStr">
        <is>
          <t>A 63962-2025</t>
        </is>
      </c>
      <c r="B82" s="1" t="n">
        <v>46020</v>
      </c>
      <c r="C82" s="1" t="n">
        <v>46038</v>
      </c>
      <c r="D82" t="inlineStr">
        <is>
          <t>DALARNAS LÄN</t>
        </is>
      </c>
      <c r="E82" t="inlineStr">
        <is>
          <t>BORLÄNGE</t>
        </is>
      </c>
      <c r="G82" t="n">
        <v>48.9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HYPERLINK("https://klasma.github.io/Logging_2081/artfynd/A 63962-2025 artfynd.xlsx", "A 63962-2025")</f>
        <v/>
      </c>
      <c r="T82">
        <f>HYPERLINK("https://klasma.github.io/Logging_2081/kartor/A 63962-2025 karta.png", "A 63962-2025")</f>
        <v/>
      </c>
      <c r="V82">
        <f>HYPERLINK("https://klasma.github.io/Logging_2081/klagomål/A 63962-2025 FSC-klagomål.docx", "A 63962-2025")</f>
        <v/>
      </c>
      <c r="W82">
        <f>HYPERLINK("https://klasma.github.io/Logging_2081/klagomålsmail/A 63962-2025 FSC-klagomål mail.docx", "A 63962-2025")</f>
        <v/>
      </c>
      <c r="X82">
        <f>HYPERLINK("https://klasma.github.io/Logging_2081/tillsyn/A 63962-2025 tillsynsbegäran.docx", "A 63962-2025")</f>
        <v/>
      </c>
      <c r="Y82">
        <f>HYPERLINK("https://klasma.github.io/Logging_2081/tillsynsmail/A 63962-2025 tillsynsbegäran mail.docx", "A 63962-2025")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46038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24761-2025</t>
        </is>
      </c>
      <c r="B84" s="1" t="n">
        <v>45799</v>
      </c>
      <c r="C84" s="1" t="n">
        <v>46038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HYPERLINK("https://klasma.github.io/Logging_2081/artfynd/A 24761-2025 artfynd.xlsx", "A 24761-2025")</f>
        <v/>
      </c>
      <c r="T84">
        <f>HYPERLINK("https://klasma.github.io/Logging_2081/kartor/A 24761-2025 karta.png", "A 24761-2025")</f>
        <v/>
      </c>
      <c r="V84">
        <f>HYPERLINK("https://klasma.github.io/Logging_2081/klagomål/A 24761-2025 FSC-klagomål.docx", "A 24761-2025")</f>
        <v/>
      </c>
      <c r="W84">
        <f>HYPERLINK("https://klasma.github.io/Logging_2081/klagomålsmail/A 24761-2025 FSC-klagomål mail.docx", "A 24761-2025")</f>
        <v/>
      </c>
      <c r="X84">
        <f>HYPERLINK("https://klasma.github.io/Logging_2081/tillsyn/A 24761-2025 tillsynsbegäran.docx", "A 24761-2025")</f>
        <v/>
      </c>
      <c r="Y84">
        <f>HYPERLINK("https://klasma.github.io/Logging_2081/tillsynsmail/A 24761-2025 tillsynsbegäran mail.docx", "A 24761-2025")</f>
        <v/>
      </c>
    </row>
    <row r="85" ht="15" customHeight="1">
      <c r="A85" t="inlineStr">
        <is>
          <t>A 28667-2025</t>
        </is>
      </c>
      <c r="B85" s="1" t="n">
        <v>45819.66582175926</v>
      </c>
      <c r="C85" s="1" t="n">
        <v>46038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HYPERLINK("https://klasma.github.io/Logging_2081/artfynd/A 28667-2025 artfynd.xlsx", "A 28667-2025")</f>
        <v/>
      </c>
      <c r="T85">
        <f>HYPERLINK("https://klasma.github.io/Logging_2081/kartor/A 28667-2025 karta.png", "A 28667-2025")</f>
        <v/>
      </c>
      <c r="V85">
        <f>HYPERLINK("https://klasma.github.io/Logging_2081/klagomål/A 28667-2025 FSC-klagomål.docx", "A 28667-2025")</f>
        <v/>
      </c>
      <c r="W85">
        <f>HYPERLINK("https://klasma.github.io/Logging_2081/klagomålsmail/A 28667-2025 FSC-klagomål mail.docx", "A 28667-2025")</f>
        <v/>
      </c>
      <c r="X85">
        <f>HYPERLINK("https://klasma.github.io/Logging_2081/tillsyn/A 28667-2025 tillsynsbegäran.docx", "A 28667-2025")</f>
        <v/>
      </c>
      <c r="Y85">
        <f>HYPERLINK("https://klasma.github.io/Logging_2081/tillsynsmail/A 28667-2025 tillsynsbegäran mail.docx", "A 28667-2025")</f>
        <v/>
      </c>
      <c r="Z85">
        <f>HYPERLINK("https://klasma.github.io/Logging_2081/fåglar/A 28667-2025 prioriterade fågelarter.docx", "A 28667-2025")</f>
        <v/>
      </c>
    </row>
    <row r="86" ht="15" customHeight="1">
      <c r="A86" t="inlineStr">
        <is>
          <t>A 23800-2025</t>
        </is>
      </c>
      <c r="B86" s="1" t="n">
        <v>45793</v>
      </c>
      <c r="C86" s="1" t="n">
        <v>46038</v>
      </c>
      <c r="D86" t="inlineStr">
        <is>
          <t>DALARNAS LÄN</t>
        </is>
      </c>
      <c r="E86" t="inlineStr">
        <is>
          <t>BORLÄNGE</t>
        </is>
      </c>
      <c r="G86" t="n">
        <v>4.5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Sotriska</t>
        </is>
      </c>
      <c r="S86">
        <f>HYPERLINK("https://klasma.github.io/Logging_2081/artfynd/A 23800-2025 artfynd.xlsx", "A 23800-2025")</f>
        <v/>
      </c>
      <c r="T86">
        <f>HYPERLINK("https://klasma.github.io/Logging_2081/kartor/A 23800-2025 karta.png", "A 23800-2025")</f>
        <v/>
      </c>
      <c r="V86">
        <f>HYPERLINK("https://klasma.github.io/Logging_2081/klagomål/A 23800-2025 FSC-klagomål.docx", "A 23800-2025")</f>
        <v/>
      </c>
      <c r="W86">
        <f>HYPERLINK("https://klasma.github.io/Logging_2081/klagomålsmail/A 23800-2025 FSC-klagomål mail.docx", "A 23800-2025")</f>
        <v/>
      </c>
      <c r="X86">
        <f>HYPERLINK("https://klasma.github.io/Logging_2081/tillsyn/A 23800-2025 tillsynsbegäran.docx", "A 23800-2025")</f>
        <v/>
      </c>
      <c r="Y86">
        <f>HYPERLINK("https://klasma.github.io/Logging_2081/tillsynsmail/A 23800-2025 tillsynsbegäran mail.docx", "A 23800-2025")</f>
        <v/>
      </c>
    </row>
    <row r="87" ht="15" customHeight="1">
      <c r="A87" t="inlineStr">
        <is>
          <t>A 33512-2025</t>
        </is>
      </c>
      <c r="B87" s="1" t="n">
        <v>45841</v>
      </c>
      <c r="C87" s="1" t="n">
        <v>46038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33512-2025 artfynd.xlsx", "A 33512-2025")</f>
        <v/>
      </c>
      <c r="T87">
        <f>HYPERLINK("https://klasma.github.io/Logging_2081/kartor/A 33512-2025 karta.png", "A 33512-2025")</f>
        <v/>
      </c>
      <c r="U87">
        <f>HYPERLINK("https://klasma.github.io/Logging_2081/knärot/A 33512-2025 karta knärot.png", "A 33512-2025")</f>
        <v/>
      </c>
      <c r="V87">
        <f>HYPERLINK("https://klasma.github.io/Logging_2081/klagomål/A 33512-2025 FSC-klagomål.docx", "A 33512-2025")</f>
        <v/>
      </c>
      <c r="W87">
        <f>HYPERLINK("https://klasma.github.io/Logging_2081/klagomålsmail/A 33512-2025 FSC-klagomål mail.docx", "A 33512-2025")</f>
        <v/>
      </c>
      <c r="X87">
        <f>HYPERLINK("https://klasma.github.io/Logging_2081/tillsyn/A 33512-2025 tillsynsbegäran.docx", "A 33512-2025")</f>
        <v/>
      </c>
      <c r="Y87">
        <f>HYPERLINK("https://klasma.github.io/Logging_2081/tillsynsmail/A 33512-2025 tillsynsbegäran mail.docx", "A 33512-2025")</f>
        <v/>
      </c>
    </row>
    <row r="88" ht="15" customHeight="1">
      <c r="A88" t="inlineStr">
        <is>
          <t>A 35389-2022</t>
        </is>
      </c>
      <c r="B88" s="1" t="n">
        <v>44798</v>
      </c>
      <c r="C88" s="1" t="n">
        <v>46038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35389-2022 artfynd.xlsx", "A 35389-2022")</f>
        <v/>
      </c>
      <c r="T88">
        <f>HYPERLINK("https://klasma.github.io/Logging_2081/kartor/A 35389-2022 karta.png", "A 35389-2022")</f>
        <v/>
      </c>
      <c r="V88">
        <f>HYPERLINK("https://klasma.github.io/Logging_2081/klagomål/A 35389-2022 FSC-klagomål.docx", "A 35389-2022")</f>
        <v/>
      </c>
      <c r="W88">
        <f>HYPERLINK("https://klasma.github.io/Logging_2081/klagomålsmail/A 35389-2022 FSC-klagomål mail.docx", "A 35389-2022")</f>
        <v/>
      </c>
      <c r="X88">
        <f>HYPERLINK("https://klasma.github.io/Logging_2081/tillsyn/A 35389-2022 tillsynsbegäran.docx", "A 35389-2022")</f>
        <v/>
      </c>
      <c r="Y88">
        <f>HYPERLINK("https://klasma.github.io/Logging_2081/tillsynsmail/A 35389-2022 tillsynsbegäran mail.docx", "A 35389-2022")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46038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46038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46038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46038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10421-2022</t>
        </is>
      </c>
      <c r="B93" s="1" t="n">
        <v>44623</v>
      </c>
      <c r="C93" s="1" t="n">
        <v>46038</v>
      </c>
      <c r="D93" t="inlineStr">
        <is>
          <t>DALARNAS LÄN</t>
        </is>
      </c>
      <c r="E93" t="inlineStr">
        <is>
          <t>BORLÄNGE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35592-2022</t>
        </is>
      </c>
      <c r="B94" s="1" t="n">
        <v>44799</v>
      </c>
      <c r="C94" s="1" t="n">
        <v>46038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18393-2021</t>
        </is>
      </c>
      <c r="B95" s="1" t="n">
        <v>44305</v>
      </c>
      <c r="C95" s="1" t="n">
        <v>46038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15979-2021</t>
        </is>
      </c>
      <c r="B96" s="1" t="n">
        <v>44287</v>
      </c>
      <c r="C96" s="1" t="n">
        <v>46038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50259-2021</t>
        </is>
      </c>
      <c r="B97" s="1" t="n">
        <v>44458.91336805555</v>
      </c>
      <c r="C97" s="1" t="n">
        <v>46038</v>
      </c>
      <c r="D97" t="inlineStr">
        <is>
          <t>DALARNAS LÄN</t>
        </is>
      </c>
      <c r="E97" t="inlineStr">
        <is>
          <t>BORLÄNGE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15786-2021</t>
        </is>
      </c>
      <c r="B98" s="1" t="n">
        <v>44286</v>
      </c>
      <c r="C98" s="1" t="n">
        <v>46038</v>
      </c>
      <c r="D98" t="inlineStr">
        <is>
          <t>DALARNAS LÄN</t>
        </is>
      </c>
      <c r="E98" t="inlineStr">
        <is>
          <t>BORLÄNGE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24426-2021</t>
        </is>
      </c>
      <c r="B99" s="1" t="n">
        <v>44337.55547453704</v>
      </c>
      <c r="C99" s="1" t="n">
        <v>46038</v>
      </c>
      <c r="D99" t="inlineStr">
        <is>
          <t>DALARNAS LÄN</t>
        </is>
      </c>
      <c r="E99" t="inlineStr">
        <is>
          <t>BORLÄNGE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37534-2021</t>
        </is>
      </c>
      <c r="B100" s="1" t="n">
        <v>44399</v>
      </c>
      <c r="C100" s="1" t="n">
        <v>46038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18600-2022</t>
        </is>
      </c>
      <c r="B101" s="1" t="n">
        <v>44687.38893518518</v>
      </c>
      <c r="C101" s="1" t="n">
        <v>46038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27424-2022</t>
        </is>
      </c>
      <c r="B102" s="1" t="n">
        <v>44742.52768518519</v>
      </c>
      <c r="C102" s="1" t="n">
        <v>46038</v>
      </c>
      <c r="D102" t="inlineStr">
        <is>
          <t>DALARNAS LÄN</t>
        </is>
      </c>
      <c r="E102" t="inlineStr">
        <is>
          <t>BORLÄNGE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25895-2022</t>
        </is>
      </c>
      <c r="B103" s="1" t="n">
        <v>44733</v>
      </c>
      <c r="C103" s="1" t="n">
        <v>46038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46038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46038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46038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32201-2021</t>
        </is>
      </c>
      <c r="B107" s="1" t="n">
        <v>44371</v>
      </c>
      <c r="C107" s="1" t="n">
        <v>46038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36269-2021</t>
        </is>
      </c>
      <c r="B108" s="1" t="n">
        <v>44389</v>
      </c>
      <c r="C108" s="1" t="n">
        <v>46038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16767-2022</t>
        </is>
      </c>
      <c r="B109" s="1" t="n">
        <v>44673</v>
      </c>
      <c r="C109" s="1" t="n">
        <v>46038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19047-2022</t>
        </is>
      </c>
      <c r="B110" s="1" t="n">
        <v>44691.40365740741</v>
      </c>
      <c r="C110" s="1" t="n">
        <v>46038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44422-2021</t>
        </is>
      </c>
      <c r="B111" s="1" t="n">
        <v>44435.51628472222</v>
      </c>
      <c r="C111" s="1" t="n">
        <v>46038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42732-2022</t>
        </is>
      </c>
      <c r="B112" s="1" t="n">
        <v>44832</v>
      </c>
      <c r="C112" s="1" t="n">
        <v>46038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14432-2021</t>
        </is>
      </c>
      <c r="B113" s="1" t="n">
        <v>44279</v>
      </c>
      <c r="C113" s="1" t="n">
        <v>46038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52681-2021</t>
        </is>
      </c>
      <c r="B114" s="1" t="n">
        <v>44466</v>
      </c>
      <c r="C114" s="1" t="n">
        <v>46038</v>
      </c>
      <c r="D114" t="inlineStr">
        <is>
          <t>DALARNAS LÄN</t>
        </is>
      </c>
      <c r="E114" t="inlineStr">
        <is>
          <t>BORLÄNGE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32977-2021</t>
        </is>
      </c>
      <c r="B115" s="1" t="n">
        <v>44376</v>
      </c>
      <c r="C115" s="1" t="n">
        <v>46038</v>
      </c>
      <c r="D115" t="inlineStr">
        <is>
          <t>DALARNAS LÄN</t>
        </is>
      </c>
      <c r="E115" t="inlineStr">
        <is>
          <t>BORLÄNGE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37535-2021</t>
        </is>
      </c>
      <c r="B116" s="1" t="n">
        <v>44399</v>
      </c>
      <c r="C116" s="1" t="n">
        <v>46038</v>
      </c>
      <c r="D116" t="inlineStr">
        <is>
          <t>DALARNAS LÄN</t>
        </is>
      </c>
      <c r="E116" t="inlineStr">
        <is>
          <t>BORLÄNGE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46038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62976-2021</t>
        </is>
      </c>
      <c r="B118" s="1" t="n">
        <v>44505</v>
      </c>
      <c r="C118" s="1" t="n">
        <v>46038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28362-2022</t>
        </is>
      </c>
      <c r="B119" s="1" t="n">
        <v>44747.4846875</v>
      </c>
      <c r="C119" s="1" t="n">
        <v>46038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51308-2021</t>
        </is>
      </c>
      <c r="B120" s="1" t="n">
        <v>44461</v>
      </c>
      <c r="C120" s="1" t="n">
        <v>46038</v>
      </c>
      <c r="D120" t="inlineStr">
        <is>
          <t>DALARNAS LÄN</t>
        </is>
      </c>
      <c r="E120" t="inlineStr">
        <is>
          <t>BORLÄNGE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15818-2022</t>
        </is>
      </c>
      <c r="B121" s="1" t="n">
        <v>44664.33770833333</v>
      </c>
      <c r="C121" s="1" t="n">
        <v>46038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11435-2022</t>
        </is>
      </c>
      <c r="B122" s="1" t="n">
        <v>44630.62027777778</v>
      </c>
      <c r="C122" s="1" t="n">
        <v>46038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16320-2022</t>
        </is>
      </c>
      <c r="B123" s="1" t="n">
        <v>44670.61141203704</v>
      </c>
      <c r="C123" s="1" t="n">
        <v>46038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46038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46038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59759-2021</t>
        </is>
      </c>
      <c r="B126" s="1" t="n">
        <v>44494</v>
      </c>
      <c r="C126" s="1" t="n">
        <v>46038</v>
      </c>
      <c r="D126" t="inlineStr">
        <is>
          <t>DALARNAS LÄN</t>
        </is>
      </c>
      <c r="E126" t="inlineStr">
        <is>
          <t>BORLÄNGE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18715-2021</t>
        </is>
      </c>
      <c r="B127" s="1" t="n">
        <v>44307.38413194445</v>
      </c>
      <c r="C127" s="1" t="n">
        <v>46038</v>
      </c>
      <c r="D127" t="inlineStr">
        <is>
          <t>DALARNAS LÄN</t>
        </is>
      </c>
      <c r="E127" t="inlineStr">
        <is>
          <t>BORLÄNGE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46038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59764-2021</t>
        </is>
      </c>
      <c r="B129" s="1" t="n">
        <v>44494</v>
      </c>
      <c r="C129" s="1" t="n">
        <v>46038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46038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46038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46038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16413-2021</t>
        </is>
      </c>
      <c r="B133" s="1" t="n">
        <v>44293</v>
      </c>
      <c r="C133" s="1" t="n">
        <v>46038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58237-2021</t>
        </is>
      </c>
      <c r="B134" s="1" t="n">
        <v>44487</v>
      </c>
      <c r="C134" s="1" t="n">
        <v>46038</v>
      </c>
      <c r="D134" t="inlineStr">
        <is>
          <t>DALARNAS LÄN</t>
        </is>
      </c>
      <c r="E134" t="inlineStr">
        <is>
          <t>BORLÄNGE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46038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46038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46038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46038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46038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34323-2022</t>
        </is>
      </c>
      <c r="B140" s="1" t="n">
        <v>44792</v>
      </c>
      <c r="C140" s="1" t="n">
        <v>46038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36759-2022</t>
        </is>
      </c>
      <c r="B141" s="1" t="n">
        <v>44805</v>
      </c>
      <c r="C141" s="1" t="n">
        <v>46038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46038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35357-2022</t>
        </is>
      </c>
      <c r="B143" s="1" t="n">
        <v>44798</v>
      </c>
      <c r="C143" s="1" t="n">
        <v>46038</v>
      </c>
      <c r="D143" t="inlineStr">
        <is>
          <t>DALARNAS LÄN</t>
        </is>
      </c>
      <c r="E143" t="inlineStr">
        <is>
          <t>BORLÄNGE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3978-2022</t>
        </is>
      </c>
      <c r="B144" s="1" t="n">
        <v>44587</v>
      </c>
      <c r="C144" s="1" t="n">
        <v>46038</v>
      </c>
      <c r="D144" t="inlineStr">
        <is>
          <t>DALARNAS LÄN</t>
        </is>
      </c>
      <c r="E144" t="inlineStr">
        <is>
          <t>BORLÄNGE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46038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46038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35593-2022</t>
        </is>
      </c>
      <c r="B147" s="1" t="n">
        <v>44799</v>
      </c>
      <c r="C147" s="1" t="n">
        <v>46038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49737-2021</t>
        </is>
      </c>
      <c r="B148" s="1" t="n">
        <v>44454</v>
      </c>
      <c r="C148" s="1" t="n">
        <v>46038</v>
      </c>
      <c r="D148" t="inlineStr">
        <is>
          <t>DALARNAS LÄN</t>
        </is>
      </c>
      <c r="E148" t="inlineStr">
        <is>
          <t>BORLÄNGE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46038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72647-2021</t>
        </is>
      </c>
      <c r="B150" s="1" t="n">
        <v>44546.58559027778</v>
      </c>
      <c r="C150" s="1" t="n">
        <v>46038</v>
      </c>
      <c r="D150" t="inlineStr">
        <is>
          <t>DALARNAS LÄN</t>
        </is>
      </c>
      <c r="E150" t="inlineStr">
        <is>
          <t>BORLÄNGE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46038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24992-2021</t>
        </is>
      </c>
      <c r="B152" s="1" t="n">
        <v>44341</v>
      </c>
      <c r="C152" s="1" t="n">
        <v>46038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44337.3552662037</v>
      </c>
      <c r="C153" s="1" t="n">
        <v>46038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46038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46038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46038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44341.47728009259</v>
      </c>
      <c r="C157" s="1" t="n">
        <v>46038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30162-2024</t>
        </is>
      </c>
      <c r="B158" s="1" t="n">
        <v>45489.65583333333</v>
      </c>
      <c r="C158" s="1" t="n">
        <v>46038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44273.52013888889</v>
      </c>
      <c r="C159" s="1" t="n">
        <v>46038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46038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10774-2024</t>
        </is>
      </c>
      <c r="B161" s="1" t="n">
        <v>45369.58125</v>
      </c>
      <c r="C161" s="1" t="n">
        <v>46038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3964-2021</t>
        </is>
      </c>
      <c r="B162" s="1" t="n">
        <v>44222</v>
      </c>
      <c r="C162" s="1" t="n">
        <v>46038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35237-2021</t>
        </is>
      </c>
      <c r="B163" s="1" t="n">
        <v>44384</v>
      </c>
      <c r="C163" s="1" t="n">
        <v>46038</v>
      </c>
      <c r="D163" t="inlineStr">
        <is>
          <t>DALARNAS LÄN</t>
        </is>
      </c>
      <c r="E163" t="inlineStr">
        <is>
          <t>BORLÄNGE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2454-2022</t>
        </is>
      </c>
      <c r="B164" s="1" t="n">
        <v>44579</v>
      </c>
      <c r="C164" s="1" t="n">
        <v>46038</v>
      </c>
      <c r="D164" t="inlineStr">
        <is>
          <t>DALARNAS LÄN</t>
        </is>
      </c>
      <c r="E164" t="inlineStr">
        <is>
          <t>BORLÄNGE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422-2023</t>
        </is>
      </c>
      <c r="B165" s="1" t="n">
        <v>44929.6525</v>
      </c>
      <c r="C165" s="1" t="n">
        <v>46038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49938-2023</t>
        </is>
      </c>
      <c r="B166" s="1" t="n">
        <v>45215</v>
      </c>
      <c r="C166" s="1" t="n">
        <v>46038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5529-2025</t>
        </is>
      </c>
      <c r="B167" s="1" t="n">
        <v>45693.43435185185</v>
      </c>
      <c r="C167" s="1" t="n">
        <v>46038</v>
      </c>
      <c r="D167" t="inlineStr">
        <is>
          <t>DALARNAS LÄN</t>
        </is>
      </c>
      <c r="E167" t="inlineStr">
        <is>
          <t>BORLÄNGE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46038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36214-2024</t>
        </is>
      </c>
      <c r="B169" s="1" t="n">
        <v>45534.46560185185</v>
      </c>
      <c r="C169" s="1" t="n">
        <v>46038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36217-2024</t>
        </is>
      </c>
      <c r="B170" s="1" t="n">
        <v>45534.46862268518</v>
      </c>
      <c r="C170" s="1" t="n">
        <v>46038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17510-2022</t>
        </is>
      </c>
      <c r="B171" s="1" t="n">
        <v>44679.54954861111</v>
      </c>
      <c r="C171" s="1" t="n">
        <v>46038</v>
      </c>
      <c r="D171" t="inlineStr">
        <is>
          <t>DALARNAS LÄN</t>
        </is>
      </c>
      <c r="E171" t="inlineStr">
        <is>
          <t>BORLÄNGE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58903-2023</t>
        </is>
      </c>
      <c r="B172" s="1" t="n">
        <v>45252.50012731482</v>
      </c>
      <c r="C172" s="1" t="n">
        <v>46038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43662-2022</t>
        </is>
      </c>
      <c r="B173" s="1" t="n">
        <v>44837</v>
      </c>
      <c r="C173" s="1" t="n">
        <v>46038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62080-2024</t>
        </is>
      </c>
      <c r="B174" s="1" t="n">
        <v>45656.42575231481</v>
      </c>
      <c r="C174" s="1" t="n">
        <v>46038</v>
      </c>
      <c r="D174" t="inlineStr">
        <is>
          <t>DALARNAS LÄN</t>
        </is>
      </c>
      <c r="E174" t="inlineStr">
        <is>
          <t>BORLÄNGE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33163-2022</t>
        </is>
      </c>
      <c r="B175" s="1" t="n">
        <v>44785.59181712963</v>
      </c>
      <c r="C175" s="1" t="n">
        <v>46038</v>
      </c>
      <c r="D175" t="inlineStr">
        <is>
          <t>DALARNAS LÄN</t>
        </is>
      </c>
      <c r="E175" t="inlineStr">
        <is>
          <t>BORLÄNGE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57530-2023</t>
        </is>
      </c>
      <c r="B176" s="1" t="n">
        <v>45246</v>
      </c>
      <c r="C176" s="1" t="n">
        <v>46038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558-2025</t>
        </is>
      </c>
      <c r="B177" s="1" t="n">
        <v>45664.53787037037</v>
      </c>
      <c r="C177" s="1" t="n">
        <v>46038</v>
      </c>
      <c r="D177" t="inlineStr">
        <is>
          <t>DALARNAS LÄN</t>
        </is>
      </c>
      <c r="E177" t="inlineStr">
        <is>
          <t>BORLÄNGE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46038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61195-2023</t>
        </is>
      </c>
      <c r="B179" s="1" t="n">
        <v>45264.36013888889</v>
      </c>
      <c r="C179" s="1" t="n">
        <v>46038</v>
      </c>
      <c r="D179" t="inlineStr">
        <is>
          <t>DALARNAS LÄN</t>
        </is>
      </c>
      <c r="E179" t="inlineStr">
        <is>
          <t>BORLÄNGE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1492-2025</t>
        </is>
      </c>
      <c r="B180" s="1" t="n">
        <v>45670.40074074074</v>
      </c>
      <c r="C180" s="1" t="n">
        <v>46038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28321-2024</t>
        </is>
      </c>
      <c r="B181" s="1" t="n">
        <v>45477.50732638889</v>
      </c>
      <c r="C181" s="1" t="n">
        <v>46038</v>
      </c>
      <c r="D181" t="inlineStr">
        <is>
          <t>DALARNAS LÄN</t>
        </is>
      </c>
      <c r="E181" t="inlineStr">
        <is>
          <t>BORLÄNGE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7332-2022</t>
        </is>
      </c>
      <c r="B182" s="1" t="n">
        <v>44606.54209490741</v>
      </c>
      <c r="C182" s="1" t="n">
        <v>46038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15393-2023</t>
        </is>
      </c>
      <c r="B183" s="1" t="n">
        <v>45016</v>
      </c>
      <c r="C183" s="1" t="n">
        <v>46038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46038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39574-2023</t>
        </is>
      </c>
      <c r="B185" s="1" t="n">
        <v>45167.4177199074</v>
      </c>
      <c r="C185" s="1" t="n">
        <v>46038</v>
      </c>
      <c r="D185" t="inlineStr">
        <is>
          <t>DALARNAS LÄN</t>
        </is>
      </c>
      <c r="E185" t="inlineStr">
        <is>
          <t>BORLÄNGE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70621-2021</t>
        </is>
      </c>
      <c r="B186" s="1" t="n">
        <v>44537.4658449074</v>
      </c>
      <c r="C186" s="1" t="n">
        <v>46038</v>
      </c>
      <c r="D186" t="inlineStr">
        <is>
          <t>DALARNAS LÄN</t>
        </is>
      </c>
      <c r="E186" t="inlineStr">
        <is>
          <t>BORLÄNGE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58650-2024</t>
        </is>
      </c>
      <c r="B187" s="1" t="n">
        <v>45632</v>
      </c>
      <c r="C187" s="1" t="n">
        <v>46038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12783-2024</t>
        </is>
      </c>
      <c r="B188" s="1" t="n">
        <v>45384.60384259259</v>
      </c>
      <c r="C188" s="1" t="n">
        <v>46038</v>
      </c>
      <c r="D188" t="inlineStr">
        <is>
          <t>DALARNAS LÄN</t>
        </is>
      </c>
      <c r="E188" t="inlineStr">
        <is>
          <t>BORLÄNGE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24181-2023</t>
        </is>
      </c>
      <c r="B189" s="1" t="n">
        <v>45079</v>
      </c>
      <c r="C189" s="1" t="n">
        <v>46038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22652-2024</t>
        </is>
      </c>
      <c r="B190" s="1" t="n">
        <v>45447.90041666666</v>
      </c>
      <c r="C190" s="1" t="n">
        <v>46038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28312-2022</t>
        </is>
      </c>
      <c r="B191" s="1" t="n">
        <v>44747.36041666667</v>
      </c>
      <c r="C191" s="1" t="n">
        <v>46038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61809-2022</t>
        </is>
      </c>
      <c r="B192" s="1" t="n">
        <v>44917.57221064815</v>
      </c>
      <c r="C192" s="1" t="n">
        <v>46038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28039-2023</t>
        </is>
      </c>
      <c r="B193" s="1" t="n">
        <v>45099</v>
      </c>
      <c r="C193" s="1" t="n">
        <v>46038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34783-2024</t>
        </is>
      </c>
      <c r="B194" s="1" t="n">
        <v>45526</v>
      </c>
      <c r="C194" s="1" t="n">
        <v>46038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57533-2023</t>
        </is>
      </c>
      <c r="B195" s="1" t="n">
        <v>45246</v>
      </c>
      <c r="C195" s="1" t="n">
        <v>46038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43713-2024</t>
        </is>
      </c>
      <c r="B196" s="1" t="n">
        <v>45569.60569444444</v>
      </c>
      <c r="C196" s="1" t="n">
        <v>46038</v>
      </c>
      <c r="D196" t="inlineStr">
        <is>
          <t>DALARNAS LÄN</t>
        </is>
      </c>
      <c r="E196" t="inlineStr">
        <is>
          <t>BORLÄNGE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6654-2024</t>
        </is>
      </c>
      <c r="B197" s="1" t="n">
        <v>45341.68972222223</v>
      </c>
      <c r="C197" s="1" t="n">
        <v>46038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59674-2021</t>
        </is>
      </c>
      <c r="B198" s="1" t="n">
        <v>44494</v>
      </c>
      <c r="C198" s="1" t="n">
        <v>46038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HYPERLINK("https://klasma.github.io/Logging_2081/knärot/A 59674-2021 karta knärot.png", "A 59674-2021")</f>
        <v/>
      </c>
      <c r="V198">
        <f>HYPERLINK("https://klasma.github.io/Logging_2081/klagomål/A 59674-2021 FSC-klagomål.docx", "A 59674-2021")</f>
        <v/>
      </c>
      <c r="W198">
        <f>HYPERLINK("https://klasma.github.io/Logging_2081/klagomålsmail/A 59674-2021 FSC-klagomål mail.docx", "A 59674-2021")</f>
        <v/>
      </c>
      <c r="X198">
        <f>HYPERLINK("https://klasma.github.io/Logging_2081/tillsyn/A 59674-2021 tillsynsbegäran.docx", "A 59674-2021")</f>
        <v/>
      </c>
      <c r="Y198">
        <f>HYPERLINK("https://klasma.github.io/Logging_2081/tillsynsmail/A 59674-2021 tillsynsbegäran mail.docx", "A 59674-2021")</f>
        <v/>
      </c>
    </row>
    <row r="199" ht="15" customHeight="1">
      <c r="A199" t="inlineStr">
        <is>
          <t>A 47109-2024</t>
        </is>
      </c>
      <c r="B199" s="1" t="n">
        <v>45586.55450231482</v>
      </c>
      <c r="C199" s="1" t="n">
        <v>46038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49936-2023</t>
        </is>
      </c>
      <c r="B200" s="1" t="n">
        <v>45215</v>
      </c>
      <c r="C200" s="1" t="n">
        <v>46038</v>
      </c>
      <c r="D200" t="inlineStr">
        <is>
          <t>DALARNAS LÄN</t>
        </is>
      </c>
      <c r="E200" t="inlineStr">
        <is>
          <t>BORLÄNGE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41257-2024</t>
        </is>
      </c>
      <c r="B201" s="1" t="n">
        <v>45559.58381944444</v>
      </c>
      <c r="C201" s="1" t="n">
        <v>46038</v>
      </c>
      <c r="D201" t="inlineStr">
        <is>
          <t>DALARNAS LÄN</t>
        </is>
      </c>
      <c r="E201" t="inlineStr">
        <is>
          <t>BORLÄNGE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41276-2024</t>
        </is>
      </c>
      <c r="B202" s="1" t="n">
        <v>45559.59444444445</v>
      </c>
      <c r="C202" s="1" t="n">
        <v>46038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5802-2025</t>
        </is>
      </c>
      <c r="B203" s="1" t="n">
        <v>45694.67778935185</v>
      </c>
      <c r="C203" s="1" t="n">
        <v>46038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14995-2023</t>
        </is>
      </c>
      <c r="B204" s="1" t="n">
        <v>45015</v>
      </c>
      <c r="C204" s="1" t="n">
        <v>46038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34674-2023</t>
        </is>
      </c>
      <c r="B205" s="1" t="n">
        <v>45140</v>
      </c>
      <c r="C205" s="1" t="n">
        <v>46038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10381-2023</t>
        </is>
      </c>
      <c r="B206" s="1" t="n">
        <v>44987.42900462963</v>
      </c>
      <c r="C206" s="1" t="n">
        <v>46038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51849-2022</t>
        </is>
      </c>
      <c r="B207" s="1" t="n">
        <v>44867</v>
      </c>
      <c r="C207" s="1" t="n">
        <v>46038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8309-2022</t>
        </is>
      </c>
      <c r="B208" s="1" t="n">
        <v>44610</v>
      </c>
      <c r="C208" s="1" t="n">
        <v>46038</v>
      </c>
      <c r="D208" t="inlineStr">
        <is>
          <t>DALARNAS LÄN</t>
        </is>
      </c>
      <c r="E208" t="inlineStr">
        <is>
          <t>BORLÄNGE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47318-2023</t>
        </is>
      </c>
      <c r="B209" s="1" t="n">
        <v>45202</v>
      </c>
      <c r="C209" s="1" t="n">
        <v>46038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21026-2022</t>
        </is>
      </c>
      <c r="B210" s="1" t="n">
        <v>44704.390625</v>
      </c>
      <c r="C210" s="1" t="n">
        <v>46038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31679-2023</t>
        </is>
      </c>
      <c r="B211" s="1" t="n">
        <v>45117</v>
      </c>
      <c r="C211" s="1" t="n">
        <v>46038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10689-2024</t>
        </is>
      </c>
      <c r="B212" s="1" t="n">
        <v>45369.40248842593</v>
      </c>
      <c r="C212" s="1" t="n">
        <v>46038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59772-2021</t>
        </is>
      </c>
      <c r="B213" s="1" t="n">
        <v>44494</v>
      </c>
      <c r="C213" s="1" t="n">
        <v>46038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1088-2023</t>
        </is>
      </c>
      <c r="B214" s="1" t="n">
        <v>44935</v>
      </c>
      <c r="C214" s="1" t="n">
        <v>46038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30248-2023</t>
        </is>
      </c>
      <c r="B215" s="1" t="n">
        <v>45110</v>
      </c>
      <c r="C215" s="1" t="n">
        <v>46038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30253-2023</t>
        </is>
      </c>
      <c r="B216" s="1" t="n">
        <v>45110</v>
      </c>
      <c r="C216" s="1" t="n">
        <v>46038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8554-2023</t>
        </is>
      </c>
      <c r="B217" s="1" t="n">
        <v>44977</v>
      </c>
      <c r="C217" s="1" t="n">
        <v>46038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12448-2023</t>
        </is>
      </c>
      <c r="B218" s="1" t="n">
        <v>44999</v>
      </c>
      <c r="C218" s="1" t="n">
        <v>46038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9295-2024</t>
        </is>
      </c>
      <c r="B219" s="1" t="n">
        <v>45358</v>
      </c>
      <c r="C219" s="1" t="n">
        <v>46038</v>
      </c>
      <c r="D219" t="inlineStr">
        <is>
          <t>DALARNAS LÄN</t>
        </is>
      </c>
      <c r="E219" t="inlineStr">
        <is>
          <t>BORLÄNGE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68735-2021</t>
        </is>
      </c>
      <c r="B220" s="1" t="n">
        <v>44529</v>
      </c>
      <c r="C220" s="1" t="n">
        <v>46038</v>
      </c>
      <c r="D220" t="inlineStr">
        <is>
          <t>DALARNAS LÄN</t>
        </is>
      </c>
      <c r="E220" t="inlineStr">
        <is>
          <t>BORLÄNGE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36424-2024</t>
        </is>
      </c>
      <c r="B221" s="1" t="n">
        <v>45536.67121527778</v>
      </c>
      <c r="C221" s="1" t="n">
        <v>46038</v>
      </c>
      <c r="D221" t="inlineStr">
        <is>
          <t>DALARNAS LÄN</t>
        </is>
      </c>
      <c r="E221" t="inlineStr">
        <is>
          <t>BORLÄNGE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51859-2023</t>
        </is>
      </c>
      <c r="B222" s="1" t="n">
        <v>45223.35689814815</v>
      </c>
      <c r="C222" s="1" t="n">
        <v>46038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51862-2023</t>
        </is>
      </c>
      <c r="B223" s="1" t="n">
        <v>45223</v>
      </c>
      <c r="C223" s="1" t="n">
        <v>46038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34882-2024</t>
        </is>
      </c>
      <c r="B224" s="1" t="n">
        <v>45527.35987268519</v>
      </c>
      <c r="C224" s="1" t="n">
        <v>46038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619-2024</t>
        </is>
      </c>
      <c r="B225" s="1" t="n">
        <v>45299.66493055555</v>
      </c>
      <c r="C225" s="1" t="n">
        <v>46038</v>
      </c>
      <c r="D225" t="inlineStr">
        <is>
          <t>DALARNAS LÄN</t>
        </is>
      </c>
      <c r="E225" t="inlineStr">
        <is>
          <t>BORLÄNGE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20784-2024</t>
        </is>
      </c>
      <c r="B226" s="1" t="n">
        <v>45437.55819444444</v>
      </c>
      <c r="C226" s="1" t="n">
        <v>46038</v>
      </c>
      <c r="D226" t="inlineStr">
        <is>
          <t>DALARNAS LÄN</t>
        </is>
      </c>
      <c r="E226" t="inlineStr">
        <is>
          <t>BORLÄNGE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8556-2023</t>
        </is>
      </c>
      <c r="B227" s="1" t="n">
        <v>44977</v>
      </c>
      <c r="C227" s="1" t="n">
        <v>46038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43516-2023</t>
        </is>
      </c>
      <c r="B228" s="1" t="n">
        <v>45184</v>
      </c>
      <c r="C228" s="1" t="n">
        <v>46038</v>
      </c>
      <c r="D228" t="inlineStr">
        <is>
          <t>DALARNAS LÄN</t>
        </is>
      </c>
      <c r="E228" t="inlineStr">
        <is>
          <t>BORLÄNGE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51716-2024</t>
        </is>
      </c>
      <c r="B229" s="1" t="n">
        <v>45607.37652777778</v>
      </c>
      <c r="C229" s="1" t="n">
        <v>46038</v>
      </c>
      <c r="D229" t="inlineStr">
        <is>
          <t>DALARNAS LÄN</t>
        </is>
      </c>
      <c r="E229" t="inlineStr">
        <is>
          <t>BORLÄNGE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27720-2024</t>
        </is>
      </c>
      <c r="B230" s="1" t="n">
        <v>45475.39222222222</v>
      </c>
      <c r="C230" s="1" t="n">
        <v>46038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31530-2023</t>
        </is>
      </c>
      <c r="B231" s="1" t="n">
        <v>45116</v>
      </c>
      <c r="C231" s="1" t="n">
        <v>46038</v>
      </c>
      <c r="D231" t="inlineStr">
        <is>
          <t>DALARNAS LÄN</t>
        </is>
      </c>
      <c r="E231" t="inlineStr">
        <is>
          <t>BORLÄNGE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1966-2024</t>
        </is>
      </c>
      <c r="B232" s="1" t="n">
        <v>45308</v>
      </c>
      <c r="C232" s="1" t="n">
        <v>46038</v>
      </c>
      <c r="D232" t="inlineStr">
        <is>
          <t>DALARNAS LÄN</t>
        </is>
      </c>
      <c r="E232" t="inlineStr">
        <is>
          <t>BORLÄNGE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34334-2023</t>
        </is>
      </c>
      <c r="B233" s="1" t="n">
        <v>45139</v>
      </c>
      <c r="C233" s="1" t="n">
        <v>46038</v>
      </c>
      <c r="D233" t="inlineStr">
        <is>
          <t>DALARNAS LÄN</t>
        </is>
      </c>
      <c r="E233" t="inlineStr">
        <is>
          <t>BORLÄNGE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11568-2021</t>
        </is>
      </c>
      <c r="B234" s="1" t="n">
        <v>44264.51380787037</v>
      </c>
      <c r="C234" s="1" t="n">
        <v>46038</v>
      </c>
      <c r="D234" t="inlineStr">
        <is>
          <t>DALARNAS LÄN</t>
        </is>
      </c>
      <c r="E234" t="inlineStr">
        <is>
          <t>BORLÄNGE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62214-2023</t>
        </is>
      </c>
      <c r="B235" s="1" t="n">
        <v>45267.50777777778</v>
      </c>
      <c r="C235" s="1" t="n">
        <v>46038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60518-2023</t>
        </is>
      </c>
      <c r="B236" s="1" t="n">
        <v>45259</v>
      </c>
      <c r="C236" s="1" t="n">
        <v>46038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24284-2021</t>
        </is>
      </c>
      <c r="B237" s="1" t="n">
        <v>44337.31189814815</v>
      </c>
      <c r="C237" s="1" t="n">
        <v>46038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36422-2024</t>
        </is>
      </c>
      <c r="B238" s="1" t="n">
        <v>45536.65696759259</v>
      </c>
      <c r="C238" s="1" t="n">
        <v>46038</v>
      </c>
      <c r="D238" t="inlineStr">
        <is>
          <t>DALARNAS LÄN</t>
        </is>
      </c>
      <c r="E238" t="inlineStr">
        <is>
          <t>BORLÄNGE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36423-2024</t>
        </is>
      </c>
      <c r="B239" s="1" t="n">
        <v>45536.66635416666</v>
      </c>
      <c r="C239" s="1" t="n">
        <v>46038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4785-2025</t>
        </is>
      </c>
      <c r="B240" s="1" t="n">
        <v>45688</v>
      </c>
      <c r="C240" s="1" t="n">
        <v>46038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43012-2023</t>
        </is>
      </c>
      <c r="B241" s="1" t="n">
        <v>45182.63990740741</v>
      </c>
      <c r="C241" s="1" t="n">
        <v>46038</v>
      </c>
      <c r="D241" t="inlineStr">
        <is>
          <t>DALARNAS LÄN</t>
        </is>
      </c>
      <c r="E241" t="inlineStr">
        <is>
          <t>BORLÄNGE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42612-2024</t>
        </is>
      </c>
      <c r="B242" s="1" t="n">
        <v>45565.78232638889</v>
      </c>
      <c r="C242" s="1" t="n">
        <v>46038</v>
      </c>
      <c r="D242" t="inlineStr">
        <is>
          <t>DALARNAS LÄN</t>
        </is>
      </c>
      <c r="E242" t="inlineStr">
        <is>
          <t>BORLÄNGE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38754-2023</t>
        </is>
      </c>
      <c r="B243" s="1" t="n">
        <v>45163</v>
      </c>
      <c r="C243" s="1" t="n">
        <v>46038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8017-2025</t>
        </is>
      </c>
      <c r="B244" s="1" t="n">
        <v>45707.56586805556</v>
      </c>
      <c r="C244" s="1" t="n">
        <v>46038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60152-2023</t>
        </is>
      </c>
      <c r="B245" s="1" t="n">
        <v>45258</v>
      </c>
      <c r="C245" s="1" t="n">
        <v>46038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60625-2023</t>
        </is>
      </c>
      <c r="B246" s="1" t="n">
        <v>45260.38826388889</v>
      </c>
      <c r="C246" s="1" t="n">
        <v>46038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17569-2023</t>
        </is>
      </c>
      <c r="B247" s="1" t="n">
        <v>45036</v>
      </c>
      <c r="C247" s="1" t="n">
        <v>46038</v>
      </c>
      <c r="D247" t="inlineStr">
        <is>
          <t>DALARNAS LÄN</t>
        </is>
      </c>
      <c r="E247" t="inlineStr">
        <is>
          <t>BORLÄNGE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45488-2023</t>
        </is>
      </c>
      <c r="B248" s="1" t="n">
        <v>45194</v>
      </c>
      <c r="C248" s="1" t="n">
        <v>46038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8473-2022</t>
        </is>
      </c>
      <c r="B249" s="1" t="n">
        <v>44613.34505787037</v>
      </c>
      <c r="C249" s="1" t="n">
        <v>46038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40654-2022</t>
        </is>
      </c>
      <c r="B250" s="1" t="n">
        <v>44824.35642361111</v>
      </c>
      <c r="C250" s="1" t="n">
        <v>46038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39520-2025</t>
        </is>
      </c>
      <c r="B251" s="1" t="n">
        <v>45890.43620370371</v>
      </c>
      <c r="C251" s="1" t="n">
        <v>46038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39740-2025</t>
        </is>
      </c>
      <c r="B252" s="1" t="n">
        <v>45891</v>
      </c>
      <c r="C252" s="1" t="n">
        <v>46038</v>
      </c>
      <c r="D252" t="inlineStr">
        <is>
          <t>DALARNAS LÄN</t>
        </is>
      </c>
      <c r="E252" t="inlineStr">
        <is>
          <t>BORLÄNGE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39734-2025</t>
        </is>
      </c>
      <c r="B253" s="1" t="n">
        <v>45891.36770833333</v>
      </c>
      <c r="C253" s="1" t="n">
        <v>46038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14691-2021</t>
        </is>
      </c>
      <c r="B254" s="1" t="n">
        <v>44280</v>
      </c>
      <c r="C254" s="1" t="n">
        <v>46038</v>
      </c>
      <c r="D254" t="inlineStr">
        <is>
          <t>DALARNAS LÄN</t>
        </is>
      </c>
      <c r="E254" t="inlineStr">
        <is>
          <t>BORLÄNGE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25389-2022</t>
        </is>
      </c>
      <c r="B255" s="1" t="n">
        <v>44732.41245370371</v>
      </c>
      <c r="C255" s="1" t="n">
        <v>46038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13702-2021</t>
        </is>
      </c>
      <c r="B256" s="1" t="n">
        <v>44274</v>
      </c>
      <c r="C256" s="1" t="n">
        <v>46038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61288-2021</t>
        </is>
      </c>
      <c r="B257" s="1" t="n">
        <v>44498.61825231482</v>
      </c>
      <c r="C257" s="1" t="n">
        <v>46038</v>
      </c>
      <c r="D257" t="inlineStr">
        <is>
          <t>DALARNAS LÄN</t>
        </is>
      </c>
      <c r="E257" t="inlineStr">
        <is>
          <t>BORLÄNGE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46038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45959-2024</t>
        </is>
      </c>
      <c r="B259" s="1" t="n">
        <v>45580.56954861111</v>
      </c>
      <c r="C259" s="1" t="n">
        <v>46038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60740-2024</t>
        </is>
      </c>
      <c r="B260" s="1" t="n">
        <v>45644</v>
      </c>
      <c r="C260" s="1" t="n">
        <v>46038</v>
      </c>
      <c r="D260" t="inlineStr">
        <is>
          <t>DALARNAS LÄN</t>
        </is>
      </c>
      <c r="E260" t="inlineStr">
        <is>
          <t>BORLÄNGE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60086-2023</t>
        </is>
      </c>
      <c r="B261" s="1" t="n">
        <v>45258</v>
      </c>
      <c r="C261" s="1" t="n">
        <v>46038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9442-2023</t>
        </is>
      </c>
      <c r="B262" s="1" t="n">
        <v>44981</v>
      </c>
      <c r="C262" s="1" t="n">
        <v>46038</v>
      </c>
      <c r="D262" t="inlineStr">
        <is>
          <t>DALARNAS LÄN</t>
        </is>
      </c>
      <c r="E262" t="inlineStr">
        <is>
          <t>BORLÄNGE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44896-2024</t>
        </is>
      </c>
      <c r="B263" s="1" t="n">
        <v>45575.36628472222</v>
      </c>
      <c r="C263" s="1" t="n">
        <v>46038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20814-2024</t>
        </is>
      </c>
      <c r="B264" s="1" t="n">
        <v>45439.35818287037</v>
      </c>
      <c r="C264" s="1" t="n">
        <v>46038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56350-2024</t>
        </is>
      </c>
      <c r="B265" s="1" t="n">
        <v>45624.90174768519</v>
      </c>
      <c r="C265" s="1" t="n">
        <v>46038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48606-2023</t>
        </is>
      </c>
      <c r="B266" s="1" t="n">
        <v>45208.53342592593</v>
      </c>
      <c r="C266" s="1" t="n">
        <v>46038</v>
      </c>
      <c r="D266" t="inlineStr">
        <is>
          <t>DALARNAS LÄN</t>
        </is>
      </c>
      <c r="E266" t="inlineStr">
        <is>
          <t>BORLÄNGE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42013-2025</t>
        </is>
      </c>
      <c r="B267" s="1" t="n">
        <v>45903.5753125</v>
      </c>
      <c r="C267" s="1" t="n">
        <v>46038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6803-2024</t>
        </is>
      </c>
      <c r="B268" s="1" t="n">
        <v>45342</v>
      </c>
      <c r="C268" s="1" t="n">
        <v>46038</v>
      </c>
      <c r="D268" t="inlineStr">
        <is>
          <t>DALARNAS LÄN</t>
        </is>
      </c>
      <c r="E268" t="inlineStr">
        <is>
          <t>BORLÄNGE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466-2025</t>
        </is>
      </c>
      <c r="B269" s="1" t="n">
        <v>45664.41989583334</v>
      </c>
      <c r="C269" s="1" t="n">
        <v>46038</v>
      </c>
      <c r="D269" t="inlineStr">
        <is>
          <t>DALARNAS LÄN</t>
        </is>
      </c>
      <c r="E269" t="inlineStr">
        <is>
          <t>BORLÄNGE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11087-2023</t>
        </is>
      </c>
      <c r="B270" s="1" t="n">
        <v>44992.38239583333</v>
      </c>
      <c r="C270" s="1" t="n">
        <v>46038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55735-2023</t>
        </is>
      </c>
      <c r="B271" s="1" t="n">
        <v>45239.43166666666</v>
      </c>
      <c r="C271" s="1" t="n">
        <v>46038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11136-2023</t>
        </is>
      </c>
      <c r="B272" s="1" t="n">
        <v>44992</v>
      </c>
      <c r="C272" s="1" t="n">
        <v>46038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11138-2023</t>
        </is>
      </c>
      <c r="B273" s="1" t="n">
        <v>44992</v>
      </c>
      <c r="C273" s="1" t="n">
        <v>46038</v>
      </c>
      <c r="D273" t="inlineStr">
        <is>
          <t>DALARNAS LÄN</t>
        </is>
      </c>
      <c r="E273" t="inlineStr">
        <is>
          <t>BORLÄNGE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64688-2023</t>
        </is>
      </c>
      <c r="B274" s="1" t="n">
        <v>45281</v>
      </c>
      <c r="C274" s="1" t="n">
        <v>46038</v>
      </c>
      <c r="D274" t="inlineStr">
        <is>
          <t>DALARNAS LÄN</t>
        </is>
      </c>
      <c r="E274" t="inlineStr">
        <is>
          <t>BORLÄNGE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26886-2024</t>
        </is>
      </c>
      <c r="B275" s="1" t="n">
        <v>45470</v>
      </c>
      <c r="C275" s="1" t="n">
        <v>46038</v>
      </c>
      <c r="D275" t="inlineStr">
        <is>
          <t>DALARNAS LÄN</t>
        </is>
      </c>
      <c r="E275" t="inlineStr">
        <is>
          <t>BORLÄNGE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HYPERLINK("https://klasma.github.io/Logging_2081/knärot/A 26886-2024 karta knärot.png", "A 26886-2024")</f>
        <v/>
      </c>
      <c r="V275">
        <f>HYPERLINK("https://klasma.github.io/Logging_2081/klagomål/A 26886-2024 FSC-klagomål.docx", "A 26886-2024")</f>
        <v/>
      </c>
      <c r="W275">
        <f>HYPERLINK("https://klasma.github.io/Logging_2081/klagomålsmail/A 26886-2024 FSC-klagomål mail.docx", "A 26886-2024")</f>
        <v/>
      </c>
      <c r="X275">
        <f>HYPERLINK("https://klasma.github.io/Logging_2081/tillsyn/A 26886-2024 tillsynsbegäran.docx", "A 26886-2024")</f>
        <v/>
      </c>
      <c r="Y275">
        <f>HYPERLINK("https://klasma.github.io/Logging_2081/tillsynsmail/A 26886-2024 tillsynsbegäran mail.docx", "A 26886-2024")</f>
        <v/>
      </c>
    </row>
    <row r="276" ht="15" customHeight="1">
      <c r="A276" t="inlineStr">
        <is>
          <t>A 27717-2024</t>
        </is>
      </c>
      <c r="B276" s="1" t="n">
        <v>45475.38892361111</v>
      </c>
      <c r="C276" s="1" t="n">
        <v>46038</v>
      </c>
      <c r="D276" t="inlineStr">
        <is>
          <t>DALARNAS LÄN</t>
        </is>
      </c>
      <c r="E276" t="inlineStr">
        <is>
          <t>BORLÄNGE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4682-2025</t>
        </is>
      </c>
      <c r="B277" s="1" t="n">
        <v>45687.86734953704</v>
      </c>
      <c r="C277" s="1" t="n">
        <v>46038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39377-2024</t>
        </is>
      </c>
      <c r="B278" s="1" t="n">
        <v>45551.4868287037</v>
      </c>
      <c r="C278" s="1" t="n">
        <v>46038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54420-2024</t>
        </is>
      </c>
      <c r="B279" s="1" t="n">
        <v>45617.48462962963</v>
      </c>
      <c r="C279" s="1" t="n">
        <v>46038</v>
      </c>
      <c r="D279" t="inlineStr">
        <is>
          <t>DALARNAS LÄN</t>
        </is>
      </c>
      <c r="E279" t="inlineStr">
        <is>
          <t>BORLÄNGE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5260-2025</t>
        </is>
      </c>
      <c r="B280" s="1" t="n">
        <v>45692.36865740741</v>
      </c>
      <c r="C280" s="1" t="n">
        <v>46038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42668-2024</t>
        </is>
      </c>
      <c r="B281" s="1" t="n">
        <v>45566.36052083333</v>
      </c>
      <c r="C281" s="1" t="n">
        <v>46038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60908-2023</t>
        </is>
      </c>
      <c r="B282" s="1" t="n">
        <v>45261</v>
      </c>
      <c r="C282" s="1" t="n">
        <v>46038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44244-2025</t>
        </is>
      </c>
      <c r="B283" s="1" t="n">
        <v>45915</v>
      </c>
      <c r="C283" s="1" t="n">
        <v>46038</v>
      </c>
      <c r="D283" t="inlineStr">
        <is>
          <t>DALARNAS LÄN</t>
        </is>
      </c>
      <c r="E283" t="inlineStr">
        <is>
          <t>BORLÄNGE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14753-2025</t>
        </is>
      </c>
      <c r="B284" s="1" t="n">
        <v>45742.66197916667</v>
      </c>
      <c r="C284" s="1" t="n">
        <v>46038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32428-2024</t>
        </is>
      </c>
      <c r="B285" s="1" t="n">
        <v>45512.80895833333</v>
      </c>
      <c r="C285" s="1" t="n">
        <v>46038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40922-2021</t>
        </is>
      </c>
      <c r="B286" s="1" t="n">
        <v>44421.50993055556</v>
      </c>
      <c r="C286" s="1" t="n">
        <v>46038</v>
      </c>
      <c r="D286" t="inlineStr">
        <is>
          <t>DALARNAS LÄN</t>
        </is>
      </c>
      <c r="E286" t="inlineStr">
        <is>
          <t>BORLÄNGE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2182-2023</t>
        </is>
      </c>
      <c r="B287" s="1" t="n">
        <v>44942.31047453704</v>
      </c>
      <c r="C287" s="1" t="n">
        <v>46038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17572-2021</t>
        </is>
      </c>
      <c r="B288" s="1" t="n">
        <v>44299</v>
      </c>
      <c r="C288" s="1" t="n">
        <v>46038</v>
      </c>
      <c r="D288" t="inlineStr">
        <is>
          <t>DALARNAS LÄN</t>
        </is>
      </c>
      <c r="E288" t="inlineStr">
        <is>
          <t>BORLÄNGE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47001-2025</t>
        </is>
      </c>
      <c r="B289" s="1" t="n">
        <v>45929.55321759259</v>
      </c>
      <c r="C289" s="1" t="n">
        <v>46038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47006-2025</t>
        </is>
      </c>
      <c r="B290" s="1" t="n">
        <v>45929.56319444445</v>
      </c>
      <c r="C290" s="1" t="n">
        <v>46038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54148-2023</t>
        </is>
      </c>
      <c r="B291" s="1" t="n">
        <v>45232.45122685185</v>
      </c>
      <c r="C291" s="1" t="n">
        <v>46038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53455-2021</t>
        </is>
      </c>
      <c r="B292" s="1" t="n">
        <v>44468</v>
      </c>
      <c r="C292" s="1" t="n">
        <v>46038</v>
      </c>
      <c r="D292" t="inlineStr">
        <is>
          <t>DALARNAS LÄN</t>
        </is>
      </c>
      <c r="E292" t="inlineStr">
        <is>
          <t>BORLÄNGE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11105-2023</t>
        </is>
      </c>
      <c r="B293" s="1" t="n">
        <v>44992</v>
      </c>
      <c r="C293" s="1" t="n">
        <v>46038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49462-2025</t>
        </is>
      </c>
      <c r="B294" s="1" t="n">
        <v>45939.32263888889</v>
      </c>
      <c r="C294" s="1" t="n">
        <v>46038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58640-2023</t>
        </is>
      </c>
      <c r="B295" s="1" t="n">
        <v>45251.58048611111</v>
      </c>
      <c r="C295" s="1" t="n">
        <v>46038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53544-2022</t>
        </is>
      </c>
      <c r="B296" s="1" t="n">
        <v>44879</v>
      </c>
      <c r="C296" s="1" t="n">
        <v>46038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59771-2021</t>
        </is>
      </c>
      <c r="B297" s="1" t="n">
        <v>44494.46709490741</v>
      </c>
      <c r="C297" s="1" t="n">
        <v>46038</v>
      </c>
      <c r="D297" t="inlineStr">
        <is>
          <t>DALARNAS LÄN</t>
        </is>
      </c>
      <c r="E297" t="inlineStr">
        <is>
          <t>BORLÄNGE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37708-2024</t>
        </is>
      </c>
      <c r="B298" s="1" t="n">
        <v>45541.62574074074</v>
      </c>
      <c r="C298" s="1" t="n">
        <v>46038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37722-2024</t>
        </is>
      </c>
      <c r="B299" s="1" t="n">
        <v>45541.64743055555</v>
      </c>
      <c r="C299" s="1" t="n">
        <v>46038</v>
      </c>
      <c r="D299" t="inlineStr">
        <is>
          <t>DALARNAS LÄN</t>
        </is>
      </c>
      <c r="E299" t="inlineStr">
        <is>
          <t>BORLÄNGE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1723-2025</t>
        </is>
      </c>
      <c r="B300" s="1" t="n">
        <v>45671.34664351852</v>
      </c>
      <c r="C300" s="1" t="n">
        <v>46038</v>
      </c>
      <c r="D300" t="inlineStr">
        <is>
          <t>DALARNAS LÄN</t>
        </is>
      </c>
      <c r="E300" t="inlineStr">
        <is>
          <t>BORLÄNGE</t>
        </is>
      </c>
      <c r="G300" t="n">
        <v>24.5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51152-2025</t>
        </is>
      </c>
      <c r="B301" s="1" t="n">
        <v>45947</v>
      </c>
      <c r="C301" s="1" t="n">
        <v>46038</v>
      </c>
      <c r="D301" t="inlineStr">
        <is>
          <t>DALARNAS LÄN</t>
        </is>
      </c>
      <c r="E301" t="inlineStr">
        <is>
          <t>BORLÄNGE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16883-2024</t>
        </is>
      </c>
      <c r="B302" s="1" t="n">
        <v>45411.59621527778</v>
      </c>
      <c r="C302" s="1" t="n">
        <v>46038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45083-2021</t>
        </is>
      </c>
      <c r="B303" s="1" t="n">
        <v>44438</v>
      </c>
      <c r="C303" s="1" t="n">
        <v>46038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51458-2025</t>
        </is>
      </c>
      <c r="B304" s="1" t="n">
        <v>45950.59743055556</v>
      </c>
      <c r="C304" s="1" t="n">
        <v>46038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10173-2025</t>
        </is>
      </c>
      <c r="B305" s="1" t="n">
        <v>45719.65857638889</v>
      </c>
      <c r="C305" s="1" t="n">
        <v>46038</v>
      </c>
      <c r="D305" t="inlineStr">
        <is>
          <t>DALARNAS LÄN</t>
        </is>
      </c>
      <c r="E305" t="inlineStr">
        <is>
          <t>BORLÄNGE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51474-2025</t>
        </is>
      </c>
      <c r="B306" s="1" t="n">
        <v>45950.61881944445</v>
      </c>
      <c r="C306" s="1" t="n">
        <v>46038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36356-2021</t>
        </is>
      </c>
      <c r="B307" s="1" t="n">
        <v>44384</v>
      </c>
      <c r="C307" s="1" t="n">
        <v>46038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59633-2021</t>
        </is>
      </c>
      <c r="B308" s="1" t="n">
        <v>44493</v>
      </c>
      <c r="C308" s="1" t="n">
        <v>46038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7194-2025</t>
        </is>
      </c>
      <c r="B309" s="1" t="n">
        <v>45702.44947916667</v>
      </c>
      <c r="C309" s="1" t="n">
        <v>46038</v>
      </c>
      <c r="D309" t="inlineStr">
        <is>
          <t>DALARNAS LÄN</t>
        </is>
      </c>
      <c r="E309" t="inlineStr">
        <is>
          <t>BORLÄNGE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52086-2025</t>
        </is>
      </c>
      <c r="B310" s="1" t="n">
        <v>45952.67065972222</v>
      </c>
      <c r="C310" s="1" t="n">
        <v>46038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16878-2024</t>
        </is>
      </c>
      <c r="B311" s="1" t="n">
        <v>45411.58637731482</v>
      </c>
      <c r="C311" s="1" t="n">
        <v>46038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43944-2021</t>
        </is>
      </c>
      <c r="B312" s="1" t="n">
        <v>44434</v>
      </c>
      <c r="C312" s="1" t="n">
        <v>46038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61396-2021</t>
        </is>
      </c>
      <c r="B313" s="1" t="n">
        <v>44500</v>
      </c>
      <c r="C313" s="1" t="n">
        <v>46038</v>
      </c>
      <c r="D313" t="inlineStr">
        <is>
          <t>DALARNAS LÄN</t>
        </is>
      </c>
      <c r="E313" t="inlineStr">
        <is>
          <t>BORLÄNGE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52443-2025</t>
        </is>
      </c>
      <c r="B314" s="1" t="n">
        <v>45954.41559027778</v>
      </c>
      <c r="C314" s="1" t="n">
        <v>46038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40570-2021</t>
        </is>
      </c>
      <c r="B315" s="1" t="n">
        <v>44420</v>
      </c>
      <c r="C315" s="1" t="n">
        <v>46038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52750-2025</t>
        </is>
      </c>
      <c r="B316" s="1" t="n">
        <v>45957.38642361111</v>
      </c>
      <c r="C316" s="1" t="n">
        <v>46038</v>
      </c>
      <c r="D316" t="inlineStr">
        <is>
          <t>DALARNAS LÄN</t>
        </is>
      </c>
      <c r="E316" t="inlineStr">
        <is>
          <t>BORLÄNGE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52563-2025</t>
        </is>
      </c>
      <c r="B317" s="1" t="n">
        <v>45954.57519675926</v>
      </c>
      <c r="C317" s="1" t="n">
        <v>46038</v>
      </c>
      <c r="D317" t="inlineStr">
        <is>
          <t>DALARNAS LÄN</t>
        </is>
      </c>
      <c r="E317" t="inlineStr">
        <is>
          <t>BORLÄNGE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60784-2025</t>
        </is>
      </c>
      <c r="B318" s="1" t="n">
        <v>45999.40050925926</v>
      </c>
      <c r="C318" s="1" t="n">
        <v>46038</v>
      </c>
      <c r="D318" t="inlineStr">
        <is>
          <t>DALARNAS LÄN</t>
        </is>
      </c>
      <c r="E318" t="inlineStr">
        <is>
          <t>BORLÄNGE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8208-2021</t>
        </is>
      </c>
      <c r="B319" s="1" t="n">
        <v>44244</v>
      </c>
      <c r="C319" s="1" t="n">
        <v>46038</v>
      </c>
      <c r="D319" t="inlineStr">
        <is>
          <t>DALARNAS LÄN</t>
        </is>
      </c>
      <c r="E319" t="inlineStr">
        <is>
          <t>BORLÄNGE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52464-2025</t>
        </is>
      </c>
      <c r="B320" s="1" t="n">
        <v>45954.44155092593</v>
      </c>
      <c r="C320" s="1" t="n">
        <v>46038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53166-2025</t>
        </is>
      </c>
      <c r="B321" s="1" t="n">
        <v>45958.50596064814</v>
      </c>
      <c r="C321" s="1" t="n">
        <v>46038</v>
      </c>
      <c r="D321" t="inlineStr">
        <is>
          <t>DALARNAS LÄN</t>
        </is>
      </c>
      <c r="E321" t="inlineStr">
        <is>
          <t>BORLÄNGE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6436-2022</t>
        </is>
      </c>
      <c r="B322" s="1" t="n">
        <v>44601</v>
      </c>
      <c r="C322" s="1" t="n">
        <v>46038</v>
      </c>
      <c r="D322" t="inlineStr">
        <is>
          <t>DALARNAS LÄN</t>
        </is>
      </c>
      <c r="E322" t="inlineStr">
        <is>
          <t>BORLÄNGE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57898-2024</t>
        </is>
      </c>
      <c r="B323" s="1" t="n">
        <v>45631.47834490741</v>
      </c>
      <c r="C323" s="1" t="n">
        <v>46038</v>
      </c>
      <c r="D323" t="inlineStr">
        <is>
          <t>DALARNAS LÄN</t>
        </is>
      </c>
      <c r="E323" t="inlineStr">
        <is>
          <t>BORLÄNGE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15168-2025</t>
        </is>
      </c>
      <c r="B324" s="1" t="n">
        <v>45744.49254629629</v>
      </c>
      <c r="C324" s="1" t="n">
        <v>46038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53162-2025</t>
        </is>
      </c>
      <c r="B325" s="1" t="n">
        <v>45958.49377314815</v>
      </c>
      <c r="C325" s="1" t="n">
        <v>46038</v>
      </c>
      <c r="D325" t="inlineStr">
        <is>
          <t>DALARNAS LÄN</t>
        </is>
      </c>
      <c r="E325" t="inlineStr">
        <is>
          <t>BORLÄNGE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21992-2023</t>
        </is>
      </c>
      <c r="B326" s="1" t="n">
        <v>45068.77065972222</v>
      </c>
      <c r="C326" s="1" t="n">
        <v>46038</v>
      </c>
      <c r="D326" t="inlineStr">
        <is>
          <t>DALARNAS LÄN</t>
        </is>
      </c>
      <c r="E326" t="inlineStr">
        <is>
          <t>BORLÄNGE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2166-2025</t>
        </is>
      </c>
      <c r="B327" s="1" t="n">
        <v>45672</v>
      </c>
      <c r="C327" s="1" t="n">
        <v>46038</v>
      </c>
      <c r="D327" t="inlineStr">
        <is>
          <t>DALARNAS LÄN</t>
        </is>
      </c>
      <c r="E327" t="inlineStr">
        <is>
          <t>BORLÄNGE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28324-2024</t>
        </is>
      </c>
      <c r="B328" s="1" t="n">
        <v>45477.51149305556</v>
      </c>
      <c r="C328" s="1" t="n">
        <v>46038</v>
      </c>
      <c r="D328" t="inlineStr">
        <is>
          <t>DALARNAS LÄN</t>
        </is>
      </c>
      <c r="E328" t="inlineStr">
        <is>
          <t>BORLÄNGE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61751-2025</t>
        </is>
      </c>
      <c r="B329" s="1" t="n">
        <v>46002.61444444444</v>
      </c>
      <c r="C329" s="1" t="n">
        <v>46038</v>
      </c>
      <c r="D329" t="inlineStr">
        <is>
          <t>DALARNAS LÄN</t>
        </is>
      </c>
      <c r="E329" t="inlineStr">
        <is>
          <t>BORLÄNGE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10498-2023</t>
        </is>
      </c>
      <c r="B330" s="1" t="n">
        <v>44987</v>
      </c>
      <c r="C330" s="1" t="n">
        <v>46038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1166-2025</t>
        </is>
      </c>
      <c r="B331" s="1" t="n">
        <v>45666.93782407408</v>
      </c>
      <c r="C331" s="1" t="n">
        <v>46038</v>
      </c>
      <c r="D331" t="inlineStr">
        <is>
          <t>DALARNAS LÄN</t>
        </is>
      </c>
      <c r="E331" t="inlineStr">
        <is>
          <t>BORLÄNGE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29810-2022</t>
        </is>
      </c>
      <c r="B332" s="1" t="n">
        <v>44755</v>
      </c>
      <c r="C332" s="1" t="n">
        <v>46038</v>
      </c>
      <c r="D332" t="inlineStr">
        <is>
          <t>DALARNAS LÄN</t>
        </is>
      </c>
      <c r="E332" t="inlineStr">
        <is>
          <t>BORLÄNGE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35594-2022</t>
        </is>
      </c>
      <c r="B333" s="1" t="n">
        <v>44799</v>
      </c>
      <c r="C333" s="1" t="n">
        <v>46038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10156-2025</t>
        </is>
      </c>
      <c r="B334" s="1" t="n">
        <v>45719.64394675926</v>
      </c>
      <c r="C334" s="1" t="n">
        <v>46038</v>
      </c>
      <c r="D334" t="inlineStr">
        <is>
          <t>DALARNAS LÄN</t>
        </is>
      </c>
      <c r="E334" t="inlineStr">
        <is>
          <t>BORLÄNGE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50721-2025</t>
        </is>
      </c>
      <c r="B335" s="1" t="n">
        <v>45946.34670138889</v>
      </c>
      <c r="C335" s="1" t="n">
        <v>46038</v>
      </c>
      <c r="D335" t="inlineStr">
        <is>
          <t>DALARNAS LÄN</t>
        </is>
      </c>
      <c r="E335" t="inlineStr">
        <is>
          <t>BORLÄNGE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8504-2025</t>
        </is>
      </c>
      <c r="B336" s="1" t="n">
        <v>45709</v>
      </c>
      <c r="C336" s="1" t="n">
        <v>46038</v>
      </c>
      <c r="D336" t="inlineStr">
        <is>
          <t>DALARNAS LÄN</t>
        </is>
      </c>
      <c r="E336" t="inlineStr">
        <is>
          <t>BORLÄNGE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26216-2023</t>
        </is>
      </c>
      <c r="B337" s="1" t="n">
        <v>45091.55979166667</v>
      </c>
      <c r="C337" s="1" t="n">
        <v>46038</v>
      </c>
      <c r="D337" t="inlineStr">
        <is>
          <t>DALARNAS LÄN</t>
        </is>
      </c>
      <c r="E337" t="inlineStr">
        <is>
          <t>BORLÄNGE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54841-2025</t>
        </is>
      </c>
      <c r="B338" s="1" t="n">
        <v>45966.68452546297</v>
      </c>
      <c r="C338" s="1" t="n">
        <v>46038</v>
      </c>
      <c r="D338" t="inlineStr">
        <is>
          <t>DALARNAS LÄN</t>
        </is>
      </c>
      <c r="E338" t="inlineStr">
        <is>
          <t>BORLÄNGE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17560-2025</t>
        </is>
      </c>
      <c r="B339" s="1" t="n">
        <v>45757.63572916666</v>
      </c>
      <c r="C339" s="1" t="n">
        <v>46038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54052-2025</t>
        </is>
      </c>
      <c r="B340" s="1" t="n">
        <v>45963</v>
      </c>
      <c r="C340" s="1" t="n">
        <v>46038</v>
      </c>
      <c r="D340" t="inlineStr">
        <is>
          <t>DALARNAS LÄN</t>
        </is>
      </c>
      <c r="E340" t="inlineStr">
        <is>
          <t>BORLÄNGE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15495-2024</t>
        </is>
      </c>
      <c r="B341" s="1" t="n">
        <v>45401.53269675926</v>
      </c>
      <c r="C341" s="1" t="n">
        <v>46038</v>
      </c>
      <c r="D341" t="inlineStr">
        <is>
          <t>DALARNAS LÄN</t>
        </is>
      </c>
      <c r="E341" t="inlineStr">
        <is>
          <t>BORLÄNGE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63192-2023</t>
        </is>
      </c>
      <c r="B342" s="1" t="n">
        <v>45273.60155092592</v>
      </c>
      <c r="C342" s="1" t="n">
        <v>46038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29854-2024</t>
        </is>
      </c>
      <c r="B343" s="1" t="n">
        <v>45485.66295138889</v>
      </c>
      <c r="C343" s="1" t="n">
        <v>46038</v>
      </c>
      <c r="D343" t="inlineStr">
        <is>
          <t>DALARNAS LÄN</t>
        </is>
      </c>
      <c r="E343" t="inlineStr">
        <is>
          <t>BORLÄNGE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29861-2024</t>
        </is>
      </c>
      <c r="B344" s="1" t="n">
        <v>45485.71377314815</v>
      </c>
      <c r="C344" s="1" t="n">
        <v>46038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8489-2025</t>
        </is>
      </c>
      <c r="B345" s="1" t="n">
        <v>45709.50549768518</v>
      </c>
      <c r="C345" s="1" t="n">
        <v>46038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56200-2025</t>
        </is>
      </c>
      <c r="B346" s="1" t="n">
        <v>45974.45929398148</v>
      </c>
      <c r="C346" s="1" t="n">
        <v>46038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58616-2023</t>
        </is>
      </c>
      <c r="B347" s="1" t="n">
        <v>45251</v>
      </c>
      <c r="C347" s="1" t="n">
        <v>46038</v>
      </c>
      <c r="D347" t="inlineStr">
        <is>
          <t>DALARNAS LÄN</t>
        </is>
      </c>
      <c r="E347" t="inlineStr">
        <is>
          <t>BORLÄNGE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1167-2025</t>
        </is>
      </c>
      <c r="B348" s="1" t="n">
        <v>45666.96104166667</v>
      </c>
      <c r="C348" s="1" t="n">
        <v>46038</v>
      </c>
      <c r="D348" t="inlineStr">
        <is>
          <t>DALARNAS LÄN</t>
        </is>
      </c>
      <c r="E348" t="inlineStr">
        <is>
          <t>BORLÄNGE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56875-2025</t>
        </is>
      </c>
      <c r="B349" s="1" t="n">
        <v>45978.53640046297</v>
      </c>
      <c r="C349" s="1" t="n">
        <v>46038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51858-2023</t>
        </is>
      </c>
      <c r="B350" s="1" t="n">
        <v>45223</v>
      </c>
      <c r="C350" s="1" t="n">
        <v>46038</v>
      </c>
      <c r="D350" t="inlineStr">
        <is>
          <t>DALARNAS LÄN</t>
        </is>
      </c>
      <c r="E350" t="inlineStr">
        <is>
          <t>BORLÄNGE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50325-2021</t>
        </is>
      </c>
      <c r="B351" s="1" t="n">
        <v>44438</v>
      </c>
      <c r="C351" s="1" t="n">
        <v>46038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67422-2021</t>
        </is>
      </c>
      <c r="B352" s="1" t="n">
        <v>44524</v>
      </c>
      <c r="C352" s="1" t="n">
        <v>46038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57664-2025</t>
        </is>
      </c>
      <c r="B353" s="1" t="n">
        <v>45981.42581018519</v>
      </c>
      <c r="C353" s="1" t="n">
        <v>46038</v>
      </c>
      <c r="D353" t="inlineStr">
        <is>
          <t>DALARNAS LÄN</t>
        </is>
      </c>
      <c r="E353" t="inlineStr">
        <is>
          <t>BORLÄNGE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57662-2025</t>
        </is>
      </c>
      <c r="B354" s="1" t="n">
        <v>45981.42233796296</v>
      </c>
      <c r="C354" s="1" t="n">
        <v>46038</v>
      </c>
      <c r="D354" t="inlineStr">
        <is>
          <t>DALARNAS LÄN</t>
        </is>
      </c>
      <c r="E354" t="inlineStr">
        <is>
          <t>BORLÄNGE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349-2026</t>
        </is>
      </c>
      <c r="B355" s="1" t="n">
        <v>46027.63039351852</v>
      </c>
      <c r="C355" s="1" t="n">
        <v>46038</v>
      </c>
      <c r="D355" t="inlineStr">
        <is>
          <t>DALARNAS LÄN</t>
        </is>
      </c>
      <c r="E355" t="inlineStr">
        <is>
          <t>BORLÄNGE</t>
        </is>
      </c>
      <c r="G355" t="n">
        <v>17.3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58002-2025</t>
        </is>
      </c>
      <c r="B356" s="1" t="n">
        <v>45982.43648148148</v>
      </c>
      <c r="C356" s="1" t="n">
        <v>46038</v>
      </c>
      <c r="D356" t="inlineStr">
        <is>
          <t>DALARNAS LÄN</t>
        </is>
      </c>
      <c r="E356" t="inlineStr">
        <is>
          <t>BORLÄNGE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43650-2022</t>
        </is>
      </c>
      <c r="B357" s="1" t="n">
        <v>44837.57366898148</v>
      </c>
      <c r="C357" s="1" t="n">
        <v>46038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470-2026</t>
        </is>
      </c>
      <c r="B358" s="1" t="n">
        <v>46029.38891203704</v>
      </c>
      <c r="C358" s="1" t="n">
        <v>46038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411-2026</t>
        </is>
      </c>
      <c r="B359" s="1" t="n">
        <v>46028.70322916667</v>
      </c>
      <c r="C359" s="1" t="n">
        <v>46038</v>
      </c>
      <c r="D359" t="inlineStr">
        <is>
          <t>DALARNAS LÄN</t>
        </is>
      </c>
      <c r="E359" t="inlineStr">
        <is>
          <t>BORLÄNGE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752-2026</t>
        </is>
      </c>
      <c r="B360" s="1" t="n">
        <v>46029.67885416667</v>
      </c>
      <c r="C360" s="1" t="n">
        <v>46038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60301-2024</t>
        </is>
      </c>
      <c r="B361" s="1" t="n">
        <v>45643.32780092592</v>
      </c>
      <c r="C361" s="1" t="n">
        <v>46038</v>
      </c>
      <c r="D361" t="inlineStr">
        <is>
          <t>DALARNAS LÄN</t>
        </is>
      </c>
      <c r="E361" t="inlineStr">
        <is>
          <t>BORLÄNGE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20008-2023</t>
        </is>
      </c>
      <c r="B362" s="1" t="n">
        <v>45054.62822916666</v>
      </c>
      <c r="C362" s="1" t="n">
        <v>46038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58706-2025</t>
        </is>
      </c>
      <c r="B363" s="1" t="n">
        <v>45986.60123842592</v>
      </c>
      <c r="C363" s="1" t="n">
        <v>46038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6798-2024</t>
        </is>
      </c>
      <c r="B364" s="1" t="n">
        <v>45342.56981481481</v>
      </c>
      <c r="C364" s="1" t="n">
        <v>46038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1023-2026</t>
        </is>
      </c>
      <c r="B365" s="1" t="n">
        <v>46030.60996527778</v>
      </c>
      <c r="C365" s="1" t="n">
        <v>46038</v>
      </c>
      <c r="D365" t="inlineStr">
        <is>
          <t>DALARNAS LÄN</t>
        </is>
      </c>
      <c r="E365" t="inlineStr">
        <is>
          <t>BORLÄNGE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1030-2026</t>
        </is>
      </c>
      <c r="B366" s="1" t="n">
        <v>46030.61505787037</v>
      </c>
      <c r="C366" s="1" t="n">
        <v>46038</v>
      </c>
      <c r="D366" t="inlineStr">
        <is>
          <t>DALARNAS LÄN</t>
        </is>
      </c>
      <c r="E366" t="inlineStr">
        <is>
          <t>BORLÄNGE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60060-2023</t>
        </is>
      </c>
      <c r="B367" s="1" t="n">
        <v>45258.38181712963</v>
      </c>
      <c r="C367" s="1" t="n">
        <v>46038</v>
      </c>
      <c r="D367" t="inlineStr">
        <is>
          <t>DALARNAS LÄN</t>
        </is>
      </c>
      <c r="E367" t="inlineStr">
        <is>
          <t>BORLÄNGE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44240-2023</t>
        </is>
      </c>
      <c r="B368" s="1" t="n">
        <v>45188</v>
      </c>
      <c r="C368" s="1" t="n">
        <v>46038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1054-2026</t>
        </is>
      </c>
      <c r="B369" s="1" t="n">
        <v>46030.63354166667</v>
      </c>
      <c r="C369" s="1" t="n">
        <v>46038</v>
      </c>
      <c r="D369" t="inlineStr">
        <is>
          <t>DALARNAS LÄN</t>
        </is>
      </c>
      <c r="E369" t="inlineStr">
        <is>
          <t>BORLÄNGE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37785-2024</t>
        </is>
      </c>
      <c r="B370" s="1" t="n">
        <v>45542.82690972222</v>
      </c>
      <c r="C370" s="1" t="n">
        <v>46038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64122-2025</t>
        </is>
      </c>
      <c r="B371" s="1" t="n">
        <v>46021.94106481481</v>
      </c>
      <c r="C371" s="1" t="n">
        <v>46038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1111-2026</t>
        </is>
      </c>
      <c r="B372" s="1" t="n">
        <v>46030.67846064815</v>
      </c>
      <c r="C372" s="1" t="n">
        <v>46038</v>
      </c>
      <c r="D372" t="inlineStr">
        <is>
          <t>DALARNAS LÄN</t>
        </is>
      </c>
      <c r="E372" t="inlineStr">
        <is>
          <t>BORLÄNGE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63869-2025</t>
        </is>
      </c>
      <c r="B373" s="1" t="n">
        <v>46020</v>
      </c>
      <c r="C373" s="1" t="n">
        <v>46038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63959-2025</t>
        </is>
      </c>
      <c r="B374" s="1" t="n">
        <v>46020</v>
      </c>
      <c r="C374" s="1" t="n">
        <v>46038</v>
      </c>
      <c r="D374" t="inlineStr">
        <is>
          <t>DALARNAS LÄN</t>
        </is>
      </c>
      <c r="E374" t="inlineStr">
        <is>
          <t>BORLÄNGE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1516-2026</t>
        </is>
      </c>
      <c r="B375" s="1" t="n">
        <v>46034.35226851852</v>
      </c>
      <c r="C375" s="1" t="n">
        <v>46038</v>
      </c>
      <c r="D375" t="inlineStr">
        <is>
          <t>DALARNAS LÄN</t>
        </is>
      </c>
      <c r="E375" t="inlineStr">
        <is>
          <t>BORLÄNGE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1831-2026</t>
        </is>
      </c>
      <c r="B376" s="1" t="n">
        <v>46035.38506944444</v>
      </c>
      <c r="C376" s="1" t="n">
        <v>46038</v>
      </c>
      <c r="D376" t="inlineStr">
        <is>
          <t>DALARNAS LÄN</t>
        </is>
      </c>
      <c r="E376" t="inlineStr">
        <is>
          <t>BORLÄNGE</t>
        </is>
      </c>
      <c r="F376" t="inlineStr">
        <is>
          <t>Övriga statliga verk och myndigheter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1923-2026</t>
        </is>
      </c>
      <c r="B377" s="1" t="n">
        <v>46035.56564814815</v>
      </c>
      <c r="C377" s="1" t="n">
        <v>46038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1598-2026</t>
        </is>
      </c>
      <c r="B378" s="1" t="n">
        <v>46034.45421296296</v>
      </c>
      <c r="C378" s="1" t="n">
        <v>46038</v>
      </c>
      <c r="D378" t="inlineStr">
        <is>
          <t>DALARNAS LÄN</t>
        </is>
      </c>
      <c r="E378" t="inlineStr">
        <is>
          <t>BORLÄNGE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1921-2026</t>
        </is>
      </c>
      <c r="B379" s="1" t="n">
        <v>46035.56457175926</v>
      </c>
      <c r="C379" s="1" t="n">
        <v>46038</v>
      </c>
      <c r="D379" t="inlineStr">
        <is>
          <t>DALARNAS LÄN</t>
        </is>
      </c>
      <c r="E379" t="inlineStr">
        <is>
          <t>BORLÄNGE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64116-2025</t>
        </is>
      </c>
      <c r="B380" s="1" t="n">
        <v>46021</v>
      </c>
      <c r="C380" s="1" t="n">
        <v>46038</v>
      </c>
      <c r="D380" t="inlineStr">
        <is>
          <t>DALARNAS LÄN</t>
        </is>
      </c>
      <c r="E380" t="inlineStr">
        <is>
          <t>BORLÄNGE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64121-2025</t>
        </is>
      </c>
      <c r="B381" s="1" t="n">
        <v>46021</v>
      </c>
      <c r="C381" s="1" t="n">
        <v>46038</v>
      </c>
      <c r="D381" t="inlineStr">
        <is>
          <t>DALARNAS LÄN</t>
        </is>
      </c>
      <c r="E381" t="inlineStr">
        <is>
          <t>BORLÄNGE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23416-2023</t>
        </is>
      </c>
      <c r="B382" s="1" t="n">
        <v>45076.51174768519</v>
      </c>
      <c r="C382" s="1" t="n">
        <v>46038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68085-2021</t>
        </is>
      </c>
      <c r="B383" s="1" t="n">
        <v>44526.3409375</v>
      </c>
      <c r="C383" s="1" t="n">
        <v>46038</v>
      </c>
      <c r="D383" t="inlineStr">
        <is>
          <t>DALARNAS LÄN</t>
        </is>
      </c>
      <c r="E383" t="inlineStr">
        <is>
          <t>BORLÄNGE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2228-2026</t>
        </is>
      </c>
      <c r="B384" s="1" t="n">
        <v>46036.52232638889</v>
      </c>
      <c r="C384" s="1" t="n">
        <v>46038</v>
      </c>
      <c r="D384" t="inlineStr">
        <is>
          <t>DALARNAS LÄN</t>
        </is>
      </c>
      <c r="E384" t="inlineStr">
        <is>
          <t>BORLÄNGE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2244-2026</t>
        </is>
      </c>
      <c r="B385" s="1" t="n">
        <v>46036.54097222222</v>
      </c>
      <c r="C385" s="1" t="n">
        <v>46038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2138-2026</t>
        </is>
      </c>
      <c r="B386" s="1" t="n">
        <v>46036.39542824074</v>
      </c>
      <c r="C386" s="1" t="n">
        <v>46038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2160-2026</t>
        </is>
      </c>
      <c r="B387" s="1" t="n">
        <v>46036.4325</v>
      </c>
      <c r="C387" s="1" t="n">
        <v>46038</v>
      </c>
      <c r="D387" t="inlineStr">
        <is>
          <t>DALARNAS LÄN</t>
        </is>
      </c>
      <c r="E387" t="inlineStr">
        <is>
          <t>BORLÄNGE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2154-2026</t>
        </is>
      </c>
      <c r="B388" s="1" t="n">
        <v>46036.4259837963</v>
      </c>
      <c r="C388" s="1" t="n">
        <v>46038</v>
      </c>
      <c r="D388" t="inlineStr">
        <is>
          <t>DALARNAS LÄN</t>
        </is>
      </c>
      <c r="E388" t="inlineStr">
        <is>
          <t>BORLÄNGE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1840-2026</t>
        </is>
      </c>
      <c r="B389" s="1" t="n">
        <v>46035</v>
      </c>
      <c r="C389" s="1" t="n">
        <v>46038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2399-2026</t>
        </is>
      </c>
      <c r="B390" s="1" t="n">
        <v>46036.68357638889</v>
      </c>
      <c r="C390" s="1" t="n">
        <v>46038</v>
      </c>
      <c r="D390" t="inlineStr">
        <is>
          <t>DALARNAS LÄN</t>
        </is>
      </c>
      <c r="E390" t="inlineStr">
        <is>
          <t>BORLÄNGE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2132-2026</t>
        </is>
      </c>
      <c r="B391" s="1" t="n">
        <v>46036</v>
      </c>
      <c r="C391" s="1" t="n">
        <v>46038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2295-2026</t>
        </is>
      </c>
      <c r="B392" s="1" t="n">
        <v>46036.58800925926</v>
      </c>
      <c r="C392" s="1" t="n">
        <v>46038</v>
      </c>
      <c r="D392" t="inlineStr">
        <is>
          <t>DALARNAS LÄN</t>
        </is>
      </c>
      <c r="E392" t="inlineStr">
        <is>
          <t>BORLÄNGE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2229-2026</t>
        </is>
      </c>
      <c r="B393" s="1" t="n">
        <v>46036.52315972222</v>
      </c>
      <c r="C393" s="1" t="n">
        <v>46038</v>
      </c>
      <c r="D393" t="inlineStr">
        <is>
          <t>DALARNAS LÄN</t>
        </is>
      </c>
      <c r="E393" t="inlineStr">
        <is>
          <t>BORLÄNGE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2339-2026</t>
        </is>
      </c>
      <c r="B394" s="1" t="n">
        <v>46036.61548611111</v>
      </c>
      <c r="C394" s="1" t="n">
        <v>46038</v>
      </c>
      <c r="D394" t="inlineStr">
        <is>
          <t>DALARNAS LÄN</t>
        </is>
      </c>
      <c r="E394" t="inlineStr">
        <is>
          <t>BORLÄNGE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2469-2026</t>
        </is>
      </c>
      <c r="B395" s="1" t="n">
        <v>46037.36643518518</v>
      </c>
      <c r="C395" s="1" t="n">
        <v>46038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712-2026</t>
        </is>
      </c>
      <c r="B396" s="1" t="n">
        <v>46029</v>
      </c>
      <c r="C396" s="1" t="n">
        <v>46038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713-2026</t>
        </is>
      </c>
      <c r="B397" s="1" t="n">
        <v>46029</v>
      </c>
      <c r="C397" s="1" t="n">
        <v>46038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2190-2026</t>
        </is>
      </c>
      <c r="B398" s="1" t="n">
        <v>46036.46664351852</v>
      </c>
      <c r="C398" s="1" t="n">
        <v>46038</v>
      </c>
      <c r="D398" t="inlineStr">
        <is>
          <t>DALARNAS LÄN</t>
        </is>
      </c>
      <c r="E398" t="inlineStr">
        <is>
          <t>BORLÄNGE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12787-2024</t>
        </is>
      </c>
      <c r="B399" s="1" t="n">
        <v>45384.61032407408</v>
      </c>
      <c r="C399" s="1" t="n">
        <v>46038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13658-2024</t>
        </is>
      </c>
      <c r="B400" s="1" t="n">
        <v>45390.48613425926</v>
      </c>
      <c r="C400" s="1" t="n">
        <v>46038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73002-2021</t>
        </is>
      </c>
      <c r="B401" s="1" t="n">
        <v>44550.27520833333</v>
      </c>
      <c r="C401" s="1" t="n">
        <v>46038</v>
      </c>
      <c r="D401" t="inlineStr">
        <is>
          <t>DALARNAS LÄN</t>
        </is>
      </c>
      <c r="E401" t="inlineStr">
        <is>
          <t>BORLÄNGE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7588-2023</t>
        </is>
      </c>
      <c r="B402" s="1" t="n">
        <v>44972</v>
      </c>
      <c r="C402" s="1" t="n">
        <v>46038</v>
      </c>
      <c r="D402" t="inlineStr">
        <is>
          <t>DALARNAS LÄN</t>
        </is>
      </c>
      <c r="E402" t="inlineStr">
        <is>
          <t>BORLÄNGE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16706-2021</t>
        </is>
      </c>
      <c r="B403" s="1" t="n">
        <v>44294.6346412037</v>
      </c>
      <c r="C403" s="1" t="n">
        <v>46038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13983-2024</t>
        </is>
      </c>
      <c r="B404" s="1" t="n">
        <v>45392.40825231482</v>
      </c>
      <c r="C404" s="1" t="n">
        <v>46038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54414-2024</t>
        </is>
      </c>
      <c r="B405" s="1" t="n">
        <v>45617</v>
      </c>
      <c r="C405" s="1" t="n">
        <v>46038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60072-2023</t>
        </is>
      </c>
      <c r="B406" s="1" t="n">
        <v>45258</v>
      </c>
      <c r="C406" s="1" t="n">
        <v>46038</v>
      </c>
      <c r="D406" t="inlineStr">
        <is>
          <t>DALARNAS LÄN</t>
        </is>
      </c>
      <c r="E406" t="inlineStr">
        <is>
          <t>BORLÄNGE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49056-2023</t>
        </is>
      </c>
      <c r="B407" s="1" t="n">
        <v>45210.33983796297</v>
      </c>
      <c r="C407" s="1" t="n">
        <v>46038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128-2024</t>
        </is>
      </c>
      <c r="B408" s="1" t="n">
        <v>45294.41001157407</v>
      </c>
      <c r="C408" s="1" t="n">
        <v>46038</v>
      </c>
      <c r="D408" t="inlineStr">
        <is>
          <t>DALARNAS LÄN</t>
        </is>
      </c>
      <c r="E408" t="inlineStr">
        <is>
          <t>BORLÄNGE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35501-2023</t>
        </is>
      </c>
      <c r="B409" s="1" t="n">
        <v>45146</v>
      </c>
      <c r="C409" s="1" t="n">
        <v>46038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53092-2021</t>
        </is>
      </c>
      <c r="B410" s="1" t="n">
        <v>44467</v>
      </c>
      <c r="C410" s="1" t="n">
        <v>46038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55910-2022</t>
        </is>
      </c>
      <c r="B411" s="1" t="n">
        <v>44889</v>
      </c>
      <c r="C411" s="1" t="n">
        <v>46038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15989-2024</t>
        </is>
      </c>
      <c r="B412" s="1" t="n">
        <v>45405.60082175926</v>
      </c>
      <c r="C412" s="1" t="n">
        <v>46038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43957-2024</t>
        </is>
      </c>
      <c r="B413" s="1" t="n">
        <v>45572.47766203704</v>
      </c>
      <c r="C413" s="1" t="n">
        <v>46038</v>
      </c>
      <c r="D413" t="inlineStr">
        <is>
          <t>DALARNAS LÄN</t>
        </is>
      </c>
      <c r="E413" t="inlineStr">
        <is>
          <t>BORLÄNGE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29856-2024</t>
        </is>
      </c>
      <c r="B414" s="1" t="n">
        <v>45485.66964120371</v>
      </c>
      <c r="C414" s="1" t="n">
        <v>46038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43918-2024</t>
        </is>
      </c>
      <c r="B415" s="1" t="n">
        <v>45572.44064814815</v>
      </c>
      <c r="C415" s="1" t="n">
        <v>46038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43515-2024</t>
        </is>
      </c>
      <c r="B416" s="1" t="n">
        <v>45569.32403935185</v>
      </c>
      <c r="C416" s="1" t="n">
        <v>46038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19096-2021</t>
        </is>
      </c>
      <c r="B417" s="1" t="n">
        <v>44308</v>
      </c>
      <c r="C417" s="1" t="n">
        <v>46038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38863-2023</t>
        </is>
      </c>
      <c r="B418" s="1" t="n">
        <v>45163</v>
      </c>
      <c r="C418" s="1" t="n">
        <v>46038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38868-2023</t>
        </is>
      </c>
      <c r="B419" s="1" t="n">
        <v>45163</v>
      </c>
      <c r="C419" s="1" t="n">
        <v>46038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20581-2024</t>
        </is>
      </c>
      <c r="B420" s="1" t="n">
        <v>45436</v>
      </c>
      <c r="C420" s="1" t="n">
        <v>46038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5384-2025</t>
        </is>
      </c>
      <c r="B421" s="1" t="n">
        <v>45692.61747685185</v>
      </c>
      <c r="C421" s="1" t="n">
        <v>46038</v>
      </c>
      <c r="D421" t="inlineStr">
        <is>
          <t>DALARNAS LÄN</t>
        </is>
      </c>
      <c r="E421" t="inlineStr">
        <is>
          <t>BORLÄNGE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28572-2025</t>
        </is>
      </c>
      <c r="B422" s="1" t="n">
        <v>45819</v>
      </c>
      <c r="C422" s="1" t="n">
        <v>46038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32940-2024</t>
        </is>
      </c>
      <c r="B423" s="1" t="n">
        <v>45517.33597222222</v>
      </c>
      <c r="C423" s="1" t="n">
        <v>46038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51675-2024</t>
        </is>
      </c>
      <c r="B424" s="1" t="n">
        <v>45607.29688657408</v>
      </c>
      <c r="C424" s="1" t="n">
        <v>46038</v>
      </c>
      <c r="D424" t="inlineStr">
        <is>
          <t>DALARNAS LÄN</t>
        </is>
      </c>
      <c r="E424" t="inlineStr">
        <is>
          <t>BORLÄNGE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36863-2021</t>
        </is>
      </c>
      <c r="B425" s="1" t="n">
        <v>44393</v>
      </c>
      <c r="C425" s="1" t="n">
        <v>46038</v>
      </c>
      <c r="D425" t="inlineStr">
        <is>
          <t>DALARNAS LÄN</t>
        </is>
      </c>
      <c r="E425" t="inlineStr">
        <is>
          <t>BORLÄNGE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21828-2025</t>
        </is>
      </c>
      <c r="B426" s="1" t="n">
        <v>45783.91428240741</v>
      </c>
      <c r="C426" s="1" t="n">
        <v>46038</v>
      </c>
      <c r="D426" t="inlineStr">
        <is>
          <t>DALARNAS LÄN</t>
        </is>
      </c>
      <c r="E426" t="inlineStr">
        <is>
          <t>BORLÄNGE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61918-2024</t>
        </is>
      </c>
      <c r="B427" s="1" t="n">
        <v>45653.43668981481</v>
      </c>
      <c r="C427" s="1" t="n">
        <v>46038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8540-2025</t>
        </is>
      </c>
      <c r="B428" s="1" t="n">
        <v>45709.60369212963</v>
      </c>
      <c r="C428" s="1" t="n">
        <v>46038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13528-2025</t>
        </is>
      </c>
      <c r="B429" s="1" t="n">
        <v>45736.5049537037</v>
      </c>
      <c r="C429" s="1" t="n">
        <v>46038</v>
      </c>
      <c r="D429" t="inlineStr">
        <is>
          <t>DALARNAS LÄN</t>
        </is>
      </c>
      <c r="E429" t="inlineStr">
        <is>
          <t>BORLÄNGE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21928-2023</t>
        </is>
      </c>
      <c r="B430" s="1" t="n">
        <v>45068</v>
      </c>
      <c r="C430" s="1" t="n">
        <v>46038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43497-2024</t>
        </is>
      </c>
      <c r="B431" s="1" t="n">
        <v>45568</v>
      </c>
      <c r="C431" s="1" t="n">
        <v>46038</v>
      </c>
      <c r="D431" t="inlineStr">
        <is>
          <t>DALARNAS LÄN</t>
        </is>
      </c>
      <c r="E431" t="inlineStr">
        <is>
          <t>BORLÄNGE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20005-2023</t>
        </is>
      </c>
      <c r="B432" s="1" t="n">
        <v>45054.62554398148</v>
      </c>
      <c r="C432" s="1" t="n">
        <v>46038</v>
      </c>
      <c r="D432" t="inlineStr">
        <is>
          <t>DALARNAS LÄN</t>
        </is>
      </c>
      <c r="E432" t="inlineStr">
        <is>
          <t>BORLÄNGE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58283-2024</t>
        </is>
      </c>
      <c r="B433" s="1" t="n">
        <v>45632.5812962963</v>
      </c>
      <c r="C433" s="1" t="n">
        <v>46038</v>
      </c>
      <c r="D433" t="inlineStr">
        <is>
          <t>DALARNAS LÄN</t>
        </is>
      </c>
      <c r="E433" t="inlineStr">
        <is>
          <t>BORLÄNGE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24019-2025</t>
        </is>
      </c>
      <c r="B434" s="1" t="n">
        <v>45796.44989583334</v>
      </c>
      <c r="C434" s="1" t="n">
        <v>46038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19468-2025</t>
        </is>
      </c>
      <c r="B435" s="1" t="n">
        <v>45770</v>
      </c>
      <c r="C435" s="1" t="n">
        <v>46038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24764-2025</t>
        </is>
      </c>
      <c r="B436" s="1" t="n">
        <v>45799</v>
      </c>
      <c r="C436" s="1" t="n">
        <v>46038</v>
      </c>
      <c r="D436" t="inlineStr">
        <is>
          <t>DALARNAS LÄN</t>
        </is>
      </c>
      <c r="E436" t="inlineStr">
        <is>
          <t>BORLÄNGE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24643-2025</t>
        </is>
      </c>
      <c r="B437" s="1" t="n">
        <v>45798</v>
      </c>
      <c r="C437" s="1" t="n">
        <v>46038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24645-2025</t>
        </is>
      </c>
      <c r="B438" s="1" t="n">
        <v>45798</v>
      </c>
      <c r="C438" s="1" t="n">
        <v>46038</v>
      </c>
      <c r="D438" t="inlineStr">
        <is>
          <t>DALARNAS LÄN</t>
        </is>
      </c>
      <c r="E438" t="inlineStr">
        <is>
          <t>BORLÄNGE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24641-2025</t>
        </is>
      </c>
      <c r="B439" s="1" t="n">
        <v>45798</v>
      </c>
      <c r="C439" s="1" t="n">
        <v>46038</v>
      </c>
      <c r="D439" t="inlineStr">
        <is>
          <t>DALARNAS LÄN</t>
        </is>
      </c>
      <c r="E439" t="inlineStr">
        <is>
          <t>BORLÄNGE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25611-2025</t>
        </is>
      </c>
      <c r="B440" s="1" t="n">
        <v>45803</v>
      </c>
      <c r="C440" s="1" t="n">
        <v>46038</v>
      </c>
      <c r="D440" t="inlineStr">
        <is>
          <t>DALARNAS LÄN</t>
        </is>
      </c>
      <c r="E440" t="inlineStr">
        <is>
          <t>BORLÄNGE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25932-2025</t>
        </is>
      </c>
      <c r="B441" s="1" t="n">
        <v>45804.5856712963</v>
      </c>
      <c r="C441" s="1" t="n">
        <v>46038</v>
      </c>
      <c r="D441" t="inlineStr">
        <is>
          <t>DALARNAS LÄN</t>
        </is>
      </c>
      <c r="E441" t="inlineStr">
        <is>
          <t>BORLÄNGE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27032-2025</t>
        </is>
      </c>
      <c r="B442" s="1" t="n">
        <v>45811.58952546296</v>
      </c>
      <c r="C442" s="1" t="n">
        <v>46038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27233-2025</t>
        </is>
      </c>
      <c r="B443" s="1" t="n">
        <v>45812.44297453704</v>
      </c>
      <c r="C443" s="1" t="n">
        <v>46038</v>
      </c>
      <c r="D443" t="inlineStr">
        <is>
          <t>DALARNAS LÄN</t>
        </is>
      </c>
      <c r="E443" t="inlineStr">
        <is>
          <t>BORLÄNGE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27713-2025</t>
        </is>
      </c>
      <c r="B444" s="1" t="n">
        <v>45813</v>
      </c>
      <c r="C444" s="1" t="n">
        <v>46038</v>
      </c>
      <c r="D444" t="inlineStr">
        <is>
          <t>DALARNAS LÄN</t>
        </is>
      </c>
      <c r="E444" t="inlineStr">
        <is>
          <t>BORLÄNGE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27670-2025</t>
        </is>
      </c>
      <c r="B445" s="1" t="n">
        <v>45813.62518518518</v>
      </c>
      <c r="C445" s="1" t="n">
        <v>46038</v>
      </c>
      <c r="D445" t="inlineStr">
        <is>
          <t>DALARNAS LÄN</t>
        </is>
      </c>
      <c r="E445" t="inlineStr">
        <is>
          <t>BORLÄNGE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27714-2025</t>
        </is>
      </c>
      <c r="B446" s="1" t="n">
        <v>45813.91087962963</v>
      </c>
      <c r="C446" s="1" t="n">
        <v>46038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28891-2025</t>
        </is>
      </c>
      <c r="B447" s="1" t="n">
        <v>45820.6316087963</v>
      </c>
      <c r="C447" s="1" t="n">
        <v>46038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30540-2025</t>
        </is>
      </c>
      <c r="B448" s="1" t="n">
        <v>45831.36956018519</v>
      </c>
      <c r="C448" s="1" t="n">
        <v>46038</v>
      </c>
      <c r="D448" t="inlineStr">
        <is>
          <t>DALARNAS LÄN</t>
        </is>
      </c>
      <c r="E448" t="inlineStr">
        <is>
          <t>BORLÄNGE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31589-2025</t>
        </is>
      </c>
      <c r="B449" s="1" t="n">
        <v>45833.69518518518</v>
      </c>
      <c r="C449" s="1" t="n">
        <v>46038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32703-2025</t>
        </is>
      </c>
      <c r="B450" s="1" t="n">
        <v>45839.35089120371</v>
      </c>
      <c r="C450" s="1" t="n">
        <v>46038</v>
      </c>
      <c r="D450" t="inlineStr">
        <is>
          <t>DALARNAS LÄN</t>
        </is>
      </c>
      <c r="E450" t="inlineStr">
        <is>
          <t>BORLÄNGE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32941-2024</t>
        </is>
      </c>
      <c r="B451" s="1" t="n">
        <v>45517.33768518519</v>
      </c>
      <c r="C451" s="1" t="n">
        <v>46038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35789-2025</t>
        </is>
      </c>
      <c r="B452" s="1" t="n">
        <v>45861.33846064815</v>
      </c>
      <c r="C452" s="1" t="n">
        <v>46038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35816-2025</t>
        </is>
      </c>
      <c r="B453" s="1" t="n">
        <v>45861.44006944444</v>
      </c>
      <c r="C453" s="1" t="n">
        <v>46038</v>
      </c>
      <c r="D453" t="inlineStr">
        <is>
          <t>DALARNAS LÄN</t>
        </is>
      </c>
      <c r="E453" t="inlineStr">
        <is>
          <t>BORLÄNGE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55298-2023</t>
        </is>
      </c>
      <c r="B454" s="1" t="n">
        <v>45237</v>
      </c>
      <c r="C454" s="1" t="n">
        <v>46038</v>
      </c>
      <c r="D454" t="inlineStr">
        <is>
          <t>DALARNAS LÄN</t>
        </is>
      </c>
      <c r="E454" t="inlineStr">
        <is>
          <t>BORLÄNGE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36679-2025</t>
        </is>
      </c>
      <c r="B455" s="1" t="n">
        <v>45873.39715277778</v>
      </c>
      <c r="C455" s="1" t="n">
        <v>46038</v>
      </c>
      <c r="D455" t="inlineStr">
        <is>
          <t>DALARNAS LÄN</t>
        </is>
      </c>
      <c r="E455" t="inlineStr">
        <is>
          <t>BORLÄNGE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36696-2025</t>
        </is>
      </c>
      <c r="B456" s="1" t="n">
        <v>45873.43974537037</v>
      </c>
      <c r="C456" s="1" t="n">
        <v>46038</v>
      </c>
      <c r="D456" t="inlineStr">
        <is>
          <t>DALARNAS LÄN</t>
        </is>
      </c>
      <c r="E456" t="inlineStr">
        <is>
          <t>BORLÄNGE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36675-2025</t>
        </is>
      </c>
      <c r="B457" s="1" t="n">
        <v>45873.39479166667</v>
      </c>
      <c r="C457" s="1" t="n">
        <v>46038</v>
      </c>
      <c r="D457" t="inlineStr">
        <is>
          <t>DALARNAS LÄN</t>
        </is>
      </c>
      <c r="E457" t="inlineStr">
        <is>
          <t>BORLÄNGE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37034-2025</t>
        </is>
      </c>
      <c r="B458" s="1" t="n">
        <v>45874</v>
      </c>
      <c r="C458" s="1" t="n">
        <v>46038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37221-2025</t>
        </is>
      </c>
      <c r="B459" s="1" t="n">
        <v>45875.92728009259</v>
      </c>
      <c r="C459" s="1" t="n">
        <v>46038</v>
      </c>
      <c r="D459" t="inlineStr">
        <is>
          <t>DALARNAS LÄN</t>
        </is>
      </c>
      <c r="E459" t="inlineStr">
        <is>
          <t>BORLÄNGE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37223-2025</t>
        </is>
      </c>
      <c r="B460" s="1" t="n">
        <v>45875.93337962963</v>
      </c>
      <c r="C460" s="1" t="n">
        <v>46038</v>
      </c>
      <c r="D460" t="inlineStr">
        <is>
          <t>DALARNAS LÄN</t>
        </is>
      </c>
      <c r="E460" t="inlineStr">
        <is>
          <t>BORLÄNGE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37222-2025</t>
        </is>
      </c>
      <c r="B461" s="1" t="n">
        <v>45875.93008101852</v>
      </c>
      <c r="C461" s="1" t="n">
        <v>46038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37440-2025</t>
        </is>
      </c>
      <c r="B462" s="1" t="n">
        <v>45877.53936342592</v>
      </c>
      <c r="C462" s="1" t="n">
        <v>46038</v>
      </c>
      <c r="D462" t="inlineStr">
        <is>
          <t>DALARNAS LÄN</t>
        </is>
      </c>
      <c r="E462" t="inlineStr">
        <is>
          <t>BORLÄNGE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37743-2025</t>
        </is>
      </c>
      <c r="B463" s="1" t="n">
        <v>45880.65918981482</v>
      </c>
      <c r="C463" s="1" t="n">
        <v>46038</v>
      </c>
      <c r="D463" t="inlineStr">
        <is>
          <t>DALARNAS LÄN</t>
        </is>
      </c>
      <c r="E463" t="inlineStr">
        <is>
          <t>BORLÄNGE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37741-2025</t>
        </is>
      </c>
      <c r="B464" s="1" t="n">
        <v>45880.65695601852</v>
      </c>
      <c r="C464" s="1" t="n">
        <v>46038</v>
      </c>
      <c r="D464" t="inlineStr">
        <is>
          <t>DALARNAS LÄN</t>
        </is>
      </c>
      <c r="E464" t="inlineStr">
        <is>
          <t>BORLÄNGE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37739-2025</t>
        </is>
      </c>
      <c r="B465" s="1" t="n">
        <v>45880.64846064815</v>
      </c>
      <c r="C465" s="1" t="n">
        <v>46038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38375-2025</t>
        </is>
      </c>
      <c r="B466" s="1" t="n">
        <v>45883.57024305555</v>
      </c>
      <c r="C466" s="1" t="n">
        <v>46038</v>
      </c>
      <c r="D466" t="inlineStr">
        <is>
          <t>DALARNAS LÄN</t>
        </is>
      </c>
      <c r="E466" t="inlineStr">
        <is>
          <t>BORLÄNGE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38137-2025</t>
        </is>
      </c>
      <c r="B467" s="1" t="n">
        <v>45882.56737268518</v>
      </c>
      <c r="C467" s="1" t="n">
        <v>46038</v>
      </c>
      <c r="D467" t="inlineStr">
        <is>
          <t>DALARNAS LÄN</t>
        </is>
      </c>
      <c r="E467" t="inlineStr">
        <is>
          <t>BORLÄNGE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2026-01-16T10:56:31Z</dcterms:created>
  <dcterms:modified xmlns:dcterms="http://purl.org/dc/terms/" xmlns:xsi="http://www.w3.org/2001/XMLSchema-instance" xsi:type="dcterms:W3CDTF">2026-01-16T10:56:31Z</dcterms:modified>
</cp:coreProperties>
</file>