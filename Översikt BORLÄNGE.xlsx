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46274</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46274</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46274</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46274</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46274</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46274</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46274</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33677-2026</t>
        </is>
      </c>
      <c r="B9" t="inlineStr">
        <is>
          <t>avverkningsanmälan</t>
        </is>
      </c>
      <c r="C9" t="inlineStr">
        <is>
          <t>Föryngringsavverkning</t>
        </is>
      </c>
      <c r="D9" s="1" t="n">
        <v>46248</v>
      </c>
      <c r="E9" s="1" t="n">
        <v>46274</v>
      </c>
      <c r="F9" t="inlineStr">
        <is>
          <t>DALARNAS LÄN</t>
        </is>
      </c>
      <c r="G9" t="inlineStr">
        <is>
          <t>BORLÄNGE</t>
        </is>
      </c>
      <c r="I9" t="n">
        <v>1.2</v>
      </c>
      <c r="J9" t="n">
        <v>4</v>
      </c>
      <c r="K9" t="n">
        <v>3</v>
      </c>
      <c r="L9" t="n">
        <v>3</v>
      </c>
      <c r="M9" t="n">
        <v>1</v>
      </c>
      <c r="N9" t="n">
        <v>0</v>
      </c>
      <c r="O9" t="n">
        <v>0</v>
      </c>
      <c r="P9" t="n">
        <v>0</v>
      </c>
      <c r="Q9" t="n">
        <v>4</v>
      </c>
      <c r="R9" t="n">
        <v>1</v>
      </c>
      <c r="S9" t="n">
        <v>11</v>
      </c>
      <c r="T9" t="n">
        <v>29</v>
      </c>
      <c r="U9" t="n">
        <v>29</v>
      </c>
      <c r="V9" s="2" t="inlineStr">
        <is>
          <t>Knärot
Barrviolspindling
Bivråk
Tretåig hackspett
Bronshjon
Thomsons trägnagare
Vågbandad barkbock
Blå praktbagge
Blåsippa
Hultbräken
Kransmossa</t>
        </is>
      </c>
      <c r="W9">
        <f>HYPERLINK("https://klasma.github.io/Logging_2081/artfynd/A 33677-2026 artfynd.xlsx", "A 33677-2026")</f>
        <v/>
      </c>
      <c r="X9">
        <f>HYPERLINK("https://klasma.github.io/Logging_2081/kartor/A 33677-2026 karta.png", "A 33677-2026")</f>
        <v/>
      </c>
      <c r="Y9">
        <f>HYPERLINK("https://klasma.github.io/Logging_2081/kartor_geotiff/A 33677-2026 georefererad karta.tif", "A 33677-2026")</f>
        <v/>
      </c>
      <c r="Z9">
        <f>HYPERLINK("https://klasma.github.io/Logging_2081/knärot/A 33677-2026 karta knärot.png", "A 33677-2026")</f>
        <v/>
      </c>
      <c r="AA9">
        <f>HYPERLINK("https://klasma.github.io/Logging_2081/klagomål/A 33677-2026 FSC-klagomål.docx", "A 33677-2026")</f>
        <v/>
      </c>
      <c r="AB9">
        <f>HYPERLINK("https://klasma.github.io/Logging_2081/klagomålsmail/A 33677-2026 FSC-klagomål mail.docx", "A 33677-2026")</f>
        <v/>
      </c>
      <c r="AC9">
        <f>HYPERLINK("https://klasma.github.io/Logging_2081/tillsyn/A 33677-2026 tillsynsbegäran.docx", "A 33677-2026")</f>
        <v/>
      </c>
      <c r="AD9">
        <f>HYPERLINK("https://klasma.github.io/Logging_2081/tillsynsmail/A 33677-2026 tillsynsbegäran mail.docx", "A 33677-2026")</f>
        <v/>
      </c>
      <c r="AE9">
        <f>HYPERLINK("https://klasma.github.io/Logging_2081/fåglar/A 33677-2026 prioriterade fågelarter.docx", "A 33677-2026")</f>
        <v/>
      </c>
    </row>
    <row r="10" ht="15" customHeight="1">
      <c r="A10" t="inlineStr">
        <is>
          <t>A 22907-2025</t>
        </is>
      </c>
      <c r="B10" t="inlineStr">
        <is>
          <t>avverkningsanmälan</t>
        </is>
      </c>
      <c r="C10" t="inlineStr">
        <is>
          <t>Föryngringsavverkning</t>
        </is>
      </c>
      <c r="D10" s="1" t="n">
        <v>45790</v>
      </c>
      <c r="E10" s="1" t="n">
        <v>46274</v>
      </c>
      <c r="F10" t="inlineStr">
        <is>
          <t>DALARNAS LÄN</t>
        </is>
      </c>
      <c r="G10" t="inlineStr">
        <is>
          <t>BORLÄNGE</t>
        </is>
      </c>
      <c r="I10" t="n">
        <v>10</v>
      </c>
      <c r="J10" t="n">
        <v>7</v>
      </c>
      <c r="K10" t="n">
        <v>2</v>
      </c>
      <c r="L10" t="n">
        <v>1</v>
      </c>
      <c r="M10" t="n">
        <v>3</v>
      </c>
      <c r="N10" t="n">
        <v>0</v>
      </c>
      <c r="O10" t="n">
        <v>0</v>
      </c>
      <c r="P10" t="n">
        <v>0</v>
      </c>
      <c r="Q10" t="n">
        <v>4</v>
      </c>
      <c r="R10" t="n">
        <v>3</v>
      </c>
      <c r="S10" t="n">
        <v>11</v>
      </c>
      <c r="T10" t="n">
        <v>33</v>
      </c>
      <c r="U10" t="n">
        <v>26</v>
      </c>
      <c r="V10" s="2" t="inlineStr">
        <is>
          <t>Garnlav
Gräddporing
Knärot
Violettgrå tagellav
Mindre märgborre
Spindelblomster
Järpe
Mattlummer
Spillkråka
Tjäder
Fläcknycklar</t>
        </is>
      </c>
      <c r="W10">
        <f>HYPERLINK("https://klasma.github.io/Logging_2081/artfynd/A 22907-2025 artfynd.xlsx", "A 22907-2025")</f>
        <v/>
      </c>
      <c r="X10">
        <f>HYPERLINK("https://klasma.github.io/Logging_2081/kartor/A 22907-2025 karta.png", "A 22907-2025")</f>
        <v/>
      </c>
      <c r="Y10">
        <f>HYPERLINK("https://klasma.github.io/Logging_2081/kartor_geotiff/A 22907-2025 georefererad karta.tif", "A 22907-2025")</f>
        <v/>
      </c>
      <c r="Z10">
        <f>HYPERLINK("https://klasma.github.io/Logging_2081/knärot/A 22907-2025 karta knärot.png", "A 22907-2025")</f>
        <v/>
      </c>
      <c r="AA10">
        <f>HYPERLINK("https://klasma.github.io/Logging_2081/klagomål/A 22907-2025 FSC-klagomål.docx", "A 22907-2025")</f>
        <v/>
      </c>
      <c r="AB10">
        <f>HYPERLINK("https://klasma.github.io/Logging_2081/klagomålsmail/A 22907-2025 FSC-klagomål mail.docx", "A 22907-2025")</f>
        <v/>
      </c>
      <c r="AC10">
        <f>HYPERLINK("https://klasma.github.io/Logging_2081/tillsyn/A 22907-2025 tillsynsbegäran.docx", "A 22907-2025")</f>
        <v/>
      </c>
      <c r="AD10">
        <f>HYPERLINK("https://klasma.github.io/Logging_2081/tillsynsmail/A 22907-2025 tillsynsbegäran mail.docx", "A 22907-2025")</f>
        <v/>
      </c>
      <c r="AE10">
        <f>HYPERLINK("https://klasma.github.io/Logging_2081/fåglar/A 22907-2025 prioriterade fågelarter.docx", "A 22907-2025")</f>
        <v/>
      </c>
    </row>
    <row r="11" ht="15" customHeight="1">
      <c r="A11" t="inlineStr">
        <is>
          <t>A 37473-2025</t>
        </is>
      </c>
      <c r="B11" t="inlineStr">
        <is>
          <t>avverkningsanmälan</t>
        </is>
      </c>
      <c r="C11" t="inlineStr">
        <is>
          <t>Föryngringsavverkning</t>
        </is>
      </c>
      <c r="D11" s="1" t="n">
        <v>45877</v>
      </c>
      <c r="E11" s="1" t="n">
        <v>46274</v>
      </c>
      <c r="F11" t="inlineStr">
        <is>
          <t>DALARNAS LÄN</t>
        </is>
      </c>
      <c r="G11" t="inlineStr">
        <is>
          <t>BORLÄNGE</t>
        </is>
      </c>
      <c r="I11" t="n">
        <v>12.2</v>
      </c>
      <c r="J11" t="n">
        <v>4</v>
      </c>
      <c r="K11" t="n">
        <v>2</v>
      </c>
      <c r="L11" t="n">
        <v>5</v>
      </c>
      <c r="M11" t="n">
        <v>2</v>
      </c>
      <c r="N11" t="n">
        <v>0</v>
      </c>
      <c r="O11" t="n">
        <v>0</v>
      </c>
      <c r="P11" t="n">
        <v>0</v>
      </c>
      <c r="Q11" t="n">
        <v>7</v>
      </c>
      <c r="R11" t="n">
        <v>2</v>
      </c>
      <c r="S11" t="n">
        <v>11</v>
      </c>
      <c r="T11" t="n">
        <v>34</v>
      </c>
      <c r="U11" t="n">
        <v>9</v>
      </c>
      <c r="V11" s="2" t="inlineStr">
        <is>
          <t>Garnlav
Knärot
Dropptaggsvamp
Skarp dropptaggsvamp
Tretåig hackspett
Ullticka
Violettgrå tagellav
Bronshjon
Vedticka
Spillkråka
Fläcknycklar</t>
        </is>
      </c>
      <c r="W11">
        <f>HYPERLINK("https://klasma.github.io/Logging_2081/artfynd/A 37473-2025 artfynd.xlsx", "A 37473-2025")</f>
        <v/>
      </c>
      <c r="X11">
        <f>HYPERLINK("https://klasma.github.io/Logging_2081/kartor/A 37473-2025 karta.png", "A 37473-2025")</f>
        <v/>
      </c>
      <c r="Y11">
        <f>HYPERLINK("https://klasma.github.io/Logging_2081/kartor_geotiff/A 37473-2025 georefererad karta.tif", "A 37473-2025")</f>
        <v/>
      </c>
      <c r="Z11">
        <f>HYPERLINK("https://klasma.github.io/Logging_2081/knärot/A 37473-2025 karta knärot.png", "A 37473-2025")</f>
        <v/>
      </c>
      <c r="AA11">
        <f>HYPERLINK("https://klasma.github.io/Logging_2081/klagomål/A 37473-2025 FSC-klagomål.docx", "A 37473-2025")</f>
        <v/>
      </c>
      <c r="AB11">
        <f>HYPERLINK("https://klasma.github.io/Logging_2081/klagomålsmail/A 37473-2025 FSC-klagomål mail.docx", "A 37473-2025")</f>
        <v/>
      </c>
      <c r="AC11">
        <f>HYPERLINK("https://klasma.github.io/Logging_2081/tillsyn/A 37473-2025 tillsynsbegäran.docx", "A 37473-2025")</f>
        <v/>
      </c>
      <c r="AD11">
        <f>HYPERLINK("https://klasma.github.io/Logging_2081/tillsynsmail/A 37473-2025 tillsynsbegäran mail.docx", "A 37473-2025")</f>
        <v/>
      </c>
      <c r="AE11">
        <f>HYPERLINK("https://klasma.github.io/Logging_2081/fåglar/A 37473-2025 prioriterade fågelarter.docx", "A 37473-2025")</f>
        <v/>
      </c>
    </row>
    <row r="12" ht="15" customHeight="1">
      <c r="A12" t="inlineStr">
        <is>
          <t>A 59665-2022</t>
        </is>
      </c>
      <c r="B12" t="inlineStr">
        <is>
          <t>avverkningsanmälan</t>
        </is>
      </c>
      <c r="C12" t="inlineStr">
        <is>
          <t>Föryngringsavverkning</t>
        </is>
      </c>
      <c r="D12" s="1" t="n">
        <v>44908</v>
      </c>
      <c r="E12" s="1" t="n">
        <v>46274</v>
      </c>
      <c r="F12" t="inlineStr">
        <is>
          <t>DALARNAS LÄN</t>
        </is>
      </c>
      <c r="G12" t="inlineStr">
        <is>
          <t>BORLÄNGE</t>
        </is>
      </c>
      <c r="I12" t="n">
        <v>16.1</v>
      </c>
      <c r="J12" t="n">
        <v>3</v>
      </c>
      <c r="K12" t="n">
        <v>1</v>
      </c>
      <c r="L12" t="n">
        <v>6</v>
      </c>
      <c r="M12" t="n">
        <v>2</v>
      </c>
      <c r="N12" t="n">
        <v>0</v>
      </c>
      <c r="O12" t="n">
        <v>0</v>
      </c>
      <c r="P12" t="n">
        <v>0</v>
      </c>
      <c r="Q12" t="n">
        <v>8</v>
      </c>
      <c r="R12" t="n">
        <v>2</v>
      </c>
      <c r="S12" t="n">
        <v>11</v>
      </c>
      <c r="T12" t="n">
        <v>21</v>
      </c>
      <c r="U12" t="n">
        <v>8</v>
      </c>
      <c r="V12" s="2" t="inlineStr">
        <is>
          <t>Garnlav
Knärot
Dropptaggsvamp
Gammelgransskål
Halmgul örnlav
Mörk kolflarnlav
Vedskivlav
Vedtrappmossa
Barkkornlav
Tjäder
Fläcknycklar</t>
        </is>
      </c>
      <c r="W12">
        <f>HYPERLINK("https://klasma.github.io/Logging_2081/artfynd/A 59665-2022 artfynd.xlsx", "A 59665-2022")</f>
        <v/>
      </c>
      <c r="X12">
        <f>HYPERLINK("https://klasma.github.io/Logging_2081/kartor/A 59665-2022 karta.png", "A 59665-2022")</f>
        <v/>
      </c>
      <c r="Y12">
        <f>HYPERLINK("https://klasma.github.io/Logging_2081/kartor_geotiff/A 59665-2022 georefererad karta.tif", "A 59665-2022")</f>
        <v/>
      </c>
      <c r="Z12">
        <f>HYPERLINK("https://klasma.github.io/Logging_2081/knärot/A 59665-2022 karta knärot.png", "A 59665-2022")</f>
        <v/>
      </c>
      <c r="AA12">
        <f>HYPERLINK("https://klasma.github.io/Logging_2081/klagomål/A 59665-2022 FSC-klagomål.docx", "A 59665-2022")</f>
        <v/>
      </c>
      <c r="AB12">
        <f>HYPERLINK("https://klasma.github.io/Logging_2081/klagomålsmail/A 59665-2022 FSC-klagomål mail.docx", "A 59665-2022")</f>
        <v/>
      </c>
      <c r="AC12">
        <f>HYPERLINK("https://klasma.github.io/Logging_2081/tillsyn/A 59665-2022 tillsynsbegäran.docx", "A 59665-2022")</f>
        <v/>
      </c>
      <c r="AD12">
        <f>HYPERLINK("https://klasma.github.io/Logging_2081/tillsynsmail/A 59665-2022 tillsynsbegäran mail.docx", "A 59665-2022")</f>
        <v/>
      </c>
      <c r="AE12">
        <f>HYPERLINK("https://klasma.github.io/Logging_2081/fåglar/A 59665-2022 prioriterade fågelarter.docx", "A 59665-2022")</f>
        <v/>
      </c>
    </row>
    <row r="13" ht="15" customHeight="1">
      <c r="A13" t="inlineStr">
        <is>
          <t>A 28671-2025</t>
        </is>
      </c>
      <c r="B13" t="inlineStr">
        <is>
          <t>avverkningsanmälan</t>
        </is>
      </c>
      <c r="C13" t="inlineStr">
        <is>
          <t>Föryngringsavverkning</t>
        </is>
      </c>
      <c r="D13" s="1" t="n">
        <v>45819</v>
      </c>
      <c r="E13" s="1" t="n">
        <v>46274</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A 17081-2026</t>
        </is>
      </c>
      <c r="B14" t="inlineStr">
        <is>
          <t>avverkningsanmälan</t>
        </is>
      </c>
      <c r="C14" t="inlineStr">
        <is>
          <t>Föryngringsavverkning</t>
        </is>
      </c>
      <c r="D14" s="1" t="n">
        <v>46114</v>
      </c>
      <c r="E14" s="1" t="n">
        <v>46274</v>
      </c>
      <c r="F14" t="inlineStr">
        <is>
          <t>DALARNAS LÄN</t>
        </is>
      </c>
      <c r="G14" t="inlineStr">
        <is>
          <t>BORLÄNGE</t>
        </is>
      </c>
      <c r="I14" t="n">
        <v>14</v>
      </c>
      <c r="J14" t="n">
        <v>3</v>
      </c>
      <c r="K14" t="n">
        <v>5</v>
      </c>
      <c r="L14" t="n">
        <v>3</v>
      </c>
      <c r="M14" t="n">
        <v>0</v>
      </c>
      <c r="N14" t="n">
        <v>0</v>
      </c>
      <c r="O14" t="n">
        <v>0</v>
      </c>
      <c r="P14" t="n">
        <v>0</v>
      </c>
      <c r="Q14" t="n">
        <v>3</v>
      </c>
      <c r="R14" t="n">
        <v>0</v>
      </c>
      <c r="S14" t="n">
        <v>10</v>
      </c>
      <c r="T14" t="n">
        <v>20</v>
      </c>
      <c r="U14" t="n">
        <v>0</v>
      </c>
      <c r="V14" s="2" t="inlineStr">
        <is>
          <t>Dropptaggsvamp
Talltita
Violettgrå tagellav
Dolkstekelsglasvinge
Grovticka
Mindre märgborre
Vanlig flatbagge
Vågbandad barkbock
Spillkråka
Revlummer</t>
        </is>
      </c>
      <c r="W14">
        <f>HYPERLINK("https://klasma.github.io/Logging_2081/artfynd/A 17081-2026 artfynd.xlsx", "A 17081-2026")</f>
        <v/>
      </c>
      <c r="X14">
        <f>HYPERLINK("https://klasma.github.io/Logging_2081/kartor/A 17081-2026 karta.png", "A 17081-2026")</f>
        <v/>
      </c>
      <c r="Y14">
        <f>HYPERLINK("https://klasma.github.io/Logging_2081/kartor_geotiff/A 17081-2026 georefererad karta.tif", "A 17081-2026")</f>
        <v/>
      </c>
      <c r="AA14">
        <f>HYPERLINK("https://klasma.github.io/Logging_2081/klagomål/A 17081-2026 FSC-klagomål.docx", "A 17081-2026")</f>
        <v/>
      </c>
      <c r="AB14">
        <f>HYPERLINK("https://klasma.github.io/Logging_2081/klagomålsmail/A 17081-2026 FSC-klagomål mail.docx", "A 17081-2026")</f>
        <v/>
      </c>
      <c r="AC14">
        <f>HYPERLINK("https://klasma.github.io/Logging_2081/tillsyn/A 17081-2026 tillsynsbegäran.docx", "A 17081-2026")</f>
        <v/>
      </c>
      <c r="AD14">
        <f>HYPERLINK("https://klasma.github.io/Logging_2081/tillsynsmail/A 17081-2026 tillsynsbegäran mail.docx", "A 17081-2026")</f>
        <v/>
      </c>
      <c r="AE14">
        <f>HYPERLINK("https://klasma.github.io/Logging_2081/fåglar/A 17081-2026 prioriterade fågelarter.docx", "A 17081-2026")</f>
        <v/>
      </c>
    </row>
    <row r="15" ht="15" customHeight="1">
      <c r="A15" t="inlineStr">
        <is>
          <t>S 283-2026</t>
        </is>
      </c>
      <c r="B15" t="inlineStr">
        <is>
          <t>samrådsanmälan</t>
        </is>
      </c>
      <c r="C15" t="inlineStr">
        <is>
          <t>Annan skogsbruksåtgärd</t>
        </is>
      </c>
      <c r="D15" s="1" t="n">
        <v>46056</v>
      </c>
      <c r="E15" s="1" t="n">
        <v>46274</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46274</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46274</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46274</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46274</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46274</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56</v>
      </c>
      <c r="U20" t="n">
        <v>56</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46274</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46274</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46274</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33492-2026</t>
        </is>
      </c>
      <c r="B24" t="inlineStr">
        <is>
          <t>avverkningsanmälan</t>
        </is>
      </c>
      <c r="C24" t="inlineStr">
        <is>
          <t>Föryngringsavverkning</t>
        </is>
      </c>
      <c r="D24" s="1" t="n">
        <v>46247</v>
      </c>
      <c r="E24" s="1" t="n">
        <v>46274</v>
      </c>
      <c r="F24" t="inlineStr">
        <is>
          <t>DALARNAS LÄN</t>
        </is>
      </c>
      <c r="G24" t="inlineStr">
        <is>
          <t>BORLÄNGE</t>
        </is>
      </c>
      <c r="I24" t="n">
        <v>2.5</v>
      </c>
      <c r="J24" t="n">
        <v>2</v>
      </c>
      <c r="K24" t="n">
        <v>2</v>
      </c>
      <c r="L24" t="n">
        <v>4</v>
      </c>
      <c r="M24" t="n">
        <v>1</v>
      </c>
      <c r="N24" t="n">
        <v>0</v>
      </c>
      <c r="O24" t="n">
        <v>0</v>
      </c>
      <c r="P24" t="n">
        <v>0</v>
      </c>
      <c r="Q24" t="n">
        <v>5</v>
      </c>
      <c r="R24" t="n">
        <v>1</v>
      </c>
      <c r="S24" t="n">
        <v>7</v>
      </c>
      <c r="T24" t="n">
        <v>10</v>
      </c>
      <c r="U24" t="n">
        <v>0</v>
      </c>
      <c r="V24" s="2" t="inlineStr">
        <is>
          <t>Knärot
Rosenticka
Rynkskinn
Tretåig hackspett
Ullticka
Gullgröppa
Trådticka</t>
        </is>
      </c>
      <c r="W24">
        <f>HYPERLINK("https://klasma.github.io/Logging_2081/artfynd/A 33492-2026 artfynd.xlsx", "A 33492-2026")</f>
        <v/>
      </c>
      <c r="X24">
        <f>HYPERLINK("https://klasma.github.io/Logging_2081/kartor/A 33492-2026 karta.png", "A 33492-2026")</f>
        <v/>
      </c>
      <c r="Y24">
        <f>HYPERLINK("https://klasma.github.io/Logging_2081/kartor_geotiff/A 33492-2026 georefererad karta.tif", "A 33492-2026")</f>
        <v/>
      </c>
      <c r="Z24">
        <f>HYPERLINK("https://klasma.github.io/Logging_2081/knärot/A 33492-2026 karta knärot.png", "A 33492-2026")</f>
        <v/>
      </c>
      <c r="AA24">
        <f>HYPERLINK("https://klasma.github.io/Logging_2081/klagomål/A 33492-2026 FSC-klagomål.docx", "A 33492-2026")</f>
        <v/>
      </c>
      <c r="AB24">
        <f>HYPERLINK("https://klasma.github.io/Logging_2081/klagomålsmail/A 33492-2026 FSC-klagomål mail.docx", "A 33492-2026")</f>
        <v/>
      </c>
      <c r="AC24">
        <f>HYPERLINK("https://klasma.github.io/Logging_2081/tillsyn/A 33492-2026 tillsynsbegäran.docx", "A 33492-2026")</f>
        <v/>
      </c>
      <c r="AD24">
        <f>HYPERLINK("https://klasma.github.io/Logging_2081/tillsynsmail/A 33492-2026 tillsynsbegäran mail.docx", "A 33492-2026")</f>
        <v/>
      </c>
      <c r="AE24">
        <f>HYPERLINK("https://klasma.github.io/Logging_2081/fåglar/A 33492-2026 prioriterade fågelarter.docx", "A 33492-2026")</f>
        <v/>
      </c>
    </row>
    <row r="25" ht="15" customHeight="1">
      <c r="A25" t="inlineStr">
        <is>
          <t>A 31096-2026</t>
        </is>
      </c>
      <c r="B25" t="inlineStr">
        <is>
          <t>avverkningsanmälan</t>
        </is>
      </c>
      <c r="C25" t="inlineStr">
        <is>
          <t>Föryngringsavverkning</t>
        </is>
      </c>
      <c r="D25" s="1" t="n">
        <v>46216</v>
      </c>
      <c r="E25" s="1" t="n">
        <v>46274</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48706-2023</t>
        </is>
      </c>
      <c r="B26" t="inlineStr">
        <is>
          <t>avverkningsanmälan</t>
        </is>
      </c>
      <c r="C26" t="inlineStr">
        <is>
          <t>Föryngringsavverkning</t>
        </is>
      </c>
      <c r="D26" s="1" t="n">
        <v>45208</v>
      </c>
      <c r="E26" s="1" t="n">
        <v>46274</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46274</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46274</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46274</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46274</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10755-2024</t>
        </is>
      </c>
      <c r="B31" t="inlineStr">
        <is>
          <t>avverkningsanmälan</t>
        </is>
      </c>
      <c r="C31" t="inlineStr">
        <is>
          <t>Föryngringsavverkning</t>
        </is>
      </c>
      <c r="D31" s="1" t="n">
        <v>45369</v>
      </c>
      <c r="E31" s="1" t="n">
        <v>46274</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16943-2026</t>
        </is>
      </c>
      <c r="B32" t="inlineStr">
        <is>
          <t>avverkningsanmälan</t>
        </is>
      </c>
      <c r="C32" t="inlineStr">
        <is>
          <t>Föryngringsavverkning</t>
        </is>
      </c>
      <c r="D32" s="1" t="n">
        <v>46113</v>
      </c>
      <c r="E32" s="1" t="n">
        <v>46274</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46274</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30216-2025</t>
        </is>
      </c>
      <c r="B34" t="inlineStr">
        <is>
          <t>avverkningsanmälan</t>
        </is>
      </c>
      <c r="C34" t="inlineStr">
        <is>
          <t>Föryngringsavverkning</t>
        </is>
      </c>
      <c r="D34" s="1" t="n">
        <v>45827</v>
      </c>
      <c r="E34" s="1" t="n">
        <v>46274</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48937-2021</t>
        </is>
      </c>
      <c r="B35" t="inlineStr">
        <is>
          <t>avverkningsanmälan</t>
        </is>
      </c>
      <c r="C35" t="inlineStr">
        <is>
          <t>Föryngringsavverkning</t>
        </is>
      </c>
      <c r="D35" s="1" t="n">
        <v>44453</v>
      </c>
      <c r="E35" s="1" t="n">
        <v>46274</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49835-2025</t>
        </is>
      </c>
      <c r="B36" t="inlineStr">
        <is>
          <t>avverkningsanmälan</t>
        </is>
      </c>
      <c r="C36" t="inlineStr">
        <is>
          <t>Föryngringsavverkning</t>
        </is>
      </c>
      <c r="D36" s="1" t="n">
        <v>45940</v>
      </c>
      <c r="E36" s="1" t="n">
        <v>46274</v>
      </c>
      <c r="F36" t="inlineStr">
        <is>
          <t>DALARNAS LÄN</t>
        </is>
      </c>
      <c r="G36" t="inlineStr">
        <is>
          <t>BORLÄNGE</t>
        </is>
      </c>
      <c r="H36" t="inlineStr">
        <is>
          <t>Bergvik skog väst AB</t>
        </is>
      </c>
      <c r="I36" t="n">
        <v>5.6</v>
      </c>
      <c r="J36" t="n">
        <v>1</v>
      </c>
      <c r="K36" t="n">
        <v>1</v>
      </c>
      <c r="L36" t="n">
        <v>2</v>
      </c>
      <c r="M36" t="n">
        <v>1</v>
      </c>
      <c r="N36" t="n">
        <v>0</v>
      </c>
      <c r="O36" t="n">
        <v>0</v>
      </c>
      <c r="P36" t="n">
        <v>0</v>
      </c>
      <c r="Q36" t="n">
        <v>3</v>
      </c>
      <c r="R36" t="n">
        <v>1</v>
      </c>
      <c r="S36" t="n">
        <v>4</v>
      </c>
      <c r="T36" t="n">
        <v>8</v>
      </c>
      <c r="U36" t="n">
        <v>6</v>
      </c>
      <c r="V36" s="2" t="inlineStr">
        <is>
          <t>Knärot
Dropptaggsvamp
Fjällig taggsvamp s.str.
Mindre märgborre</t>
        </is>
      </c>
      <c r="W36">
        <f>HYPERLINK("https://klasma.github.io/Logging_2081/artfynd/A 49835-2025 artfynd.xlsx", "A 49835-2025")</f>
        <v/>
      </c>
      <c r="X36">
        <f>HYPERLINK("https://klasma.github.io/Logging_2081/kartor/A 49835-2025 karta.png", "A 49835-2025")</f>
        <v/>
      </c>
      <c r="Y36">
        <f>HYPERLINK("https://klasma.github.io/Logging_2081/kartor_geotiff/A 49835-2025 georefererad karta.tif", "A 49835-2025")</f>
        <v/>
      </c>
      <c r="Z36">
        <f>HYPERLINK("https://klasma.github.io/Logging_2081/knärot/A 49835-2025 karta knärot.png", "A 49835-2025")</f>
        <v/>
      </c>
      <c r="AA36">
        <f>HYPERLINK("https://klasma.github.io/Logging_2081/klagomål/A 49835-2025 FSC-klagomål.docx", "A 49835-2025")</f>
        <v/>
      </c>
      <c r="AB36">
        <f>HYPERLINK("https://klasma.github.io/Logging_2081/klagomålsmail/A 49835-2025 FSC-klagomål mail.docx", "A 49835-2025")</f>
        <v/>
      </c>
      <c r="AC36">
        <f>HYPERLINK("https://klasma.github.io/Logging_2081/tillsyn/A 49835-2025 tillsynsbegäran.docx", "A 49835-2025")</f>
        <v/>
      </c>
      <c r="AD36">
        <f>HYPERLINK("https://klasma.github.io/Logging_2081/tillsynsmail/A 49835-2025 tillsynsbegäran mail.docx", "A 49835-2025")</f>
        <v/>
      </c>
    </row>
    <row r="37" ht="15" customHeight="1">
      <c r="A37" t="inlineStr">
        <is>
          <t>A 26031-2026</t>
        </is>
      </c>
      <c r="B37" t="inlineStr">
        <is>
          <t>avverkningsanmälan</t>
        </is>
      </c>
      <c r="C37" t="inlineStr">
        <is>
          <t>Föryngringsavverkning</t>
        </is>
      </c>
      <c r="D37" s="1" t="n">
        <v>46181</v>
      </c>
      <c r="E37" s="1" t="n">
        <v>46274</v>
      </c>
      <c r="F37" t="inlineStr">
        <is>
          <t>DALARNAS LÄN</t>
        </is>
      </c>
      <c r="G37" t="inlineStr">
        <is>
          <t>BORLÄNGE</t>
        </is>
      </c>
      <c r="H37" t="inlineStr">
        <is>
          <t>Bergvik skog väst AB</t>
        </is>
      </c>
      <c r="I37" t="n">
        <v>1.8</v>
      </c>
      <c r="J37" t="n">
        <v>0</v>
      </c>
      <c r="K37" t="n">
        <v>3</v>
      </c>
      <c r="L37" t="n">
        <v>0</v>
      </c>
      <c r="M37" t="n">
        <v>0</v>
      </c>
      <c r="N37" t="n">
        <v>1</v>
      </c>
      <c r="O37" t="n">
        <v>0</v>
      </c>
      <c r="P37" t="n">
        <v>0</v>
      </c>
      <c r="Q37" t="n">
        <v>1</v>
      </c>
      <c r="R37" t="n">
        <v>1</v>
      </c>
      <c r="S37" t="n">
        <v>4</v>
      </c>
      <c r="T37" t="n">
        <v>5</v>
      </c>
      <c r="U37" t="n">
        <v>0</v>
      </c>
      <c r="V37" s="2" t="inlineStr">
        <is>
          <t>Flodpärlmussla
Björksplintborre
Mindre märgborre
Vågbandad barkbock</t>
        </is>
      </c>
      <c r="W37">
        <f>HYPERLINK("https://klasma.github.io/Logging_2081/artfynd/A 26031-2026 artfynd.xlsx", "A 26031-2026")</f>
        <v/>
      </c>
      <c r="X37">
        <f>HYPERLINK("https://klasma.github.io/Logging_2081/kartor/A 26031-2026 karta.png", "A 26031-2026")</f>
        <v/>
      </c>
      <c r="Y37">
        <f>HYPERLINK("https://klasma.github.io/Logging_2081/kartor_geotiff/A 26031-2026 georefererad karta.tif", "A 26031-2026")</f>
        <v/>
      </c>
      <c r="AA37">
        <f>HYPERLINK("https://klasma.github.io/Logging_2081/klagomål/A 26031-2026 FSC-klagomål.docx", "A 26031-2026")</f>
        <v/>
      </c>
      <c r="AB37">
        <f>HYPERLINK("https://klasma.github.io/Logging_2081/klagomålsmail/A 26031-2026 FSC-klagomål mail.docx", "A 26031-2026")</f>
        <v/>
      </c>
      <c r="AC37">
        <f>HYPERLINK("https://klasma.github.io/Logging_2081/tillsyn/A 26031-2026 tillsynsbegäran.docx", "A 26031-2026")</f>
        <v/>
      </c>
      <c r="AD37">
        <f>HYPERLINK("https://klasma.github.io/Logging_2081/tillsynsmail/A 26031-2026 tillsynsbegäran mail.docx", "A 26031-2026")</f>
        <v/>
      </c>
    </row>
    <row r="38" ht="15" customHeight="1">
      <c r="A38" t="inlineStr">
        <is>
          <t>A 37475-2025</t>
        </is>
      </c>
      <c r="B38" t="inlineStr">
        <is>
          <t>avverkningsanmälan</t>
        </is>
      </c>
      <c r="C38" t="inlineStr">
        <is>
          <t>Föryngringsavverkning</t>
        </is>
      </c>
      <c r="D38" s="1" t="n">
        <v>45877</v>
      </c>
      <c r="E38" s="1" t="n">
        <v>46274</v>
      </c>
      <c r="F38" t="inlineStr">
        <is>
          <t>DALARNAS LÄN</t>
        </is>
      </c>
      <c r="G38" t="inlineStr">
        <is>
          <t>BORLÄNGE</t>
        </is>
      </c>
      <c r="I38" t="n">
        <v>0.7</v>
      </c>
      <c r="J38" t="n">
        <v>2</v>
      </c>
      <c r="K38" t="n">
        <v>1</v>
      </c>
      <c r="L38" t="n">
        <v>2</v>
      </c>
      <c r="M38" t="n">
        <v>1</v>
      </c>
      <c r="N38" t="n">
        <v>0</v>
      </c>
      <c r="O38" t="n">
        <v>0</v>
      </c>
      <c r="P38" t="n">
        <v>0</v>
      </c>
      <c r="Q38" t="n">
        <v>3</v>
      </c>
      <c r="R38" t="n">
        <v>1</v>
      </c>
      <c r="S38" t="n">
        <v>4</v>
      </c>
      <c r="T38" t="n">
        <v>8</v>
      </c>
      <c r="U38" t="n">
        <v>6</v>
      </c>
      <c r="V38" s="2" t="inlineStr">
        <is>
          <t>Knärot
Tretåig hackspett
Violettgrå tagellav
Grönpyrola</t>
        </is>
      </c>
      <c r="W38">
        <f>HYPERLINK("https://klasma.github.io/Logging_2081/artfynd/A 37475-2025 artfynd.xlsx", "A 37475-2025")</f>
        <v/>
      </c>
      <c r="X38">
        <f>HYPERLINK("https://klasma.github.io/Logging_2081/kartor/A 37475-2025 karta.png", "A 37475-2025")</f>
        <v/>
      </c>
      <c r="Y38">
        <f>HYPERLINK("https://klasma.github.io/Logging_2081/kartor_geotiff/A 37475-2025 georefererad karta.tif", "A 37475-2025")</f>
        <v/>
      </c>
      <c r="Z38">
        <f>HYPERLINK("https://klasma.github.io/Logging_2081/knärot/A 37475-2025 karta knärot.png", "A 37475-2025")</f>
        <v/>
      </c>
      <c r="AA38">
        <f>HYPERLINK("https://klasma.github.io/Logging_2081/klagomål/A 37475-2025 FSC-klagomål.docx", "A 37475-2025")</f>
        <v/>
      </c>
      <c r="AB38">
        <f>HYPERLINK("https://klasma.github.io/Logging_2081/klagomålsmail/A 37475-2025 FSC-klagomål mail.docx", "A 37475-2025")</f>
        <v/>
      </c>
      <c r="AC38">
        <f>HYPERLINK("https://klasma.github.io/Logging_2081/tillsyn/A 37475-2025 tillsynsbegäran.docx", "A 37475-2025")</f>
        <v/>
      </c>
      <c r="AD38">
        <f>HYPERLINK("https://klasma.github.io/Logging_2081/tillsynsmail/A 37475-2025 tillsynsbegäran mail.docx", "A 37475-2025")</f>
        <v/>
      </c>
      <c r="AE38">
        <f>HYPERLINK("https://klasma.github.io/Logging_2081/fåglar/A 37475-2025 prioriterade fågelarter.docx", "A 37475-2025")</f>
        <v/>
      </c>
    </row>
    <row r="39" ht="15" customHeight="1">
      <c r="A39" t="inlineStr">
        <is>
          <t>A 64124-2025</t>
        </is>
      </c>
      <c r="B39" t="inlineStr">
        <is>
          <t>avverkningsanmälan</t>
        </is>
      </c>
      <c r="C39" t="inlineStr">
        <is>
          <t>Föryngringsavverkning</t>
        </is>
      </c>
      <c r="D39" s="1" t="n">
        <v>46021</v>
      </c>
      <c r="E39" s="1" t="n">
        <v>46274</v>
      </c>
      <c r="F39" t="inlineStr">
        <is>
          <t>DALARNAS LÄN</t>
        </is>
      </c>
      <c r="G39" t="inlineStr">
        <is>
          <t>BORLÄNGE</t>
        </is>
      </c>
      <c r="I39" t="n">
        <v>1.4</v>
      </c>
      <c r="J39" t="n">
        <v>1</v>
      </c>
      <c r="K39" t="n">
        <v>0</v>
      </c>
      <c r="L39" t="n">
        <v>3</v>
      </c>
      <c r="M39" t="n">
        <v>1</v>
      </c>
      <c r="N39" t="n">
        <v>0</v>
      </c>
      <c r="O39" t="n">
        <v>0</v>
      </c>
      <c r="P39" t="n">
        <v>0</v>
      </c>
      <c r="Q39" t="n">
        <v>4</v>
      </c>
      <c r="R39" t="n">
        <v>1</v>
      </c>
      <c r="S39" t="n">
        <v>4</v>
      </c>
      <c r="T39" t="n">
        <v>9</v>
      </c>
      <c r="U39" t="n">
        <v>0</v>
      </c>
      <c r="V39" s="2" t="inlineStr">
        <is>
          <t>Knärot
Rosenticka
Rynkskinn
Ullticka</t>
        </is>
      </c>
      <c r="W39">
        <f>HYPERLINK("https://klasma.github.io/Logging_2081/artfynd/A 64124-2025 artfynd.xlsx", "A 64124-2025")</f>
        <v/>
      </c>
      <c r="X39">
        <f>HYPERLINK("https://klasma.github.io/Logging_2081/kartor/A 64124-2025 karta.png", "A 64124-2025")</f>
        <v/>
      </c>
      <c r="Y39">
        <f>HYPERLINK("https://klasma.github.io/Logging_2081/kartor_geotiff/A 64124-2025 georefererad karta.tif", "A 64124-2025")</f>
        <v/>
      </c>
      <c r="Z39">
        <f>HYPERLINK("https://klasma.github.io/Logging_2081/knärot/A 64124-2025 karta knärot.png", "A 64124-2025")</f>
        <v/>
      </c>
      <c r="AA39">
        <f>HYPERLINK("https://klasma.github.io/Logging_2081/klagomål/A 64124-2025 FSC-klagomål.docx", "A 64124-2025")</f>
        <v/>
      </c>
      <c r="AB39">
        <f>HYPERLINK("https://klasma.github.io/Logging_2081/klagomålsmail/A 64124-2025 FSC-klagomål mail.docx", "A 64124-2025")</f>
        <v/>
      </c>
      <c r="AC39">
        <f>HYPERLINK("https://klasma.github.io/Logging_2081/tillsyn/A 64124-2025 tillsynsbegäran.docx", "A 64124-2025")</f>
        <v/>
      </c>
      <c r="AD39">
        <f>HYPERLINK("https://klasma.github.io/Logging_2081/tillsynsmail/A 64124-2025 tillsynsbegäran mail.docx", "A 64124-2025")</f>
        <v/>
      </c>
    </row>
    <row r="40" ht="15" customHeight="1">
      <c r="A40" t="inlineStr">
        <is>
          <t>A 3087-2025</t>
        </is>
      </c>
      <c r="B40" t="inlineStr">
        <is>
          <t>avverkningsanmälan</t>
        </is>
      </c>
      <c r="C40" t="inlineStr">
        <is>
          <t>Föryngringsavverkning</t>
        </is>
      </c>
      <c r="D40" s="1" t="n">
        <v>45678</v>
      </c>
      <c r="E40" s="1" t="n">
        <v>46274</v>
      </c>
      <c r="F40" t="inlineStr">
        <is>
          <t>DALARNAS LÄN</t>
        </is>
      </c>
      <c r="G40" t="inlineStr">
        <is>
          <t>BORLÄNGE</t>
        </is>
      </c>
      <c r="H40" t="inlineStr">
        <is>
          <t>Kommuner</t>
        </is>
      </c>
      <c r="I40" t="n">
        <v>10.8</v>
      </c>
      <c r="J40" t="n">
        <v>1</v>
      </c>
      <c r="K40" t="n">
        <v>0</v>
      </c>
      <c r="L40" t="n">
        <v>3</v>
      </c>
      <c r="M40" t="n">
        <v>0</v>
      </c>
      <c r="N40" t="n">
        <v>0</v>
      </c>
      <c r="O40" t="n">
        <v>0</v>
      </c>
      <c r="P40" t="n">
        <v>0</v>
      </c>
      <c r="Q40" t="n">
        <v>3</v>
      </c>
      <c r="R40" t="n">
        <v>0</v>
      </c>
      <c r="S40" t="n">
        <v>4</v>
      </c>
      <c r="T40" t="n">
        <v>13</v>
      </c>
      <c r="U40" t="n">
        <v>13</v>
      </c>
      <c r="V40" s="2" t="inlineStr">
        <is>
          <t>Rosenticka
Rynkskinn
Ullticka
Blåsippa</t>
        </is>
      </c>
      <c r="W40">
        <f>HYPERLINK("https://klasma.github.io/Logging_2081/artfynd/A 3087-2025 artfynd.xlsx", "A 3087-2025")</f>
        <v/>
      </c>
      <c r="X40">
        <f>HYPERLINK("https://klasma.github.io/Logging_2081/kartor/A 3087-2025 karta.png", "A 3087-2025")</f>
        <v/>
      </c>
      <c r="Y40">
        <f>HYPERLINK("https://klasma.github.io/Logging_2081/kartor_geotiff/A 3087-2025 georefererad karta.tif", "A 3087-2025")</f>
        <v/>
      </c>
      <c r="AA40">
        <f>HYPERLINK("https://klasma.github.io/Logging_2081/klagomål/A 3087-2025 FSC-klagomål.docx", "A 3087-2025")</f>
        <v/>
      </c>
      <c r="AB40">
        <f>HYPERLINK("https://klasma.github.io/Logging_2081/klagomålsmail/A 3087-2025 FSC-klagomål mail.docx", "A 3087-2025")</f>
        <v/>
      </c>
      <c r="AC40">
        <f>HYPERLINK("https://klasma.github.io/Logging_2081/tillsyn/A 3087-2025 tillsynsbegäran.docx", "A 3087-2025")</f>
        <v/>
      </c>
      <c r="AD40">
        <f>HYPERLINK("https://klasma.github.io/Logging_2081/tillsynsmail/A 3087-2025 tillsynsbegäran mail.docx", "A 3087-2025")</f>
        <v/>
      </c>
    </row>
    <row r="41" ht="15" customHeight="1">
      <c r="A41" t="inlineStr">
        <is>
          <t>A 10712-2025</t>
        </is>
      </c>
      <c r="B41" t="inlineStr">
        <is>
          <t>avverkningsanmälan</t>
        </is>
      </c>
      <c r="C41" t="inlineStr">
        <is>
          <t>Föryngringsavverkning</t>
        </is>
      </c>
      <c r="D41" s="1" t="n">
        <v>45722</v>
      </c>
      <c r="E41" s="1" t="n">
        <v>46274</v>
      </c>
      <c r="F41" t="inlineStr">
        <is>
          <t>DALARNAS LÄN</t>
        </is>
      </c>
      <c r="G41" t="inlineStr">
        <is>
          <t>BORLÄNGE</t>
        </is>
      </c>
      <c r="I41" t="n">
        <v>5.3</v>
      </c>
      <c r="J41" t="n">
        <v>3</v>
      </c>
      <c r="K41" t="n">
        <v>0</v>
      </c>
      <c r="L41" t="n">
        <v>2</v>
      </c>
      <c r="M41" t="n">
        <v>0</v>
      </c>
      <c r="N41" t="n">
        <v>0</v>
      </c>
      <c r="O41" t="n">
        <v>0</v>
      </c>
      <c r="P41" t="n">
        <v>0</v>
      </c>
      <c r="Q41" t="n">
        <v>2</v>
      </c>
      <c r="R41" t="n">
        <v>0</v>
      </c>
      <c r="S41" t="n">
        <v>4</v>
      </c>
      <c r="T41" t="n">
        <v>11</v>
      </c>
      <c r="U41" t="n">
        <v>11</v>
      </c>
      <c r="V41" s="2" t="inlineStr">
        <is>
          <t>Tretåig hackspett
Ullticka
Spillkråka
Tjäder</t>
        </is>
      </c>
      <c r="W41">
        <f>HYPERLINK("https://klasma.github.io/Logging_2081/artfynd/A 10712-2025 artfynd.xlsx", "A 10712-2025")</f>
        <v/>
      </c>
      <c r="X41">
        <f>HYPERLINK("https://klasma.github.io/Logging_2081/kartor/A 10712-2025 karta.png", "A 10712-2025")</f>
        <v/>
      </c>
      <c r="Y41">
        <f>HYPERLINK("https://klasma.github.io/Logging_2081/kartor_geotiff/A 10712-2025 georefererad karta.tif", "A 10712-2025")</f>
        <v/>
      </c>
      <c r="AA41">
        <f>HYPERLINK("https://klasma.github.io/Logging_2081/klagomål/A 10712-2025 FSC-klagomål.docx", "A 10712-2025")</f>
        <v/>
      </c>
      <c r="AB41">
        <f>HYPERLINK("https://klasma.github.io/Logging_2081/klagomålsmail/A 10712-2025 FSC-klagomål mail.docx", "A 10712-2025")</f>
        <v/>
      </c>
      <c r="AC41">
        <f>HYPERLINK("https://klasma.github.io/Logging_2081/tillsyn/A 10712-2025 tillsynsbegäran.docx", "A 10712-2025")</f>
        <v/>
      </c>
      <c r="AD41">
        <f>HYPERLINK("https://klasma.github.io/Logging_2081/tillsynsmail/A 10712-2025 tillsynsbegäran mail.docx", "A 10712-2025")</f>
        <v/>
      </c>
      <c r="AE41">
        <f>HYPERLINK("https://klasma.github.io/Logging_2081/fåglar/A 10712-2025 prioriterade fågelarter.docx", "A 10712-2025")</f>
        <v/>
      </c>
    </row>
    <row r="42" ht="15" customHeight="1">
      <c r="A42" t="inlineStr">
        <is>
          <t>A 3060-2025</t>
        </is>
      </c>
      <c r="B42" t="inlineStr">
        <is>
          <t>avverkningsanmälan</t>
        </is>
      </c>
      <c r="C42" t="inlineStr">
        <is>
          <t>Föryngringsavverkning</t>
        </is>
      </c>
      <c r="D42" s="1" t="n">
        <v>45678</v>
      </c>
      <c r="E42" s="1" t="n">
        <v>46274</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58614-2023</t>
        </is>
      </c>
      <c r="B43" t="inlineStr">
        <is>
          <t>avverkningsanmälan</t>
        </is>
      </c>
      <c r="C43" t="inlineStr">
        <is>
          <t>Föryngringsavverkning</t>
        </is>
      </c>
      <c r="D43" s="1" t="n">
        <v>45251</v>
      </c>
      <c r="E43" s="1" t="n">
        <v>46274</v>
      </c>
      <c r="F43" t="inlineStr">
        <is>
          <t>DALARNAS LÄN</t>
        </is>
      </c>
      <c r="G43" t="inlineStr">
        <is>
          <t>BORLÄNGE</t>
        </is>
      </c>
      <c r="I43" t="n">
        <v>1.8</v>
      </c>
      <c r="J43" t="n">
        <v>1</v>
      </c>
      <c r="K43" t="n">
        <v>0</v>
      </c>
      <c r="L43" t="n">
        <v>3</v>
      </c>
      <c r="M43" t="n">
        <v>1</v>
      </c>
      <c r="N43" t="n">
        <v>0</v>
      </c>
      <c r="O43" t="n">
        <v>0</v>
      </c>
      <c r="P43" t="n">
        <v>0</v>
      </c>
      <c r="Q43" t="n">
        <v>4</v>
      </c>
      <c r="R43" t="n">
        <v>1</v>
      </c>
      <c r="S43" t="n">
        <v>4</v>
      </c>
      <c r="T43" t="n">
        <v>4</v>
      </c>
      <c r="U43" t="n">
        <v>0</v>
      </c>
      <c r="V43" s="2" t="inlineStr">
        <is>
          <t>Knärot
Gropticka
Rosenticka
Ullticka</t>
        </is>
      </c>
      <c r="W43">
        <f>HYPERLINK("https://klasma.github.io/Logging_2081/artfynd/A 58614-2023 artfynd.xlsx", "A 58614-2023")</f>
        <v/>
      </c>
      <c r="X43">
        <f>HYPERLINK("https://klasma.github.io/Logging_2081/kartor/A 58614-2023 karta.png", "A 58614-2023")</f>
        <v/>
      </c>
      <c r="Y43">
        <f>HYPERLINK("https://klasma.github.io/Logging_2081/kartor_geotiff/A 58614-2023 georefererad karta.tif", "A 58614-2023")</f>
        <v/>
      </c>
      <c r="Z43">
        <f>HYPERLINK("https://klasma.github.io/Logging_2081/knärot/A 58614-2023 karta knärot.png", "A 58614-2023")</f>
        <v/>
      </c>
      <c r="AA43">
        <f>HYPERLINK("https://klasma.github.io/Logging_2081/klagomål/A 58614-2023 FSC-klagomål.docx", "A 58614-2023")</f>
        <v/>
      </c>
      <c r="AB43">
        <f>HYPERLINK("https://klasma.github.io/Logging_2081/klagomålsmail/A 58614-2023 FSC-klagomål mail.docx", "A 58614-2023")</f>
        <v/>
      </c>
      <c r="AC43">
        <f>HYPERLINK("https://klasma.github.io/Logging_2081/tillsyn/A 58614-2023 tillsynsbegäran.docx", "A 58614-2023")</f>
        <v/>
      </c>
      <c r="AD43">
        <f>HYPERLINK("https://klasma.github.io/Logging_2081/tillsynsmail/A 58614-2023 tillsynsbegäran mail.docx", "A 58614-2023")</f>
        <v/>
      </c>
    </row>
    <row r="44" ht="15" customHeight="1">
      <c r="A44" t="inlineStr">
        <is>
          <t>A 28667-2025</t>
        </is>
      </c>
      <c r="B44" t="inlineStr">
        <is>
          <t>avverkningsanmälan</t>
        </is>
      </c>
      <c r="C44" t="inlineStr">
        <is>
          <t>Föryngringsavverkning</t>
        </is>
      </c>
      <c r="D44" s="1" t="n">
        <v>45819</v>
      </c>
      <c r="E44" s="1" t="n">
        <v>46274</v>
      </c>
      <c r="F44" t="inlineStr">
        <is>
          <t>DALARNAS LÄN</t>
        </is>
      </c>
      <c r="G44" t="inlineStr">
        <is>
          <t>BORLÄNGE</t>
        </is>
      </c>
      <c r="H44" t="inlineStr">
        <is>
          <t>Bergvik skog väst AB</t>
        </is>
      </c>
      <c r="I44" t="n">
        <v>2</v>
      </c>
      <c r="J44" t="n">
        <v>3</v>
      </c>
      <c r="K44" t="n">
        <v>0</v>
      </c>
      <c r="L44" t="n">
        <v>2</v>
      </c>
      <c r="M44" t="n">
        <v>0</v>
      </c>
      <c r="N44" t="n">
        <v>0</v>
      </c>
      <c r="O44" t="n">
        <v>0</v>
      </c>
      <c r="P44" t="n">
        <v>0</v>
      </c>
      <c r="Q44" t="n">
        <v>2</v>
      </c>
      <c r="R44" t="n">
        <v>0</v>
      </c>
      <c r="S44" t="n">
        <v>4</v>
      </c>
      <c r="T44" t="n">
        <v>6</v>
      </c>
      <c r="U44" t="n">
        <v>5</v>
      </c>
      <c r="V44" s="2" t="inlineStr">
        <is>
          <t>Dropptaggsvamp
Tretåig hackspett
Spillkråka
Tjäder</t>
        </is>
      </c>
      <c r="W44">
        <f>HYPERLINK("https://klasma.github.io/Logging_2081/artfynd/A 28667-2025 artfynd.xlsx", "A 28667-2025")</f>
        <v/>
      </c>
      <c r="X44">
        <f>HYPERLINK("https://klasma.github.io/Logging_2081/kartor/A 28667-2025 karta.png", "A 28667-2025")</f>
        <v/>
      </c>
      <c r="Y44">
        <f>HYPERLINK("https://klasma.github.io/Logging_2081/kartor_geotiff/A 28667-2025 georefererad karta.tif", "A 28667-2025")</f>
        <v/>
      </c>
      <c r="AA44">
        <f>HYPERLINK("https://klasma.github.io/Logging_2081/klagomål/A 28667-2025 FSC-klagomål.docx", "A 28667-2025")</f>
        <v/>
      </c>
      <c r="AB44">
        <f>HYPERLINK("https://klasma.github.io/Logging_2081/klagomålsmail/A 28667-2025 FSC-klagomål mail.docx", "A 28667-2025")</f>
        <v/>
      </c>
      <c r="AC44">
        <f>HYPERLINK("https://klasma.github.io/Logging_2081/tillsyn/A 28667-2025 tillsynsbegäran.docx", "A 28667-2025")</f>
        <v/>
      </c>
      <c r="AD44">
        <f>HYPERLINK("https://klasma.github.io/Logging_2081/tillsynsmail/A 28667-2025 tillsynsbegäran mail.docx", "A 28667-2025")</f>
        <v/>
      </c>
      <c r="AE44">
        <f>HYPERLINK("https://klasma.github.io/Logging_2081/fåglar/A 28667-2025 prioriterade fågelarter.docx", "A 28667-2025")</f>
        <v/>
      </c>
    </row>
    <row r="45" ht="15" customHeight="1">
      <c r="A45" t="inlineStr">
        <is>
          <t>A 16859-2025</t>
        </is>
      </c>
      <c r="B45" t="inlineStr">
        <is>
          <t>avverkningsanmälan</t>
        </is>
      </c>
      <c r="C45" t="inlineStr">
        <is>
          <t>Föryngringsavverkning</t>
        </is>
      </c>
      <c r="D45" s="1" t="n">
        <v>45751</v>
      </c>
      <c r="E45" s="1" t="n">
        <v>46274</v>
      </c>
      <c r="F45" t="inlineStr">
        <is>
          <t>DALARNAS LÄN</t>
        </is>
      </c>
      <c r="G45" t="inlineStr">
        <is>
          <t>BORLÄNGE</t>
        </is>
      </c>
      <c r="I45" t="n">
        <v>12.8</v>
      </c>
      <c r="J45" t="n">
        <v>1</v>
      </c>
      <c r="K45" t="n">
        <v>2</v>
      </c>
      <c r="L45" t="n">
        <v>0</v>
      </c>
      <c r="M45" t="n">
        <v>2</v>
      </c>
      <c r="N45" t="n">
        <v>0</v>
      </c>
      <c r="O45" t="n">
        <v>0</v>
      </c>
      <c r="P45" t="n">
        <v>0</v>
      </c>
      <c r="Q45" t="n">
        <v>2</v>
      </c>
      <c r="R45" t="n">
        <v>2</v>
      </c>
      <c r="S45" t="n">
        <v>4</v>
      </c>
      <c r="T45" t="n">
        <v>6</v>
      </c>
      <c r="U45" t="n">
        <v>0</v>
      </c>
      <c r="V45" s="2" t="inlineStr">
        <is>
          <t>Garnlav
Knärot
Korallblylav
Stuplav</t>
        </is>
      </c>
      <c r="W45">
        <f>HYPERLINK("https://klasma.github.io/Logging_2081/artfynd/A 16859-2025 artfynd.xlsx", "A 16859-2025")</f>
        <v/>
      </c>
      <c r="X45">
        <f>HYPERLINK("https://klasma.github.io/Logging_2081/kartor/A 16859-2025 karta.png", "A 16859-2025")</f>
        <v/>
      </c>
      <c r="Y45">
        <f>HYPERLINK("https://klasma.github.io/Logging_2081/kartor_geotiff/A 16859-2025 georefererad karta.tif", "A 16859-2025")</f>
        <v/>
      </c>
      <c r="Z45">
        <f>HYPERLINK("https://klasma.github.io/Logging_2081/knärot/A 16859-2025 karta knärot.png", "A 16859-2025")</f>
        <v/>
      </c>
      <c r="AA45">
        <f>HYPERLINK("https://klasma.github.io/Logging_2081/klagomål/A 16859-2025 FSC-klagomål.docx", "A 16859-2025")</f>
        <v/>
      </c>
      <c r="AB45">
        <f>HYPERLINK("https://klasma.github.io/Logging_2081/klagomålsmail/A 16859-2025 FSC-klagomål mail.docx", "A 16859-2025")</f>
        <v/>
      </c>
      <c r="AC45">
        <f>HYPERLINK("https://klasma.github.io/Logging_2081/tillsyn/A 16859-2025 tillsynsbegäran.docx", "A 16859-2025")</f>
        <v/>
      </c>
      <c r="AD45">
        <f>HYPERLINK("https://klasma.github.io/Logging_2081/tillsynsmail/A 16859-2025 tillsynsbegäran mail.docx", "A 16859-2025")</f>
        <v/>
      </c>
    </row>
    <row r="46" ht="15" customHeight="1">
      <c r="A46" t="inlineStr">
        <is>
          <t>S 1663-2022</t>
        </is>
      </c>
      <c r="B46" t="inlineStr">
        <is>
          <t>samrådsanmälan</t>
        </is>
      </c>
      <c r="C46" t="inlineStr">
        <is>
          <t>Askåterföring</t>
        </is>
      </c>
      <c r="D46" s="1" t="n">
        <v>44649</v>
      </c>
      <c r="E46" s="1" t="n">
        <v>46274</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12314-2023</t>
        </is>
      </c>
      <c r="B47" t="inlineStr">
        <is>
          <t>avverkningsanmälan</t>
        </is>
      </c>
      <c r="C47" t="inlineStr">
        <is>
          <t>Föryngringsavverkning</t>
        </is>
      </c>
      <c r="D47" s="1" t="n">
        <v>44996</v>
      </c>
      <c r="E47" s="1" t="n">
        <v>46274</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54154-2023</t>
        </is>
      </c>
      <c r="B48" t="inlineStr">
        <is>
          <t>avverkningsanmälan</t>
        </is>
      </c>
      <c r="C48" t="inlineStr">
        <is>
          <t>Föryngringsavverkning</t>
        </is>
      </c>
      <c r="D48" s="1" t="n">
        <v>45232</v>
      </c>
      <c r="E48" s="1" t="n">
        <v>46274</v>
      </c>
      <c r="F48" t="inlineStr">
        <is>
          <t>DALARNAS LÄN</t>
        </is>
      </c>
      <c r="G48" t="inlineStr">
        <is>
          <t>BORLÄNGE</t>
        </is>
      </c>
      <c r="H48" t="inlineStr">
        <is>
          <t>Bergvik skog väst AB</t>
        </is>
      </c>
      <c r="I48" t="n">
        <v>1.5</v>
      </c>
      <c r="J48" t="n">
        <v>0</v>
      </c>
      <c r="K48" t="n">
        <v>2</v>
      </c>
      <c r="L48" t="n">
        <v>0</v>
      </c>
      <c r="M48" t="n">
        <v>1</v>
      </c>
      <c r="N48" t="n">
        <v>0</v>
      </c>
      <c r="O48" t="n">
        <v>0</v>
      </c>
      <c r="P48" t="n">
        <v>0</v>
      </c>
      <c r="Q48" t="n">
        <v>1</v>
      </c>
      <c r="R48" t="n">
        <v>1</v>
      </c>
      <c r="S48" t="n">
        <v>3</v>
      </c>
      <c r="T48" t="n">
        <v>4</v>
      </c>
      <c r="U48" t="n">
        <v>3</v>
      </c>
      <c r="V48" s="2" t="inlineStr">
        <is>
          <t>Garnlav
Bronshjon
Vågbandad barkbock</t>
        </is>
      </c>
      <c r="W48">
        <f>HYPERLINK("https://klasma.github.io/Logging_2081/artfynd/A 54154-2023 artfynd.xlsx", "A 54154-2023")</f>
        <v/>
      </c>
      <c r="X48">
        <f>HYPERLINK("https://klasma.github.io/Logging_2081/kartor/A 54154-2023 karta.png", "A 54154-2023")</f>
        <v/>
      </c>
      <c r="Y48">
        <f>HYPERLINK("https://klasma.github.io/Logging_2081/kartor_geotiff/A 54154-2023 georefererad karta.tif", "A 54154-2023")</f>
        <v/>
      </c>
      <c r="AA48">
        <f>HYPERLINK("https://klasma.github.io/Logging_2081/klagomål/A 54154-2023 FSC-klagomål.docx", "A 54154-2023")</f>
        <v/>
      </c>
      <c r="AB48">
        <f>HYPERLINK("https://klasma.github.io/Logging_2081/klagomålsmail/A 54154-2023 FSC-klagomål mail.docx", "A 54154-2023")</f>
        <v/>
      </c>
      <c r="AC48">
        <f>HYPERLINK("https://klasma.github.io/Logging_2081/tillsyn/A 54154-2023 tillsynsbegäran.docx", "A 54154-2023")</f>
        <v/>
      </c>
      <c r="AD48">
        <f>HYPERLINK("https://klasma.github.io/Logging_2081/tillsynsmail/A 54154-2023 tillsynsbegäran mail.docx", "A 54154-2023")</f>
        <v/>
      </c>
    </row>
    <row r="49" ht="15" customHeight="1">
      <c r="A49" t="inlineStr">
        <is>
          <t>A 59674-2021</t>
        </is>
      </c>
      <c r="B49" t="inlineStr">
        <is>
          <t>avverkningsanmälan</t>
        </is>
      </c>
      <c r="C49" t="inlineStr">
        <is>
          <t>Avverkning för annat ändamål</t>
        </is>
      </c>
      <c r="D49" s="1" t="n">
        <v>44494</v>
      </c>
      <c r="E49" s="1" t="n">
        <v>46274</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27720-2024</t>
        </is>
      </c>
      <c r="B50" t="inlineStr">
        <is>
          <t>avverkningsanmälan</t>
        </is>
      </c>
      <c r="C50" t="inlineStr">
        <is>
          <t>Avverkning för annat ändamål</t>
        </is>
      </c>
      <c r="D50" s="1" t="n">
        <v>45475</v>
      </c>
      <c r="E50" s="1" t="n">
        <v>46274</v>
      </c>
      <c r="F50" t="inlineStr">
        <is>
          <t>DALARNAS LÄN</t>
        </is>
      </c>
      <c r="G50" t="inlineStr">
        <is>
          <t>BORLÄNGE</t>
        </is>
      </c>
      <c r="I50" t="n">
        <v>1</v>
      </c>
      <c r="J50" t="n">
        <v>3</v>
      </c>
      <c r="K50" t="n">
        <v>1</v>
      </c>
      <c r="L50" t="n">
        <v>0</v>
      </c>
      <c r="M50" t="n">
        <v>0</v>
      </c>
      <c r="N50" t="n">
        <v>0</v>
      </c>
      <c r="O50" t="n">
        <v>0</v>
      </c>
      <c r="P50" t="n">
        <v>0</v>
      </c>
      <c r="Q50" t="n">
        <v>0</v>
      </c>
      <c r="R50" t="n">
        <v>0</v>
      </c>
      <c r="S50" t="n">
        <v>3</v>
      </c>
      <c r="T50" t="n">
        <v>4</v>
      </c>
      <c r="U50" t="n">
        <v>0</v>
      </c>
      <c r="V50" s="2" t="inlineStr">
        <is>
          <t>Spindelblomster
Fläcknycklar
Revlummer</t>
        </is>
      </c>
      <c r="W50">
        <f>HYPERLINK("https://klasma.github.io/Logging_2081/artfynd/A 27720-2024 artfynd.xlsx", "A 27720-2024")</f>
        <v/>
      </c>
      <c r="X50">
        <f>HYPERLINK("https://klasma.github.io/Logging_2081/kartor/A 27720-2024 karta.png", "A 27720-2024")</f>
        <v/>
      </c>
      <c r="Y50">
        <f>HYPERLINK("https://klasma.github.io/Logging_2081/kartor_geotiff/A 27720-2024 georefererad karta.tif", "A 27720-2024")</f>
        <v/>
      </c>
      <c r="AA50">
        <f>HYPERLINK("https://klasma.github.io/Logging_2081/klagomål/A 27720-2024 FSC-klagomål.docx", "A 27720-2024")</f>
        <v/>
      </c>
      <c r="AB50">
        <f>HYPERLINK("https://klasma.github.io/Logging_2081/klagomålsmail/A 27720-2024 FSC-klagomål mail.docx", "A 27720-2024")</f>
        <v/>
      </c>
      <c r="AC50">
        <f>HYPERLINK("https://klasma.github.io/Logging_2081/tillsyn/A 27720-2024 tillsynsbegäran.docx", "A 27720-2024")</f>
        <v/>
      </c>
      <c r="AD50">
        <f>HYPERLINK("https://klasma.github.io/Logging_2081/tillsynsmail/A 27720-2024 tillsynsbegäran mail.docx", "A 27720-2024")</f>
        <v/>
      </c>
    </row>
    <row r="51" ht="15" customHeight="1">
      <c r="A51" t="inlineStr">
        <is>
          <t>A 57530-2023</t>
        </is>
      </c>
      <c r="B51" t="inlineStr">
        <is>
          <t>avverkningsanmälan</t>
        </is>
      </c>
      <c r="C51" t="inlineStr">
        <is>
          <t>Föryngringsavverkning</t>
        </is>
      </c>
      <c r="D51" s="1" t="n">
        <v>45246</v>
      </c>
      <c r="E51" s="1" t="n">
        <v>46274</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6832-2024</t>
        </is>
      </c>
      <c r="B52" t="inlineStr">
        <is>
          <t>avverkningsanmälan</t>
        </is>
      </c>
      <c r="C52" t="inlineStr">
        <is>
          <t>Föryngringsavverkning</t>
        </is>
      </c>
      <c r="D52" s="1" t="n">
        <v>45342</v>
      </c>
      <c r="E52" s="1" t="n">
        <v>46274</v>
      </c>
      <c r="F52" t="inlineStr">
        <is>
          <t>DALARNAS LÄN</t>
        </is>
      </c>
      <c r="G52" t="inlineStr">
        <is>
          <t>BORLÄNGE</t>
        </is>
      </c>
      <c r="I52" t="n">
        <v>14.2</v>
      </c>
      <c r="J52" t="n">
        <v>0</v>
      </c>
      <c r="K52" t="n">
        <v>3</v>
      </c>
      <c r="L52" t="n">
        <v>0</v>
      </c>
      <c r="M52" t="n">
        <v>0</v>
      </c>
      <c r="N52" t="n">
        <v>0</v>
      </c>
      <c r="O52" t="n">
        <v>0</v>
      </c>
      <c r="P52" t="n">
        <v>0</v>
      </c>
      <c r="Q52" t="n">
        <v>0</v>
      </c>
      <c r="R52" t="n">
        <v>0</v>
      </c>
      <c r="S52" t="n">
        <v>3</v>
      </c>
      <c r="T52" t="n">
        <v>5</v>
      </c>
      <c r="U52" t="n">
        <v>0</v>
      </c>
      <c r="V52" s="2" t="inlineStr">
        <is>
          <t>Bronshjon
Thomsons trägnagare
Vågbandad barkbock</t>
        </is>
      </c>
      <c r="W52">
        <f>HYPERLINK("https://klasma.github.io/Logging_2081/artfynd/A 6832-2024 artfynd.xlsx", "A 6832-2024")</f>
        <v/>
      </c>
      <c r="X52">
        <f>HYPERLINK("https://klasma.github.io/Logging_2081/kartor/A 6832-2024 karta.png", "A 6832-2024")</f>
        <v/>
      </c>
      <c r="Y52">
        <f>HYPERLINK("https://klasma.github.io/Logging_2081/kartor_geotiff/A 6832-2024 georefererad karta.tif", "A 6832-2024")</f>
        <v/>
      </c>
      <c r="AA52">
        <f>HYPERLINK("https://klasma.github.io/Logging_2081/klagomål/A 6832-2024 FSC-klagomål.docx", "A 6832-2024")</f>
        <v/>
      </c>
      <c r="AB52">
        <f>HYPERLINK("https://klasma.github.io/Logging_2081/klagomålsmail/A 6832-2024 FSC-klagomål mail.docx", "A 6832-2024")</f>
        <v/>
      </c>
      <c r="AC52">
        <f>HYPERLINK("https://klasma.github.io/Logging_2081/tillsyn/A 6832-2024 tillsynsbegäran.docx", "A 6832-2024")</f>
        <v/>
      </c>
      <c r="AD52">
        <f>HYPERLINK("https://klasma.github.io/Logging_2081/tillsynsmail/A 6832-2024 tillsynsbegäran mail.docx", "A 6832-2024")</f>
        <v/>
      </c>
    </row>
    <row r="53" ht="15" customHeight="1">
      <c r="A53" t="inlineStr">
        <is>
          <t>A 3067-2025</t>
        </is>
      </c>
      <c r="B53" t="inlineStr">
        <is>
          <t>avverkningsanmälan</t>
        </is>
      </c>
      <c r="C53" t="inlineStr">
        <is>
          <t>Föryngringsavverkning</t>
        </is>
      </c>
      <c r="D53" s="1" t="n">
        <v>45678</v>
      </c>
      <c r="E53" s="1" t="n">
        <v>46274</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9959-2026</t>
        </is>
      </c>
      <c r="B54" t="inlineStr">
        <is>
          <t>avverkningsanmälan</t>
        </is>
      </c>
      <c r="C54" t="inlineStr">
        <is>
          <t>Föryngringsavverkning</t>
        </is>
      </c>
      <c r="D54" s="1" t="n">
        <v>46073</v>
      </c>
      <c r="E54" s="1" t="n">
        <v>46274</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9959-2026 artfynd.xlsx", "A 9959-2026")</f>
        <v/>
      </c>
      <c r="X54">
        <f>HYPERLINK("https://klasma.github.io/Logging_2081/kartor/A 9959-2026 karta.png", "A 9959-2026")</f>
        <v/>
      </c>
      <c r="Y54">
        <f>HYPERLINK("https://klasma.github.io/Logging_2081/kartor_geotiff/A 9959-2026 georefererad karta.tif", "A 9959-2026")</f>
        <v/>
      </c>
      <c r="AA54">
        <f>HYPERLINK("https://klasma.github.io/Logging_2081/klagomål/A 9959-2026 FSC-klagomål.docx", "A 9959-2026")</f>
        <v/>
      </c>
      <c r="AB54">
        <f>HYPERLINK("https://klasma.github.io/Logging_2081/klagomålsmail/A 9959-2026 FSC-klagomål mail.docx", "A 9959-2026")</f>
        <v/>
      </c>
      <c r="AC54">
        <f>HYPERLINK("https://klasma.github.io/Logging_2081/tillsyn/A 9959-2026 tillsynsbegäran.docx", "A 9959-2026")</f>
        <v/>
      </c>
      <c r="AD54">
        <f>HYPERLINK("https://klasma.github.io/Logging_2081/tillsynsmail/A 9959-2026 tillsynsbegäran mail.docx", "A 9959-2026")</f>
        <v/>
      </c>
      <c r="AE54">
        <f>HYPERLINK("https://klasma.github.io/Logging_2081/fåglar/A 9959-2026 prioriterade fågelarter.docx", "A 9959-2026")</f>
        <v/>
      </c>
    </row>
    <row r="55" ht="15" customHeight="1">
      <c r="A55" t="inlineStr">
        <is>
          <t>A 2295-2026</t>
        </is>
      </c>
      <c r="B55" t="inlineStr">
        <is>
          <t>avverkningsanmälan</t>
        </is>
      </c>
      <c r="C55" t="inlineStr">
        <is>
          <t>Föryngringsavverkning</t>
        </is>
      </c>
      <c r="D55" s="1" t="n">
        <v>46036</v>
      </c>
      <c r="E55" s="1" t="n">
        <v>46274</v>
      </c>
      <c r="F55" t="inlineStr">
        <is>
          <t>DALARNAS LÄN</t>
        </is>
      </c>
      <c r="G55" t="inlineStr">
        <is>
          <t>BORLÄNGE</t>
        </is>
      </c>
      <c r="I55" t="n">
        <v>12.7</v>
      </c>
      <c r="J55" t="n">
        <v>1</v>
      </c>
      <c r="K55" t="n">
        <v>1</v>
      </c>
      <c r="L55" t="n">
        <v>1</v>
      </c>
      <c r="M55" t="n">
        <v>0</v>
      </c>
      <c r="N55" t="n">
        <v>0</v>
      </c>
      <c r="O55" t="n">
        <v>0</v>
      </c>
      <c r="P55" t="n">
        <v>0</v>
      </c>
      <c r="Q55" t="n">
        <v>1</v>
      </c>
      <c r="R55" t="n">
        <v>0</v>
      </c>
      <c r="S55" t="n">
        <v>3</v>
      </c>
      <c r="T55" t="n">
        <v>6</v>
      </c>
      <c r="U55" t="n">
        <v>3</v>
      </c>
      <c r="V55" s="2" t="inlineStr">
        <is>
          <t>Vedskivlav
Vedticka
Tjäder</t>
        </is>
      </c>
      <c r="W55">
        <f>HYPERLINK("https://klasma.github.io/Logging_2081/artfynd/A 2295-2026 artfynd.xlsx", "A 2295-2026")</f>
        <v/>
      </c>
      <c r="X55">
        <f>HYPERLINK("https://klasma.github.io/Logging_2081/kartor/A 2295-2026 karta.png", "A 2295-2026")</f>
        <v/>
      </c>
      <c r="Y55">
        <f>HYPERLINK("https://klasma.github.io/Logging_2081/kartor_geotiff/A 2295-2026 georefererad karta.tif", "A 2295-2026")</f>
        <v/>
      </c>
      <c r="AA55">
        <f>HYPERLINK("https://klasma.github.io/Logging_2081/klagomål/A 2295-2026 FSC-klagomål.docx", "A 2295-2026")</f>
        <v/>
      </c>
      <c r="AB55">
        <f>HYPERLINK("https://klasma.github.io/Logging_2081/klagomålsmail/A 2295-2026 FSC-klagomål mail.docx", "A 2295-2026")</f>
        <v/>
      </c>
      <c r="AC55">
        <f>HYPERLINK("https://klasma.github.io/Logging_2081/tillsyn/A 2295-2026 tillsynsbegäran.docx", "A 2295-2026")</f>
        <v/>
      </c>
      <c r="AD55">
        <f>HYPERLINK("https://klasma.github.io/Logging_2081/tillsynsmail/A 2295-2026 tillsynsbegäran mail.docx", "A 2295-2026")</f>
        <v/>
      </c>
      <c r="AE55">
        <f>HYPERLINK("https://klasma.github.io/Logging_2081/fåglar/A 2295-2026 prioriterade fågelarter.docx", "A 2295-2026")</f>
        <v/>
      </c>
    </row>
    <row r="56" ht="15" customHeight="1">
      <c r="A56" t="inlineStr">
        <is>
          <t>A 9315-2026</t>
        </is>
      </c>
      <c r="B56" t="inlineStr">
        <is>
          <t>avverkningsanmälan</t>
        </is>
      </c>
      <c r="C56" t="inlineStr">
        <is>
          <t>Föryngringsavverkning</t>
        </is>
      </c>
      <c r="D56" s="1" t="n">
        <v>46070</v>
      </c>
      <c r="E56" s="1" t="n">
        <v>46274</v>
      </c>
      <c r="F56" t="inlineStr">
        <is>
          <t>DALARNAS LÄN</t>
        </is>
      </c>
      <c r="G56" t="inlineStr">
        <is>
          <t>BORLÄNGE</t>
        </is>
      </c>
      <c r="I56" t="n">
        <v>3.5</v>
      </c>
      <c r="J56" t="n">
        <v>2</v>
      </c>
      <c r="K56" t="n">
        <v>1</v>
      </c>
      <c r="L56" t="n">
        <v>1</v>
      </c>
      <c r="M56" t="n">
        <v>0</v>
      </c>
      <c r="N56" t="n">
        <v>0</v>
      </c>
      <c r="O56" t="n">
        <v>0</v>
      </c>
      <c r="P56" t="n">
        <v>0</v>
      </c>
      <c r="Q56" t="n">
        <v>1</v>
      </c>
      <c r="R56" t="n">
        <v>0</v>
      </c>
      <c r="S56" t="n">
        <v>3</v>
      </c>
      <c r="T56" t="n">
        <v>5</v>
      </c>
      <c r="U56" t="n">
        <v>2</v>
      </c>
      <c r="V56" s="2" t="inlineStr">
        <is>
          <t>Tretåig hackspett
Gullgröppa
Tjäder</t>
        </is>
      </c>
      <c r="W56">
        <f>HYPERLINK("https://klasma.github.io/Logging_2081/artfynd/A 9315-2026 artfynd.xlsx", "A 9315-2026")</f>
        <v/>
      </c>
      <c r="X56">
        <f>HYPERLINK("https://klasma.github.io/Logging_2081/kartor/A 9315-2026 karta.png", "A 9315-2026")</f>
        <v/>
      </c>
      <c r="Y56">
        <f>HYPERLINK("https://klasma.github.io/Logging_2081/kartor_geotiff/A 9315-2026 georefererad karta.tif", "A 9315-2026")</f>
        <v/>
      </c>
      <c r="AA56">
        <f>HYPERLINK("https://klasma.github.io/Logging_2081/klagomål/A 9315-2026 FSC-klagomål.docx", "A 9315-2026")</f>
        <v/>
      </c>
      <c r="AB56">
        <f>HYPERLINK("https://klasma.github.io/Logging_2081/klagomålsmail/A 9315-2026 FSC-klagomål mail.docx", "A 9315-2026")</f>
        <v/>
      </c>
      <c r="AC56">
        <f>HYPERLINK("https://klasma.github.io/Logging_2081/tillsyn/A 9315-2026 tillsynsbegäran.docx", "A 9315-2026")</f>
        <v/>
      </c>
      <c r="AD56">
        <f>HYPERLINK("https://klasma.github.io/Logging_2081/tillsynsmail/A 9315-2026 tillsynsbegäran mail.docx", "A 9315-2026")</f>
        <v/>
      </c>
      <c r="AE56">
        <f>HYPERLINK("https://klasma.github.io/Logging_2081/fåglar/A 9315-2026 prioriterade fågelarter.docx", "A 9315-2026")</f>
        <v/>
      </c>
    </row>
    <row r="57" ht="15" customHeight="1">
      <c r="A57" t="inlineStr">
        <is>
          <t>A 37708-2024</t>
        </is>
      </c>
      <c r="B57" t="inlineStr">
        <is>
          <t>avverkningsanmälan</t>
        </is>
      </c>
      <c r="C57" t="inlineStr">
        <is>
          <t>Föryngringsavverkning</t>
        </is>
      </c>
      <c r="D57" s="1" t="n">
        <v>45541</v>
      </c>
      <c r="E57" s="1" t="n">
        <v>46274</v>
      </c>
      <c r="F57" t="inlineStr">
        <is>
          <t>DALARNAS LÄN</t>
        </is>
      </c>
      <c r="G57" t="inlineStr">
        <is>
          <t>BORLÄNGE</t>
        </is>
      </c>
      <c r="I57" t="n">
        <v>0.6</v>
      </c>
      <c r="J57" t="n">
        <v>0</v>
      </c>
      <c r="K57" t="n">
        <v>0</v>
      </c>
      <c r="L57" t="n">
        <v>3</v>
      </c>
      <c r="M57" t="n">
        <v>0</v>
      </c>
      <c r="N57" t="n">
        <v>0</v>
      </c>
      <c r="O57" t="n">
        <v>0</v>
      </c>
      <c r="P57" t="n">
        <v>0</v>
      </c>
      <c r="Q57" t="n">
        <v>3</v>
      </c>
      <c r="R57" t="n">
        <v>0</v>
      </c>
      <c r="S57" t="n">
        <v>3</v>
      </c>
      <c r="T57" t="n">
        <v>3</v>
      </c>
      <c r="U57" t="n">
        <v>0</v>
      </c>
      <c r="V57" s="2" t="inlineStr">
        <is>
          <t>Gropticka
Rosenticka
Ullticka</t>
        </is>
      </c>
      <c r="W57">
        <f>HYPERLINK("https://klasma.github.io/Logging_2081/artfynd/A 37708-2024 artfynd.xlsx", "A 37708-2024")</f>
        <v/>
      </c>
      <c r="X57">
        <f>HYPERLINK("https://klasma.github.io/Logging_2081/kartor/A 37708-2024 karta.png", "A 37708-2024")</f>
        <v/>
      </c>
      <c r="Y57">
        <f>HYPERLINK("https://klasma.github.io/Logging_2081/kartor_geotiff/A 37708-2024 georefererad karta.tif", "A 37708-2024")</f>
        <v/>
      </c>
      <c r="AA57">
        <f>HYPERLINK("https://klasma.github.io/Logging_2081/klagomål/A 37708-2024 FSC-klagomål.docx", "A 37708-2024")</f>
        <v/>
      </c>
      <c r="AB57">
        <f>HYPERLINK("https://klasma.github.io/Logging_2081/klagomålsmail/A 37708-2024 FSC-klagomål mail.docx", "A 37708-2024")</f>
        <v/>
      </c>
      <c r="AC57">
        <f>HYPERLINK("https://klasma.github.io/Logging_2081/tillsyn/A 37708-2024 tillsynsbegäran.docx", "A 37708-2024")</f>
        <v/>
      </c>
      <c r="AD57">
        <f>HYPERLINK("https://klasma.github.io/Logging_2081/tillsynsmail/A 37708-2024 tillsynsbegäran mail.docx", "A 37708-2024")</f>
        <v/>
      </c>
    </row>
    <row r="58" ht="15" customHeight="1">
      <c r="A58" t="inlineStr">
        <is>
          <t>A 21302-2022</t>
        </is>
      </c>
      <c r="B58" t="inlineStr">
        <is>
          <t>avverkningsanmälan</t>
        </is>
      </c>
      <c r="C58" t="inlineStr">
        <is>
          <t>Föryngringsavverkning</t>
        </is>
      </c>
      <c r="D58" s="1" t="n">
        <v>44705</v>
      </c>
      <c r="E58" s="1" t="n">
        <v>46274</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46274</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42040-2023</t>
        </is>
      </c>
      <c r="B60" t="inlineStr">
        <is>
          <t>avverkningsanmälan</t>
        </is>
      </c>
      <c r="C60" t="inlineStr">
        <is>
          <t>Föryngringsavverkning</t>
        </is>
      </c>
      <c r="D60" s="1" t="n">
        <v>45177</v>
      </c>
      <c r="E60" s="1" t="n">
        <v>46274</v>
      </c>
      <c r="F60" t="inlineStr">
        <is>
          <t>DALARNAS LÄN</t>
        </is>
      </c>
      <c r="G60" t="inlineStr">
        <is>
          <t>BORLÄNGE</t>
        </is>
      </c>
      <c r="I60" t="n">
        <v>4.7</v>
      </c>
      <c r="J60" t="n">
        <v>1</v>
      </c>
      <c r="K60" t="n">
        <v>1</v>
      </c>
      <c r="L60" t="n">
        <v>0</v>
      </c>
      <c r="M60" t="n">
        <v>1</v>
      </c>
      <c r="N60" t="n">
        <v>0</v>
      </c>
      <c r="O60" t="n">
        <v>0</v>
      </c>
      <c r="P60" t="n">
        <v>0</v>
      </c>
      <c r="Q60" t="n">
        <v>1</v>
      </c>
      <c r="R60" t="n">
        <v>1</v>
      </c>
      <c r="S60" t="n">
        <v>2</v>
      </c>
      <c r="T60" t="n">
        <v>2</v>
      </c>
      <c r="U60" t="n">
        <v>0</v>
      </c>
      <c r="V60" s="2" t="inlineStr">
        <is>
          <t>Knärot
Rödgul trumpetsvamp</t>
        </is>
      </c>
      <c r="W60">
        <f>HYPERLINK("https://klasma.github.io/Logging_2081/artfynd/A 42040-2023 artfynd.xlsx", "A 42040-2023")</f>
        <v/>
      </c>
      <c r="X60">
        <f>HYPERLINK("https://klasma.github.io/Logging_2081/kartor/A 42040-2023 karta.png", "A 42040-2023")</f>
        <v/>
      </c>
      <c r="Y60">
        <f>HYPERLINK("https://klasma.github.io/Logging_2081/kartor_geotiff/A 42040-2023 georefererad karta.tif", "A 42040-2023")</f>
        <v/>
      </c>
      <c r="Z60">
        <f>HYPERLINK("https://klasma.github.io/Logging_2081/knärot/A 42040-2023 karta knärot.png", "A 42040-2023")</f>
        <v/>
      </c>
      <c r="AA60">
        <f>HYPERLINK("https://klasma.github.io/Logging_2081/klagomål/A 42040-2023 FSC-klagomål.docx", "A 42040-2023")</f>
        <v/>
      </c>
      <c r="AB60">
        <f>HYPERLINK("https://klasma.github.io/Logging_2081/klagomålsmail/A 42040-2023 FSC-klagomål mail.docx", "A 42040-2023")</f>
        <v/>
      </c>
      <c r="AC60">
        <f>HYPERLINK("https://klasma.github.io/Logging_2081/tillsyn/A 42040-2023 tillsynsbegäran.docx", "A 42040-2023")</f>
        <v/>
      </c>
      <c r="AD60">
        <f>HYPERLINK("https://klasma.github.io/Logging_2081/tillsynsmail/A 42040-2023 tillsynsbegäran mail.docx", "A 42040-2023")</f>
        <v/>
      </c>
    </row>
    <row r="61" ht="15" customHeight="1">
      <c r="A61" t="inlineStr">
        <is>
          <t>A 3515-2023</t>
        </is>
      </c>
      <c r="B61" t="inlineStr">
        <is>
          <t>avverkningsanmälan</t>
        </is>
      </c>
      <c r="C61" t="inlineStr">
        <is>
          <t>Föryngringsavverkning</t>
        </is>
      </c>
      <c r="D61" s="1" t="n">
        <v>44950</v>
      </c>
      <c r="E61" s="1" t="n">
        <v>46274</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2303-2026</t>
        </is>
      </c>
      <c r="B62" t="inlineStr">
        <is>
          <t>avverkningsanmälan</t>
        </is>
      </c>
      <c r="C62" t="inlineStr">
        <is>
          <t>Föryngringsavverkning</t>
        </is>
      </c>
      <c r="D62" s="1" t="n">
        <v>46036</v>
      </c>
      <c r="E62" s="1" t="n">
        <v>46274</v>
      </c>
      <c r="F62" t="inlineStr">
        <is>
          <t>DALARNAS LÄN</t>
        </is>
      </c>
      <c r="G62" t="inlineStr">
        <is>
          <t>BORLÄNGE</t>
        </is>
      </c>
      <c r="I62" t="n">
        <v>6.8</v>
      </c>
      <c r="J62" t="n">
        <v>1</v>
      </c>
      <c r="K62" t="n">
        <v>0</v>
      </c>
      <c r="L62" t="n">
        <v>1</v>
      </c>
      <c r="M62" t="n">
        <v>0</v>
      </c>
      <c r="N62" t="n">
        <v>0</v>
      </c>
      <c r="O62" t="n">
        <v>0</v>
      </c>
      <c r="P62" t="n">
        <v>0</v>
      </c>
      <c r="Q62" t="n">
        <v>1</v>
      </c>
      <c r="R62" t="n">
        <v>0</v>
      </c>
      <c r="S62" t="n">
        <v>2</v>
      </c>
      <c r="T62" t="n">
        <v>2</v>
      </c>
      <c r="U62" t="n">
        <v>0</v>
      </c>
      <c r="V62" s="2" t="inlineStr">
        <is>
          <t>Skarp dropptaggsvamp
Järpe</t>
        </is>
      </c>
      <c r="W62">
        <f>HYPERLINK("https://klasma.github.io/Logging_2081/artfynd/A 2303-2026 artfynd.xlsx", "A 2303-2026")</f>
        <v/>
      </c>
      <c r="X62">
        <f>HYPERLINK("https://klasma.github.io/Logging_2081/kartor/A 2303-2026 karta.png", "A 2303-2026")</f>
        <v/>
      </c>
      <c r="Y62">
        <f>HYPERLINK("https://klasma.github.io/Logging_2081/kartor_geotiff/A 2303-2026 georefererad karta.tif", "A 2303-2026")</f>
        <v/>
      </c>
      <c r="AA62">
        <f>HYPERLINK("https://klasma.github.io/Logging_2081/klagomål/A 2303-2026 FSC-klagomål.docx", "A 2303-2026")</f>
        <v/>
      </c>
      <c r="AB62">
        <f>HYPERLINK("https://klasma.github.io/Logging_2081/klagomålsmail/A 2303-2026 FSC-klagomål mail.docx", "A 2303-2026")</f>
        <v/>
      </c>
      <c r="AC62">
        <f>HYPERLINK("https://klasma.github.io/Logging_2081/tillsyn/A 2303-2026 tillsynsbegäran.docx", "A 2303-2026")</f>
        <v/>
      </c>
      <c r="AD62">
        <f>HYPERLINK("https://klasma.github.io/Logging_2081/tillsynsmail/A 2303-2026 tillsynsbegäran mail.docx", "A 2303-2026")</f>
        <v/>
      </c>
      <c r="AE62">
        <f>HYPERLINK("https://klasma.github.io/Logging_2081/fåglar/A 2303-2026 prioriterade fågelarter.docx", "A 2303-2026")</f>
        <v/>
      </c>
    </row>
    <row r="63" ht="15" customHeight="1">
      <c r="A63" t="inlineStr">
        <is>
          <t>A 8504-2025</t>
        </is>
      </c>
      <c r="B63" t="inlineStr">
        <is>
          <t>avverkningsanmälan</t>
        </is>
      </c>
      <c r="C63" t="inlineStr">
        <is>
          <t>Avverkning för annat ändamål</t>
        </is>
      </c>
      <c r="D63" s="1" t="n">
        <v>45709</v>
      </c>
      <c r="E63" s="1" t="n">
        <v>46274</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23947-2026</t>
        </is>
      </c>
      <c r="B64" t="inlineStr">
        <is>
          <t>avverkningsanmälan</t>
        </is>
      </c>
      <c r="C64" t="inlineStr">
        <is>
          <t>Föryngringsavverkning</t>
        </is>
      </c>
      <c r="D64" s="1" t="n">
        <v>46167</v>
      </c>
      <c r="E64" s="1" t="n">
        <v>46274</v>
      </c>
      <c r="F64" t="inlineStr">
        <is>
          <t>DALARNAS LÄN</t>
        </is>
      </c>
      <c r="G64" t="inlineStr">
        <is>
          <t>BORLÄNGE</t>
        </is>
      </c>
      <c r="H64" t="inlineStr">
        <is>
          <t>Kommuner</t>
        </is>
      </c>
      <c r="I64" t="n">
        <v>3</v>
      </c>
      <c r="J64" t="n">
        <v>1</v>
      </c>
      <c r="K64" t="n">
        <v>0</v>
      </c>
      <c r="L64" t="n">
        <v>1</v>
      </c>
      <c r="M64" t="n">
        <v>0</v>
      </c>
      <c r="N64" t="n">
        <v>0</v>
      </c>
      <c r="O64" t="n">
        <v>0</v>
      </c>
      <c r="P64" t="n">
        <v>0</v>
      </c>
      <c r="Q64" t="n">
        <v>1</v>
      </c>
      <c r="R64" t="n">
        <v>0</v>
      </c>
      <c r="S64" t="n">
        <v>2</v>
      </c>
      <c r="T64" t="n">
        <v>3</v>
      </c>
      <c r="U64" t="n">
        <v>0</v>
      </c>
      <c r="V64" s="2" t="inlineStr">
        <is>
          <t>Älg
Spillkråka</t>
        </is>
      </c>
      <c r="W64">
        <f>HYPERLINK("https://klasma.github.io/Logging_2081/artfynd/A 23947-2026 artfynd.xlsx", "A 23947-2026")</f>
        <v/>
      </c>
      <c r="X64">
        <f>HYPERLINK("https://klasma.github.io/Logging_2081/kartor/A 23947-2026 karta.png", "A 23947-2026")</f>
        <v/>
      </c>
      <c r="Y64">
        <f>HYPERLINK("https://klasma.github.io/Logging_2081/kartor_geotiff/A 23947-2026 georefererad karta.tif", "A 23947-2026")</f>
        <v/>
      </c>
      <c r="AA64">
        <f>HYPERLINK("https://klasma.github.io/Logging_2081/klagomål/A 23947-2026 FSC-klagomål.docx", "A 23947-2026")</f>
        <v/>
      </c>
      <c r="AB64">
        <f>HYPERLINK("https://klasma.github.io/Logging_2081/klagomålsmail/A 23947-2026 FSC-klagomål mail.docx", "A 23947-2026")</f>
        <v/>
      </c>
      <c r="AC64">
        <f>HYPERLINK("https://klasma.github.io/Logging_2081/tillsyn/A 23947-2026 tillsynsbegäran.docx", "A 23947-2026")</f>
        <v/>
      </c>
      <c r="AD64">
        <f>HYPERLINK("https://klasma.github.io/Logging_2081/tillsynsmail/A 23947-2026 tillsynsbegäran mail.docx", "A 23947-2026")</f>
        <v/>
      </c>
      <c r="AE64">
        <f>HYPERLINK("https://klasma.github.io/Logging_2081/fåglar/A 23947-2026 prioriterade fågelarter.docx", "A 23947-2026")</f>
        <v/>
      </c>
    </row>
    <row r="65" ht="15" customHeight="1">
      <c r="A65" t="inlineStr">
        <is>
          <t>A 60152-2023</t>
        </is>
      </c>
      <c r="B65" t="inlineStr">
        <is>
          <t>avverkningsanmälan</t>
        </is>
      </c>
      <c r="C65" t="inlineStr">
        <is>
          <t>Föryngringsavverkning</t>
        </is>
      </c>
      <c r="D65" s="1" t="n">
        <v>45258</v>
      </c>
      <c r="E65" s="1" t="n">
        <v>46274</v>
      </c>
      <c r="F65" t="inlineStr">
        <is>
          <t>DALARNAS LÄN</t>
        </is>
      </c>
      <c r="G65" t="inlineStr">
        <is>
          <t>BORLÄNGE</t>
        </is>
      </c>
      <c r="I65" t="n">
        <v>1</v>
      </c>
      <c r="J65" t="n">
        <v>2</v>
      </c>
      <c r="K65" t="n">
        <v>1</v>
      </c>
      <c r="L65" t="n">
        <v>0</v>
      </c>
      <c r="M65" t="n">
        <v>0</v>
      </c>
      <c r="N65" t="n">
        <v>0</v>
      </c>
      <c r="O65" t="n">
        <v>0</v>
      </c>
      <c r="P65" t="n">
        <v>0</v>
      </c>
      <c r="Q65" t="n">
        <v>0</v>
      </c>
      <c r="R65" t="n">
        <v>0</v>
      </c>
      <c r="S65" t="n">
        <v>2</v>
      </c>
      <c r="T65" t="n">
        <v>3</v>
      </c>
      <c r="U65" t="n">
        <v>0</v>
      </c>
      <c r="V65" s="2" t="inlineStr">
        <is>
          <t>Tvåblad
Tjäder</t>
        </is>
      </c>
      <c r="W65">
        <f>HYPERLINK("https://klasma.github.io/Logging_2081/artfynd/A 60152-2023 artfynd.xlsx", "A 60152-2023")</f>
        <v/>
      </c>
      <c r="X65">
        <f>HYPERLINK("https://klasma.github.io/Logging_2081/kartor/A 60152-2023 karta.png", "A 60152-2023")</f>
        <v/>
      </c>
      <c r="Y65">
        <f>HYPERLINK("https://klasma.github.io/Logging_2081/kartor_geotiff/A 60152-2023 georefererad karta.tif", "A 60152-2023")</f>
        <v/>
      </c>
      <c r="AA65">
        <f>HYPERLINK("https://klasma.github.io/Logging_2081/klagomål/A 60152-2023 FSC-klagomål.docx", "A 60152-2023")</f>
        <v/>
      </c>
      <c r="AB65">
        <f>HYPERLINK("https://klasma.github.io/Logging_2081/klagomålsmail/A 60152-2023 FSC-klagomål mail.docx", "A 60152-2023")</f>
        <v/>
      </c>
      <c r="AC65">
        <f>HYPERLINK("https://klasma.github.io/Logging_2081/tillsyn/A 60152-2023 tillsynsbegäran.docx", "A 60152-2023")</f>
        <v/>
      </c>
      <c r="AD65">
        <f>HYPERLINK("https://klasma.github.io/Logging_2081/tillsynsmail/A 60152-2023 tillsynsbegäran mail.docx", "A 60152-2023")</f>
        <v/>
      </c>
      <c r="AE65">
        <f>HYPERLINK("https://klasma.github.io/Logging_2081/fåglar/A 60152-2023 prioriterade fågelarter.docx", "A 60152-2023")</f>
        <v/>
      </c>
    </row>
    <row r="66" ht="15" customHeight="1">
      <c r="A66" t="inlineStr">
        <is>
          <t>A 90-2026</t>
        </is>
      </c>
      <c r="B66" t="inlineStr">
        <is>
          <t>avverkningsanmälan</t>
        </is>
      </c>
      <c r="C66" t="inlineStr">
        <is>
          <t>Föryngringsavverkning</t>
        </is>
      </c>
      <c r="D66" s="1" t="n">
        <v>46024</v>
      </c>
      <c r="E66" s="1" t="n">
        <v>46274</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28299-2026</t>
        </is>
      </c>
      <c r="B67" t="inlineStr">
        <is>
          <t>avverkningsanmälan</t>
        </is>
      </c>
      <c r="C67" t="inlineStr">
        <is>
          <t>Föryngringsavverkning</t>
        </is>
      </c>
      <c r="D67" s="1" t="n">
        <v>46196</v>
      </c>
      <c r="E67" s="1" t="n">
        <v>46274</v>
      </c>
      <c r="F67" t="inlineStr">
        <is>
          <t>DALARNAS LÄN</t>
        </is>
      </c>
      <c r="G67" t="inlineStr">
        <is>
          <t>BORLÄNGE</t>
        </is>
      </c>
      <c r="H67" t="inlineStr">
        <is>
          <t>Kommuner</t>
        </is>
      </c>
      <c r="I67" t="n">
        <v>9.199999999999999</v>
      </c>
      <c r="J67" t="n">
        <v>0</v>
      </c>
      <c r="K67" t="n">
        <v>1</v>
      </c>
      <c r="L67" t="n">
        <v>1</v>
      </c>
      <c r="M67" t="n">
        <v>0</v>
      </c>
      <c r="N67" t="n">
        <v>0</v>
      </c>
      <c r="O67" t="n">
        <v>0</v>
      </c>
      <c r="P67" t="n">
        <v>0</v>
      </c>
      <c r="Q67" t="n">
        <v>1</v>
      </c>
      <c r="R67" t="n">
        <v>0</v>
      </c>
      <c r="S67" t="n">
        <v>2</v>
      </c>
      <c r="T67" t="n">
        <v>2</v>
      </c>
      <c r="U67" t="n">
        <v>0</v>
      </c>
      <c r="V67" s="2" t="inlineStr">
        <is>
          <t>Fjällig taggsvamp s.str.
Rödgul trumpetsvamp</t>
        </is>
      </c>
      <c r="W67">
        <f>HYPERLINK("https://klasma.github.io/Logging_2081/artfynd/A 28299-2026 artfynd.xlsx", "A 28299-2026")</f>
        <v/>
      </c>
      <c r="X67">
        <f>HYPERLINK("https://klasma.github.io/Logging_2081/kartor/A 28299-2026 karta.png", "A 28299-2026")</f>
        <v/>
      </c>
      <c r="Y67">
        <f>HYPERLINK("https://klasma.github.io/Logging_2081/kartor_geotiff/A 28299-2026 georefererad karta.tif", "A 28299-2026")</f>
        <v/>
      </c>
      <c r="AA67">
        <f>HYPERLINK("https://klasma.github.io/Logging_2081/klagomål/A 28299-2026 FSC-klagomål.docx", "A 28299-2026")</f>
        <v/>
      </c>
      <c r="AB67">
        <f>HYPERLINK("https://klasma.github.io/Logging_2081/klagomålsmail/A 28299-2026 FSC-klagomål mail.docx", "A 28299-2026")</f>
        <v/>
      </c>
      <c r="AC67">
        <f>HYPERLINK("https://klasma.github.io/Logging_2081/tillsyn/A 28299-2026 tillsynsbegäran.docx", "A 28299-2026")</f>
        <v/>
      </c>
      <c r="AD67">
        <f>HYPERLINK("https://klasma.github.io/Logging_2081/tillsynsmail/A 28299-2026 tillsynsbegäran mail.docx", "A 28299-2026")</f>
        <v/>
      </c>
    </row>
    <row r="68" ht="15" customHeight="1">
      <c r="A68" t="inlineStr">
        <is>
          <t>A 23652-2023</t>
        </is>
      </c>
      <c r="B68" t="inlineStr">
        <is>
          <t>avverkningsanmälan</t>
        </is>
      </c>
      <c r="C68" t="inlineStr">
        <is>
          <t>Avverkning för annat ändamål</t>
        </is>
      </c>
      <c r="D68" s="1" t="n">
        <v>45074</v>
      </c>
      <c r="E68" s="1" t="n">
        <v>46274</v>
      </c>
      <c r="F68" t="inlineStr">
        <is>
          <t>DALARNAS LÄN</t>
        </is>
      </c>
      <c r="G68" t="inlineStr">
        <is>
          <t>BORLÄNGE</t>
        </is>
      </c>
      <c r="I68" t="n">
        <v>1.4</v>
      </c>
      <c r="J68" t="n">
        <v>1</v>
      </c>
      <c r="K68" t="n">
        <v>1</v>
      </c>
      <c r="L68" t="n">
        <v>0</v>
      </c>
      <c r="M68" t="n">
        <v>0</v>
      </c>
      <c r="N68" t="n">
        <v>0</v>
      </c>
      <c r="O68" t="n">
        <v>0</v>
      </c>
      <c r="P68" t="n">
        <v>0</v>
      </c>
      <c r="Q68" t="n">
        <v>0</v>
      </c>
      <c r="R68" t="n">
        <v>0</v>
      </c>
      <c r="S68" t="n">
        <v>2</v>
      </c>
      <c r="T68" t="n">
        <v>2</v>
      </c>
      <c r="U68" t="n">
        <v>1</v>
      </c>
      <c r="V68" s="2" t="inlineStr">
        <is>
          <t>Tibast
Spillkråka</t>
        </is>
      </c>
      <c r="W68">
        <f>HYPERLINK("https://klasma.github.io/Logging_2081/artfynd/A 23652-2023 artfynd.xlsx", "A 23652-2023")</f>
        <v/>
      </c>
      <c r="X68">
        <f>HYPERLINK("https://klasma.github.io/Logging_2081/kartor/A 23652-2023 karta.png", "A 23652-2023")</f>
        <v/>
      </c>
      <c r="Y68">
        <f>HYPERLINK("https://klasma.github.io/Logging_2081/kartor_geotiff/A 23652-2023 georefererad karta.tif", "A 23652-2023")</f>
        <v/>
      </c>
      <c r="AA68">
        <f>HYPERLINK("https://klasma.github.io/Logging_2081/klagomål/A 23652-2023 FSC-klagomål.docx", "A 23652-2023")</f>
        <v/>
      </c>
      <c r="AB68">
        <f>HYPERLINK("https://klasma.github.io/Logging_2081/klagomålsmail/A 23652-2023 FSC-klagomål mail.docx", "A 23652-2023")</f>
        <v/>
      </c>
      <c r="AC68">
        <f>HYPERLINK("https://klasma.github.io/Logging_2081/tillsyn/A 23652-2023 tillsynsbegäran.docx", "A 23652-2023")</f>
        <v/>
      </c>
      <c r="AD68">
        <f>HYPERLINK("https://klasma.github.io/Logging_2081/tillsynsmail/A 23652-2023 tillsynsbegäran mail.docx", "A 23652-2023")</f>
        <v/>
      </c>
      <c r="AE68">
        <f>HYPERLINK("https://klasma.github.io/Logging_2081/fåglar/A 23652-2023 prioriterade fågelarter.docx", "A 23652-2023")</f>
        <v/>
      </c>
    </row>
    <row r="69" ht="15" customHeight="1">
      <c r="A69" t="inlineStr">
        <is>
          <t>A 30369-2026</t>
        </is>
      </c>
      <c r="B69" t="inlineStr">
        <is>
          <t>avverkningsanmälan</t>
        </is>
      </c>
      <c r="C69" t="inlineStr">
        <is>
          <t>Föryngringsavverkning</t>
        </is>
      </c>
      <c r="D69" s="1" t="n">
        <v>46209</v>
      </c>
      <c r="E69" s="1" t="n">
        <v>46274</v>
      </c>
      <c r="F69" t="inlineStr">
        <is>
          <t>DALARNAS LÄN</t>
        </is>
      </c>
      <c r="G69" t="inlineStr">
        <is>
          <t>BORLÄNGE</t>
        </is>
      </c>
      <c r="I69" t="n">
        <v>0.8</v>
      </c>
      <c r="J69" t="n">
        <v>0</v>
      </c>
      <c r="K69" t="n">
        <v>1</v>
      </c>
      <c r="L69" t="n">
        <v>1</v>
      </c>
      <c r="M69" t="n">
        <v>0</v>
      </c>
      <c r="N69" t="n">
        <v>0</v>
      </c>
      <c r="O69" t="n">
        <v>0</v>
      </c>
      <c r="P69" t="n">
        <v>0</v>
      </c>
      <c r="Q69" t="n">
        <v>1</v>
      </c>
      <c r="R69" t="n">
        <v>0</v>
      </c>
      <c r="S69" t="n">
        <v>2</v>
      </c>
      <c r="T69" t="n">
        <v>2</v>
      </c>
      <c r="U69" t="n">
        <v>0</v>
      </c>
      <c r="V69" s="2" t="inlineStr">
        <is>
          <t>Brunklöver
Hagfingersvamp</t>
        </is>
      </c>
      <c r="W69">
        <f>HYPERLINK("https://klasma.github.io/Logging_2081/artfynd/A 30369-2026 artfynd.xlsx", "A 30369-2026")</f>
        <v/>
      </c>
      <c r="X69">
        <f>HYPERLINK("https://klasma.github.io/Logging_2081/kartor/A 30369-2026 karta.png", "A 30369-2026")</f>
        <v/>
      </c>
      <c r="Y69">
        <f>HYPERLINK("https://klasma.github.io/Logging_2081/kartor_geotiff/A 30369-2026 georefererad karta.tif", "A 30369-2026")</f>
        <v/>
      </c>
      <c r="AA69">
        <f>HYPERLINK("https://klasma.github.io/Logging_2081/klagomål/A 30369-2026 FSC-klagomål.docx", "A 30369-2026")</f>
        <v/>
      </c>
      <c r="AB69">
        <f>HYPERLINK("https://klasma.github.io/Logging_2081/klagomålsmail/A 30369-2026 FSC-klagomål mail.docx", "A 30369-2026")</f>
        <v/>
      </c>
      <c r="AC69">
        <f>HYPERLINK("https://klasma.github.io/Logging_2081/tillsyn/A 30369-2026 tillsynsbegäran.docx", "A 30369-2026")</f>
        <v/>
      </c>
      <c r="AD69">
        <f>HYPERLINK("https://klasma.github.io/Logging_2081/tillsynsmail/A 30369-2026 tillsynsbegäran mail.docx", "A 30369-2026")</f>
        <v/>
      </c>
    </row>
    <row r="70" ht="15" customHeight="1">
      <c r="A70" t="inlineStr">
        <is>
          <t>A 4682-2025</t>
        </is>
      </c>
      <c r="B70" t="inlineStr">
        <is>
          <t>avverkningsanmälan</t>
        </is>
      </c>
      <c r="C70" t="inlineStr">
        <is>
          <t>Föryngringsavverkning</t>
        </is>
      </c>
      <c r="D70" s="1" t="n">
        <v>45687</v>
      </c>
      <c r="E70" s="1" t="n">
        <v>46274</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t="n">
        <v>2</v>
      </c>
      <c r="V70" s="2" t="inlineStr">
        <is>
          <t>Vedticka
Tjäder</t>
        </is>
      </c>
      <c r="W70">
        <f>HYPERLINK("https://klasma.github.io/Logging_2081/artfynd/A 4682-2025 artfynd.xlsx", "A 4682-2025")</f>
        <v/>
      </c>
      <c r="X70">
        <f>HYPERLINK("https://klasma.github.io/Logging_2081/kartor/A 4682-2025 karta.png", "A 4682-2025")</f>
        <v/>
      </c>
      <c r="Y70">
        <f>HYPERLINK("https://klasma.github.io/Logging_2081/kartor_geotiff/A 4682-2025 georefererad karta.tif", "A 4682-2025")</f>
        <v/>
      </c>
      <c r="AA70">
        <f>HYPERLINK("https://klasma.github.io/Logging_2081/klagomål/A 4682-2025 FSC-klagomål.docx", "A 4682-2025")</f>
        <v/>
      </c>
      <c r="AB70">
        <f>HYPERLINK("https://klasma.github.io/Logging_2081/klagomålsmail/A 4682-2025 FSC-klagomål mail.docx", "A 4682-2025")</f>
        <v/>
      </c>
      <c r="AC70">
        <f>HYPERLINK("https://klasma.github.io/Logging_2081/tillsyn/A 4682-2025 tillsynsbegäran.docx", "A 4682-2025")</f>
        <v/>
      </c>
      <c r="AD70">
        <f>HYPERLINK("https://klasma.github.io/Logging_2081/tillsynsmail/A 4682-2025 tillsynsbegäran mail.docx", "A 4682-2025")</f>
        <v/>
      </c>
      <c r="AE70">
        <f>HYPERLINK("https://klasma.github.io/Logging_2081/fåglar/A 4682-2025 prioriterade fågelarter.docx", "A 4682-2025")</f>
        <v/>
      </c>
    </row>
    <row r="71" ht="15" customHeight="1">
      <c r="A71" t="inlineStr">
        <is>
          <t>A 39377-2024</t>
        </is>
      </c>
      <c r="B71" t="inlineStr">
        <is>
          <t>avverkningsanmälan</t>
        </is>
      </c>
      <c r="C71" t="inlineStr">
        <is>
          <t>Föryngringsavverkning</t>
        </is>
      </c>
      <c r="D71" s="1" t="n">
        <v>45551</v>
      </c>
      <c r="E71" s="1" t="n">
        <v>46274</v>
      </c>
      <c r="F71" t="inlineStr">
        <is>
          <t>DALARNAS LÄN</t>
        </is>
      </c>
      <c r="G71" t="inlineStr">
        <is>
          <t>BORLÄNGE</t>
        </is>
      </c>
      <c r="I71" t="n">
        <v>1</v>
      </c>
      <c r="J71" t="n">
        <v>0</v>
      </c>
      <c r="K71" t="n">
        <v>0</v>
      </c>
      <c r="L71" t="n">
        <v>2</v>
      </c>
      <c r="M71" t="n">
        <v>0</v>
      </c>
      <c r="N71" t="n">
        <v>0</v>
      </c>
      <c r="O71" t="n">
        <v>0</v>
      </c>
      <c r="P71" t="n">
        <v>0</v>
      </c>
      <c r="Q71" t="n">
        <v>2</v>
      </c>
      <c r="R71" t="n">
        <v>0</v>
      </c>
      <c r="S71" t="n">
        <v>2</v>
      </c>
      <c r="T71" t="n">
        <v>2</v>
      </c>
      <c r="U71" t="n">
        <v>0</v>
      </c>
      <c r="V71" s="2" t="inlineStr">
        <is>
          <t>Rosenticka
Ullticka</t>
        </is>
      </c>
      <c r="W71">
        <f>HYPERLINK("https://klasma.github.io/Logging_2081/artfynd/A 39377-2024 artfynd.xlsx", "A 39377-2024")</f>
        <v/>
      </c>
      <c r="X71">
        <f>HYPERLINK("https://klasma.github.io/Logging_2081/kartor/A 39377-2024 karta.png", "A 39377-2024")</f>
        <v/>
      </c>
      <c r="Y71">
        <f>HYPERLINK("https://klasma.github.io/Logging_2081/kartor_geotiff/A 39377-2024 georefererad karta.tif", "A 39377-2024")</f>
        <v/>
      </c>
      <c r="AA71">
        <f>HYPERLINK("https://klasma.github.io/Logging_2081/klagomål/A 39377-2024 FSC-klagomål.docx", "A 39377-2024")</f>
        <v/>
      </c>
      <c r="AB71">
        <f>HYPERLINK("https://klasma.github.io/Logging_2081/klagomålsmail/A 39377-2024 FSC-klagomål mail.docx", "A 39377-2024")</f>
        <v/>
      </c>
      <c r="AC71">
        <f>HYPERLINK("https://klasma.github.io/Logging_2081/tillsyn/A 39377-2024 tillsynsbegäran.docx", "A 39377-2024")</f>
        <v/>
      </c>
      <c r="AD71">
        <f>HYPERLINK("https://klasma.github.io/Logging_2081/tillsynsmail/A 39377-2024 tillsynsbegäran mail.docx", "A 39377-2024")</f>
        <v/>
      </c>
    </row>
    <row r="72" ht="15" customHeight="1">
      <c r="A72" t="inlineStr">
        <is>
          <t>A 21926-2023</t>
        </is>
      </c>
      <c r="B72" t="inlineStr">
        <is>
          <t>avverkningsanmälan</t>
        </is>
      </c>
      <c r="C72" t="inlineStr">
        <is>
          <t>Föryngringsavverkning</t>
        </is>
      </c>
      <c r="D72" s="1" t="n">
        <v>45068</v>
      </c>
      <c r="E72" s="1" t="n">
        <v>46274</v>
      </c>
      <c r="F72" t="inlineStr">
        <is>
          <t>DALARNAS LÄN</t>
        </is>
      </c>
      <c r="G72" t="inlineStr">
        <is>
          <t>BORLÄNGE</t>
        </is>
      </c>
      <c r="I72" t="n">
        <v>1.4</v>
      </c>
      <c r="J72" t="n">
        <v>1</v>
      </c>
      <c r="K72" t="n">
        <v>1</v>
      </c>
      <c r="L72" t="n">
        <v>0</v>
      </c>
      <c r="M72" t="n">
        <v>1</v>
      </c>
      <c r="N72" t="n">
        <v>0</v>
      </c>
      <c r="O72" t="n">
        <v>0</v>
      </c>
      <c r="P72" t="n">
        <v>0</v>
      </c>
      <c r="Q72" t="n">
        <v>1</v>
      </c>
      <c r="R72" t="n">
        <v>1</v>
      </c>
      <c r="S72" t="n">
        <v>2</v>
      </c>
      <c r="T72" t="n">
        <v>12</v>
      </c>
      <c r="U72" t="n">
        <v>12</v>
      </c>
      <c r="V72" s="2" t="inlineStr">
        <is>
          <t>Knärot
Vedticka</t>
        </is>
      </c>
      <c r="W72">
        <f>HYPERLINK("https://klasma.github.io/Logging_2081/artfynd/A 21926-2023 artfynd.xlsx", "A 21926-2023")</f>
        <v/>
      </c>
      <c r="X72">
        <f>HYPERLINK("https://klasma.github.io/Logging_2081/kartor/A 21926-2023 karta.png", "A 21926-2023")</f>
        <v/>
      </c>
      <c r="Y72">
        <f>HYPERLINK("https://klasma.github.io/Logging_2081/kartor_geotiff/A 21926-2023 georefererad karta.tif", "A 21926-2023")</f>
        <v/>
      </c>
      <c r="Z72">
        <f>HYPERLINK("https://klasma.github.io/Logging_2081/knärot/A 21926-2023 karta knärot.png", "A 21926-2023")</f>
        <v/>
      </c>
      <c r="AA72">
        <f>HYPERLINK("https://klasma.github.io/Logging_2081/klagomål/A 21926-2023 FSC-klagomål.docx", "A 21926-2023")</f>
        <v/>
      </c>
      <c r="AB72">
        <f>HYPERLINK("https://klasma.github.io/Logging_2081/klagomålsmail/A 21926-2023 FSC-klagomål mail.docx", "A 21926-2023")</f>
        <v/>
      </c>
      <c r="AC72">
        <f>HYPERLINK("https://klasma.github.io/Logging_2081/tillsyn/A 21926-2023 tillsynsbegäran.docx", "A 21926-2023")</f>
        <v/>
      </c>
      <c r="AD72">
        <f>HYPERLINK("https://klasma.github.io/Logging_2081/tillsynsmail/A 21926-2023 tillsynsbegäran mail.docx", "A 21926-2023")</f>
        <v/>
      </c>
    </row>
    <row r="73" ht="15" customHeight="1">
      <c r="A73" t="inlineStr">
        <is>
          <t>A 12490-2026</t>
        </is>
      </c>
      <c r="B73" t="inlineStr">
        <is>
          <t>avverkningsanmälan</t>
        </is>
      </c>
      <c r="C73" t="inlineStr">
        <is>
          <t>Föryngringsavverkning</t>
        </is>
      </c>
      <c r="D73" s="1" t="n">
        <v>46090</v>
      </c>
      <c r="E73" s="1" t="n">
        <v>46274</v>
      </c>
      <c r="F73" t="inlineStr">
        <is>
          <t>DALARNAS LÄN</t>
        </is>
      </c>
      <c r="G73" t="inlineStr">
        <is>
          <t>BORLÄNGE</t>
        </is>
      </c>
      <c r="I73" t="n">
        <v>7.7</v>
      </c>
      <c r="J73" t="n">
        <v>2</v>
      </c>
      <c r="K73" t="n">
        <v>0</v>
      </c>
      <c r="L73" t="n">
        <v>1</v>
      </c>
      <c r="M73" t="n">
        <v>0</v>
      </c>
      <c r="N73" t="n">
        <v>0</v>
      </c>
      <c r="O73" t="n">
        <v>0</v>
      </c>
      <c r="P73" t="n">
        <v>0</v>
      </c>
      <c r="Q73" t="n">
        <v>1</v>
      </c>
      <c r="R73" t="n">
        <v>0</v>
      </c>
      <c r="S73" t="n">
        <v>2</v>
      </c>
      <c r="T73" t="n">
        <v>6</v>
      </c>
      <c r="U73" t="n">
        <v>0</v>
      </c>
      <c r="V73" s="2" t="inlineStr">
        <is>
          <t>Tretåig hackspett
Tjäder</t>
        </is>
      </c>
      <c r="W73">
        <f>HYPERLINK("https://klasma.github.io/Logging_2081/artfynd/A 12490-2026 artfynd.xlsx", "A 12490-2026")</f>
        <v/>
      </c>
      <c r="X73">
        <f>HYPERLINK("https://klasma.github.io/Logging_2081/kartor/A 12490-2026 karta.png", "A 12490-2026")</f>
        <v/>
      </c>
      <c r="Y73">
        <f>HYPERLINK("https://klasma.github.io/Logging_2081/kartor_geotiff/A 12490-2026 georefererad karta.tif", "A 12490-2026")</f>
        <v/>
      </c>
      <c r="AA73">
        <f>HYPERLINK("https://klasma.github.io/Logging_2081/klagomål/A 12490-2026 FSC-klagomål.docx", "A 12490-2026")</f>
        <v/>
      </c>
      <c r="AB73">
        <f>HYPERLINK("https://klasma.github.io/Logging_2081/klagomålsmail/A 12490-2026 FSC-klagomål mail.docx", "A 12490-2026")</f>
        <v/>
      </c>
      <c r="AC73">
        <f>HYPERLINK("https://klasma.github.io/Logging_2081/tillsyn/A 12490-2026 tillsynsbegäran.docx", "A 12490-2026")</f>
        <v/>
      </c>
      <c r="AD73">
        <f>HYPERLINK("https://klasma.github.io/Logging_2081/tillsynsmail/A 12490-2026 tillsynsbegäran mail.docx", "A 12490-2026")</f>
        <v/>
      </c>
      <c r="AE73">
        <f>HYPERLINK("https://klasma.github.io/Logging_2081/fåglar/A 12490-2026 prioriterade fågelarter.docx", "A 12490-2026")</f>
        <v/>
      </c>
    </row>
    <row r="74" ht="15" customHeight="1">
      <c r="A74" t="inlineStr">
        <is>
          <t>A 10740-2024</t>
        </is>
      </c>
      <c r="B74" t="inlineStr">
        <is>
          <t>avverkningsanmälan</t>
        </is>
      </c>
      <c r="C74" t="inlineStr">
        <is>
          <t>Föryngringsavverkning</t>
        </is>
      </c>
      <c r="D74" s="1" t="n">
        <v>45369</v>
      </c>
      <c r="E74" s="1" t="n">
        <v>46274</v>
      </c>
      <c r="F74" t="inlineStr">
        <is>
          <t>DALARNAS LÄN</t>
        </is>
      </c>
      <c r="G74" t="inlineStr">
        <is>
          <t>BORLÄNGE</t>
        </is>
      </c>
      <c r="I74" t="n">
        <v>1</v>
      </c>
      <c r="J74" t="n">
        <v>0</v>
      </c>
      <c r="K74" t="n">
        <v>0</v>
      </c>
      <c r="L74" t="n">
        <v>1</v>
      </c>
      <c r="M74" t="n">
        <v>1</v>
      </c>
      <c r="N74" t="n">
        <v>0</v>
      </c>
      <c r="O74" t="n">
        <v>0</v>
      </c>
      <c r="P74" t="n">
        <v>0</v>
      </c>
      <c r="Q74" t="n">
        <v>2</v>
      </c>
      <c r="R74" t="n">
        <v>1</v>
      </c>
      <c r="S74" t="n">
        <v>2</v>
      </c>
      <c r="T74" t="n">
        <v>2</v>
      </c>
      <c r="U74" t="n">
        <v>0</v>
      </c>
      <c r="V74" s="2" t="inlineStr">
        <is>
          <t>Skrovlig taggsvamp
Ullticka</t>
        </is>
      </c>
      <c r="W74">
        <f>HYPERLINK("https://klasma.github.io/Logging_2081/artfynd/A 10740-2024 artfynd.xlsx", "A 10740-2024")</f>
        <v/>
      </c>
      <c r="X74">
        <f>HYPERLINK("https://klasma.github.io/Logging_2081/kartor/A 10740-2024 karta.png", "A 10740-2024")</f>
        <v/>
      </c>
      <c r="Y74">
        <f>HYPERLINK("https://klasma.github.io/Logging_2081/kartor_geotiff/A 10740-2024 georefererad karta.tif", "A 10740-2024")</f>
        <v/>
      </c>
      <c r="AA74">
        <f>HYPERLINK("https://klasma.github.io/Logging_2081/klagomål/A 10740-2024 FSC-klagomål.docx", "A 10740-2024")</f>
        <v/>
      </c>
      <c r="AB74">
        <f>HYPERLINK("https://klasma.github.io/Logging_2081/klagomålsmail/A 10740-2024 FSC-klagomål mail.docx", "A 10740-2024")</f>
        <v/>
      </c>
      <c r="AC74">
        <f>HYPERLINK("https://klasma.github.io/Logging_2081/tillsyn/A 10740-2024 tillsynsbegäran.docx", "A 10740-2024")</f>
        <v/>
      </c>
      <c r="AD74">
        <f>HYPERLINK("https://klasma.github.io/Logging_2081/tillsynsmail/A 10740-2024 tillsynsbegäran mail.docx", "A 10740-2024")</f>
        <v/>
      </c>
    </row>
    <row r="75" ht="15" customHeight="1">
      <c r="A75" t="inlineStr">
        <is>
          <t>A 52510-2022</t>
        </is>
      </c>
      <c r="B75" t="inlineStr">
        <is>
          <t>avverkningsanmälan</t>
        </is>
      </c>
      <c r="C75" t="inlineStr">
        <is>
          <t>Föryngringsavverkning</t>
        </is>
      </c>
      <c r="D75" s="1" t="n">
        <v>44874</v>
      </c>
      <c r="E75" s="1" t="n">
        <v>46274</v>
      </c>
      <c r="F75" t="inlineStr">
        <is>
          <t>DALARNAS LÄN</t>
        </is>
      </c>
      <c r="G75" t="inlineStr">
        <is>
          <t>BORLÄNGE</t>
        </is>
      </c>
      <c r="I75" t="n">
        <v>1</v>
      </c>
      <c r="J75" t="n">
        <v>0</v>
      </c>
      <c r="K75" t="n">
        <v>1</v>
      </c>
      <c r="L75" t="n">
        <v>0</v>
      </c>
      <c r="M75" t="n">
        <v>1</v>
      </c>
      <c r="N75" t="n">
        <v>0</v>
      </c>
      <c r="O75" t="n">
        <v>0</v>
      </c>
      <c r="P75" t="n">
        <v>0</v>
      </c>
      <c r="Q75" t="n">
        <v>1</v>
      </c>
      <c r="R75" t="n">
        <v>1</v>
      </c>
      <c r="S75" t="n">
        <v>2</v>
      </c>
      <c r="T75" t="n">
        <v>2</v>
      </c>
      <c r="U75" t="n">
        <v>2</v>
      </c>
      <c r="V75" s="2" t="inlineStr">
        <is>
          <t>Gränsticka
Vedticka</t>
        </is>
      </c>
      <c r="W75">
        <f>HYPERLINK("https://klasma.github.io/Logging_2081/artfynd/A 52510-2022 artfynd.xlsx", "A 52510-2022")</f>
        <v/>
      </c>
      <c r="X75">
        <f>HYPERLINK("https://klasma.github.io/Logging_2081/kartor/A 52510-2022 karta.png", "A 52510-2022")</f>
        <v/>
      </c>
      <c r="Y75">
        <f>HYPERLINK("https://klasma.github.io/Logging_2081/kartor_geotiff/A 52510-2022 georefererad karta.tif", "A 52510-2022")</f>
        <v/>
      </c>
      <c r="AA75">
        <f>HYPERLINK("https://klasma.github.io/Logging_2081/klagomål/A 52510-2022 FSC-klagomål.docx", "A 52510-2022")</f>
        <v/>
      </c>
      <c r="AB75">
        <f>HYPERLINK("https://klasma.github.io/Logging_2081/klagomålsmail/A 52510-2022 FSC-klagomål mail.docx", "A 52510-2022")</f>
        <v/>
      </c>
      <c r="AC75">
        <f>HYPERLINK("https://klasma.github.io/Logging_2081/tillsyn/A 52510-2022 tillsynsbegäran.docx", "A 52510-2022")</f>
        <v/>
      </c>
      <c r="AD75">
        <f>HYPERLINK("https://klasma.github.io/Logging_2081/tillsynsmail/A 52510-2022 tillsynsbegäran mail.docx", "A 52510-2022")</f>
        <v/>
      </c>
    </row>
    <row r="76" ht="15" customHeight="1">
      <c r="A76" t="inlineStr">
        <is>
          <t>A 35594-2022</t>
        </is>
      </c>
      <c r="B76" t="inlineStr">
        <is>
          <t>avverkningsanmälan</t>
        </is>
      </c>
      <c r="C76" t="inlineStr">
        <is>
          <t>Föryngringsavverkning</t>
        </is>
      </c>
      <c r="D76" s="1" t="n">
        <v>44799</v>
      </c>
      <c r="E76" s="1" t="n">
        <v>46274</v>
      </c>
      <c r="F76" t="inlineStr">
        <is>
          <t>DALARNAS LÄN</t>
        </is>
      </c>
      <c r="G76" t="inlineStr">
        <is>
          <t>BORLÄNGE</t>
        </is>
      </c>
      <c r="H76" t="inlineStr">
        <is>
          <t>Bergvik skog väst AB</t>
        </is>
      </c>
      <c r="I76" t="n">
        <v>1.7</v>
      </c>
      <c r="J76" t="n">
        <v>0</v>
      </c>
      <c r="K76" t="n">
        <v>0</v>
      </c>
      <c r="L76" t="n">
        <v>2</v>
      </c>
      <c r="M76" t="n">
        <v>0</v>
      </c>
      <c r="N76" t="n">
        <v>0</v>
      </c>
      <c r="O76" t="n">
        <v>0</v>
      </c>
      <c r="P76" t="n">
        <v>0</v>
      </c>
      <c r="Q76" t="n">
        <v>2</v>
      </c>
      <c r="R76" t="n">
        <v>0</v>
      </c>
      <c r="S76" t="n">
        <v>2</v>
      </c>
      <c r="T76" t="n">
        <v>2</v>
      </c>
      <c r="U76" t="n">
        <v>2</v>
      </c>
      <c r="V76" s="2" t="inlineStr">
        <is>
          <t>Rynkskinn
Ullticka</t>
        </is>
      </c>
      <c r="W76">
        <f>HYPERLINK("https://klasma.github.io/Logging_2081/artfynd/A 35594-2022 artfynd.xlsx", "A 35594-2022")</f>
        <v/>
      </c>
      <c r="X76">
        <f>HYPERLINK("https://klasma.github.io/Logging_2081/kartor/A 35594-2022 karta.png", "A 35594-2022")</f>
        <v/>
      </c>
      <c r="Y76">
        <f>HYPERLINK("https://klasma.github.io/Logging_2081/kartor_geotiff/A 35594-2022 georefererad karta.tif", "A 35594-2022")</f>
        <v/>
      </c>
      <c r="AA76">
        <f>HYPERLINK("https://klasma.github.io/Logging_2081/klagomål/A 35594-2022 FSC-klagomål.docx", "A 35594-2022")</f>
        <v/>
      </c>
      <c r="AB76">
        <f>HYPERLINK("https://klasma.github.io/Logging_2081/klagomålsmail/A 35594-2022 FSC-klagomål mail.docx", "A 35594-2022")</f>
        <v/>
      </c>
      <c r="AC76">
        <f>HYPERLINK("https://klasma.github.io/Logging_2081/tillsyn/A 35594-2022 tillsynsbegäran.docx", "A 35594-2022")</f>
        <v/>
      </c>
      <c r="AD76">
        <f>HYPERLINK("https://klasma.github.io/Logging_2081/tillsynsmail/A 35594-2022 tillsynsbegäran mail.docx", "A 35594-2022")</f>
        <v/>
      </c>
    </row>
    <row r="77" ht="15" customHeight="1">
      <c r="A77" t="inlineStr">
        <is>
          <t>A 51992-2021</t>
        </is>
      </c>
      <c r="B77" t="inlineStr">
        <is>
          <t>avverkningsanmälan</t>
        </is>
      </c>
      <c r="C77" t="inlineStr">
        <is>
          <t>Föryngringsavverkning</t>
        </is>
      </c>
      <c r="D77" s="1" t="n">
        <v>44463</v>
      </c>
      <c r="E77" s="1" t="n">
        <v>46274</v>
      </c>
      <c r="F77" t="inlineStr">
        <is>
          <t>DALARNAS LÄN</t>
        </is>
      </c>
      <c r="G77" t="inlineStr">
        <is>
          <t>BORLÄNGE</t>
        </is>
      </c>
      <c r="H77" t="inlineStr">
        <is>
          <t>Bergvik skog väst AB</t>
        </is>
      </c>
      <c r="I77" t="n">
        <v>2</v>
      </c>
      <c r="J77" t="n">
        <v>1</v>
      </c>
      <c r="K77" t="n">
        <v>2</v>
      </c>
      <c r="L77" t="n">
        <v>0</v>
      </c>
      <c r="M77" t="n">
        <v>0</v>
      </c>
      <c r="N77" t="n">
        <v>0</v>
      </c>
      <c r="O77" t="n">
        <v>0</v>
      </c>
      <c r="P77" t="n">
        <v>0</v>
      </c>
      <c r="Q77" t="n">
        <v>0</v>
      </c>
      <c r="R77" t="n">
        <v>0</v>
      </c>
      <c r="S77" t="n">
        <v>2</v>
      </c>
      <c r="T77" t="n">
        <v>2</v>
      </c>
      <c r="U77" t="n">
        <v>2</v>
      </c>
      <c r="V77" s="2" t="inlineStr">
        <is>
          <t>Korallrot
Rödgul trumpetsvamp</t>
        </is>
      </c>
      <c r="W77">
        <f>HYPERLINK("https://klasma.github.io/Logging_2081/artfynd/A 51992-2021 artfynd.xlsx", "A 51992-2021")</f>
        <v/>
      </c>
      <c r="X77">
        <f>HYPERLINK("https://klasma.github.io/Logging_2081/kartor/A 51992-2021 karta.png", "A 51992-2021")</f>
        <v/>
      </c>
      <c r="Y77">
        <f>HYPERLINK("https://klasma.github.io/Logging_2081/kartor_geotiff/A 51992-2021 georefererad karta.tif", "A 51992-2021")</f>
        <v/>
      </c>
      <c r="AA77">
        <f>HYPERLINK("https://klasma.github.io/Logging_2081/klagomål/A 51992-2021 FSC-klagomål.docx", "A 51992-2021")</f>
        <v/>
      </c>
      <c r="AB77">
        <f>HYPERLINK("https://klasma.github.io/Logging_2081/klagomålsmail/A 51992-2021 FSC-klagomål mail.docx", "A 51992-2021")</f>
        <v/>
      </c>
      <c r="AC77">
        <f>HYPERLINK("https://klasma.github.io/Logging_2081/tillsyn/A 51992-2021 tillsynsbegäran.docx", "A 51992-2021")</f>
        <v/>
      </c>
      <c r="AD77">
        <f>HYPERLINK("https://klasma.github.io/Logging_2081/tillsynsmail/A 51992-2021 tillsynsbegäran mail.docx", "A 51992-2021")</f>
        <v/>
      </c>
    </row>
    <row r="78" ht="15" customHeight="1">
      <c r="A78" t="inlineStr">
        <is>
          <t>A 12787-2024</t>
        </is>
      </c>
      <c r="B78" t="inlineStr">
        <is>
          <t>avverkningsanmälan</t>
        </is>
      </c>
      <c r="C78" t="inlineStr">
        <is>
          <t>Föryngringsavverkning</t>
        </is>
      </c>
      <c r="D78" s="1" t="n">
        <v>45384</v>
      </c>
      <c r="E78" s="1" t="n">
        <v>46274</v>
      </c>
      <c r="F78" t="inlineStr">
        <is>
          <t>DALARNAS LÄN</t>
        </is>
      </c>
      <c r="G78" t="inlineStr">
        <is>
          <t>BORLÄNGE</t>
        </is>
      </c>
      <c r="I78" t="n">
        <v>1.1</v>
      </c>
      <c r="J78" t="n">
        <v>2</v>
      </c>
      <c r="K78" t="n">
        <v>0</v>
      </c>
      <c r="L78" t="n">
        <v>2</v>
      </c>
      <c r="M78" t="n">
        <v>0</v>
      </c>
      <c r="N78" t="n">
        <v>0</v>
      </c>
      <c r="O78" t="n">
        <v>0</v>
      </c>
      <c r="P78" t="n">
        <v>0</v>
      </c>
      <c r="Q78" t="n">
        <v>2</v>
      </c>
      <c r="R78" t="n">
        <v>0</v>
      </c>
      <c r="S78" t="n">
        <v>2</v>
      </c>
      <c r="T78" t="n">
        <v>2</v>
      </c>
      <c r="U78" t="n">
        <v>2</v>
      </c>
      <c r="V78" s="2" t="inlineStr">
        <is>
          <t>Gulsparv
Rödvingetrast</t>
        </is>
      </c>
      <c r="W78">
        <f>HYPERLINK("https://klasma.github.io/Logging_2081/artfynd/A 12787-2024 artfynd.xlsx", "A 12787-2024")</f>
        <v/>
      </c>
      <c r="X78">
        <f>HYPERLINK("https://klasma.github.io/Logging_2081/kartor/A 12787-2024 karta.png", "A 12787-2024")</f>
        <v/>
      </c>
      <c r="Y78">
        <f>HYPERLINK("https://klasma.github.io/Logging_2081/kartor_geotiff/A 12787-2024 georefererad karta.tif", "A 12787-2024")</f>
        <v/>
      </c>
      <c r="AA78">
        <f>HYPERLINK("https://klasma.github.io/Logging_2081/klagomål/A 12787-2024 FSC-klagomål.docx", "A 12787-2024")</f>
        <v/>
      </c>
      <c r="AB78">
        <f>HYPERLINK("https://klasma.github.io/Logging_2081/klagomålsmail/A 12787-2024 FSC-klagomål mail.docx", "A 12787-2024")</f>
        <v/>
      </c>
      <c r="AC78">
        <f>HYPERLINK("https://klasma.github.io/Logging_2081/tillsyn/A 12787-2024 tillsynsbegäran.docx", "A 12787-2024")</f>
        <v/>
      </c>
      <c r="AD78">
        <f>HYPERLINK("https://klasma.github.io/Logging_2081/tillsynsmail/A 12787-2024 tillsynsbegäran mail.docx", "A 12787-2024")</f>
        <v/>
      </c>
      <c r="AE78">
        <f>HYPERLINK("https://klasma.github.io/Logging_2081/fåglar/A 12787-2024 prioriterade fågelarter.docx", "A 12787-2024")</f>
        <v/>
      </c>
    </row>
    <row r="79" ht="15" customHeight="1">
      <c r="A79" t="inlineStr">
        <is>
          <t>A 37723-2024</t>
        </is>
      </c>
      <c r="B79" t="inlineStr">
        <is>
          <t>avverkningsanmälan</t>
        </is>
      </c>
      <c r="C79" t="inlineStr">
        <is>
          <t>Föryngringsavverkning</t>
        </is>
      </c>
      <c r="D79" s="1" t="n">
        <v>45541</v>
      </c>
      <c r="E79" s="1" t="n">
        <v>46274</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46274</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46274</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49776-2021</t>
        </is>
      </c>
      <c r="B82" t="inlineStr">
        <is>
          <t>avverkningsanmälan</t>
        </is>
      </c>
      <c r="C82" t="inlineStr">
        <is>
          <t>Föryngringsavverkning</t>
        </is>
      </c>
      <c r="D82" s="1" t="n">
        <v>44454</v>
      </c>
      <c r="E82" s="1" t="n">
        <v>46274</v>
      </c>
      <c r="F82" t="inlineStr">
        <is>
          <t>DALARNAS LÄN</t>
        </is>
      </c>
      <c r="G82" t="inlineStr">
        <is>
          <t>BORLÄNGE</t>
        </is>
      </c>
      <c r="I82" t="n">
        <v>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HYPERLINK("https://klasma.github.io/Logging_2081/artfynd/A 49776-2021 artfynd.xlsx", "A 49776-2021")</f>
        <v/>
      </c>
      <c r="X82">
        <f>HYPERLINK("https://klasma.github.io/Logging_2081/kartor/A 49776-2021 karta.png", "A 49776-2021")</f>
        <v/>
      </c>
      <c r="Y82">
        <f>HYPERLINK("https://klasma.github.io/Logging_2081/kartor_geotiff/A 49776-2021 georefererad karta.tif", "A 49776-2021")</f>
        <v/>
      </c>
      <c r="AA82">
        <f>HYPERLINK("https://klasma.github.io/Logging_2081/klagomål/A 49776-2021 FSC-klagomål.docx", "A 49776-2021")</f>
        <v/>
      </c>
      <c r="AB82">
        <f>HYPERLINK("https://klasma.github.io/Logging_2081/klagomålsmail/A 49776-2021 FSC-klagomål mail.docx", "A 49776-2021")</f>
        <v/>
      </c>
      <c r="AC82">
        <f>HYPERLINK("https://klasma.github.io/Logging_2081/tillsyn/A 49776-2021 tillsynsbegäran.docx", "A 49776-2021")</f>
        <v/>
      </c>
      <c r="AD82">
        <f>HYPERLINK("https://klasma.github.io/Logging_2081/tillsynsmail/A 49776-2021 tillsynsbegäran mail.docx", "A 49776-2021")</f>
        <v/>
      </c>
    </row>
    <row r="83" ht="15" customHeight="1">
      <c r="A83" t="inlineStr">
        <is>
          <t>A 3978-2022</t>
        </is>
      </c>
      <c r="B83" t="inlineStr">
        <is>
          <t>avverkningsanmälan</t>
        </is>
      </c>
      <c r="C83" t="inlineStr">
        <is>
          <t>Föryngringsavverkning</t>
        </is>
      </c>
      <c r="D83" s="1" t="n">
        <v>44587</v>
      </c>
      <c r="E83" s="1" t="n">
        <v>46274</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53580-2021</t>
        </is>
      </c>
      <c r="B84" t="inlineStr">
        <is>
          <t>avverkningsanmälan</t>
        </is>
      </c>
      <c r="C84" t="inlineStr">
        <is>
          <t>Föryngringsavverkning</t>
        </is>
      </c>
      <c r="D84" s="1" t="n">
        <v>44469</v>
      </c>
      <c r="E84" s="1" t="n">
        <v>46274</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35357-2022</t>
        </is>
      </c>
      <c r="B85" t="inlineStr">
        <is>
          <t>avverkningsanmälan</t>
        </is>
      </c>
      <c r="C85" t="inlineStr">
        <is>
          <t>Föryngringsavverkning</t>
        </is>
      </c>
      <c r="D85" s="1" t="n">
        <v>44798</v>
      </c>
      <c r="E85" s="1" t="n">
        <v>46274</v>
      </c>
      <c r="F85" t="inlineStr">
        <is>
          <t>DALARNAS LÄN</t>
        </is>
      </c>
      <c r="G85" t="inlineStr">
        <is>
          <t>BORLÄNGE</t>
        </is>
      </c>
      <c r="I85" t="n">
        <v>3.1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HYPERLINK("https://klasma.github.io/Logging_2081/artfynd/A 35357-2022 artfynd.xlsx", "A 35357-2022")</f>
        <v/>
      </c>
      <c r="X85">
        <f>HYPERLINK("https://klasma.github.io/Logging_2081/kartor/A 35357-2022 karta.png", "A 35357-2022")</f>
        <v/>
      </c>
      <c r="Y85">
        <f>HYPERLINK("https://klasma.github.io/Logging_2081/kartor_geotiff/A 35357-2022 georefererad karta.tif", "A 35357-2022")</f>
        <v/>
      </c>
      <c r="AA85">
        <f>HYPERLINK("https://klasma.github.io/Logging_2081/klagomål/A 35357-2022 FSC-klagomål.docx", "A 35357-2022")</f>
        <v/>
      </c>
      <c r="AB85">
        <f>HYPERLINK("https://klasma.github.io/Logging_2081/klagomålsmail/A 35357-2022 FSC-klagomål mail.docx", "A 35357-2022")</f>
        <v/>
      </c>
      <c r="AC85">
        <f>HYPERLINK("https://klasma.github.io/Logging_2081/tillsyn/A 35357-2022 tillsynsbegäran.docx", "A 35357-2022")</f>
        <v/>
      </c>
      <c r="AD85">
        <f>HYPERLINK("https://klasma.github.io/Logging_2081/tillsynsmail/A 35357-2022 tillsynsbegäran mail.docx", "A 35357-2022")</f>
        <v/>
      </c>
    </row>
    <row r="86" ht="15" customHeight="1">
      <c r="A86" t="inlineStr">
        <is>
          <t>A 22363-2022</t>
        </is>
      </c>
      <c r="B86" t="inlineStr">
        <is>
          <t>avverkningsanmälan</t>
        </is>
      </c>
      <c r="C86" t="inlineStr">
        <is>
          <t>Föryngringsavverkning</t>
        </is>
      </c>
      <c r="D86" s="1" t="n">
        <v>44713</v>
      </c>
      <c r="E86" s="1" t="n">
        <v>46274</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7332-2022</t>
        </is>
      </c>
      <c r="B87" t="inlineStr">
        <is>
          <t>avverkningsanmälan</t>
        </is>
      </c>
      <c r="C87" t="inlineStr">
        <is>
          <t>Föryngringsavverkning</t>
        </is>
      </c>
      <c r="D87" s="1" t="n">
        <v>44606</v>
      </c>
      <c r="E87" s="1" t="n">
        <v>46274</v>
      </c>
      <c r="F87" t="inlineStr">
        <is>
          <t>DALARNAS LÄN</t>
        </is>
      </c>
      <c r="G87" t="inlineStr">
        <is>
          <t>BORLÄNGE</t>
        </is>
      </c>
      <c r="H87" t="inlineStr">
        <is>
          <t>Bergvik skog väst AB</t>
        </is>
      </c>
      <c r="I87" t="n">
        <v>1.4</v>
      </c>
      <c r="J87" t="n">
        <v>1</v>
      </c>
      <c r="K87" t="n">
        <v>0</v>
      </c>
      <c r="L87" t="n">
        <v>0</v>
      </c>
      <c r="M87" t="n">
        <v>0</v>
      </c>
      <c r="N87" t="n">
        <v>0</v>
      </c>
      <c r="O87" t="n">
        <v>0</v>
      </c>
      <c r="P87" t="n">
        <v>0</v>
      </c>
      <c r="Q87" t="n">
        <v>0</v>
      </c>
      <c r="R87" t="n">
        <v>0</v>
      </c>
      <c r="S87" t="n">
        <v>1</v>
      </c>
      <c r="T87" t="n">
        <v>1</v>
      </c>
      <c r="U87" t="n">
        <v>1</v>
      </c>
      <c r="V87" s="2" t="inlineStr">
        <is>
          <t>Nattviol</t>
        </is>
      </c>
      <c r="W87">
        <f>HYPERLINK("https://klasma.github.io/Logging_2081/artfynd/A 7332-2022 artfynd.xlsx", "A 7332-2022")</f>
        <v/>
      </c>
      <c r="X87">
        <f>HYPERLINK("https://klasma.github.io/Logging_2081/kartor/A 7332-2022 karta.png", "A 7332-2022")</f>
        <v/>
      </c>
      <c r="Y87">
        <f>HYPERLINK("https://klasma.github.io/Logging_2081/kartor_geotiff/A 7332-2022 georefererad karta.tif", "A 7332-2022")</f>
        <v/>
      </c>
      <c r="AA87">
        <f>HYPERLINK("https://klasma.github.io/Logging_2081/klagomål/A 7332-2022 FSC-klagomål.docx", "A 7332-2022")</f>
        <v/>
      </c>
      <c r="AB87">
        <f>HYPERLINK("https://klasma.github.io/Logging_2081/klagomålsmail/A 7332-2022 FSC-klagomål mail.docx", "A 7332-2022")</f>
        <v/>
      </c>
      <c r="AC87">
        <f>HYPERLINK("https://klasma.github.io/Logging_2081/tillsyn/A 7332-2022 tillsynsbegäran.docx", "A 7332-2022")</f>
        <v/>
      </c>
      <c r="AD87">
        <f>HYPERLINK("https://klasma.github.io/Logging_2081/tillsynsmail/A 7332-2022 tillsynsbegäran mail.docx", "A 7332-2022")</f>
        <v/>
      </c>
    </row>
    <row r="88" ht="15" customHeight="1">
      <c r="A88" t="inlineStr">
        <is>
          <t>A 58609-2023</t>
        </is>
      </c>
      <c r="B88" t="inlineStr">
        <is>
          <t>avverkningsanmälan</t>
        </is>
      </c>
      <c r="C88" t="inlineStr">
        <is>
          <t>Föryngringsavverkning</t>
        </is>
      </c>
      <c r="D88" s="1" t="n">
        <v>45251</v>
      </c>
      <c r="E88" s="1" t="n">
        <v>46274</v>
      </c>
      <c r="F88" t="inlineStr">
        <is>
          <t>DALARNAS LÄN</t>
        </is>
      </c>
      <c r="G88" t="inlineStr">
        <is>
          <t>BORLÄNGE</t>
        </is>
      </c>
      <c r="I88" t="n">
        <v>1.9</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HYPERLINK("https://klasma.github.io/Logging_2081/artfynd/A 58609-2023 artfynd.xlsx", "A 58609-2023")</f>
        <v/>
      </c>
      <c r="X88">
        <f>HYPERLINK("https://klasma.github.io/Logging_2081/kartor/A 58609-2023 karta.png", "A 58609-2023")</f>
        <v/>
      </c>
      <c r="Y88">
        <f>HYPERLINK("https://klasma.github.io/Logging_2081/kartor_geotiff/A 58609-2023 georefererad karta.tif", "A 58609-2023")</f>
        <v/>
      </c>
      <c r="AA88">
        <f>HYPERLINK("https://klasma.github.io/Logging_2081/klagomål/A 58609-2023 FSC-klagomål.docx", "A 58609-2023")</f>
        <v/>
      </c>
      <c r="AB88">
        <f>HYPERLINK("https://klasma.github.io/Logging_2081/klagomålsmail/A 58609-2023 FSC-klagomål mail.docx", "A 58609-2023")</f>
        <v/>
      </c>
      <c r="AC88">
        <f>HYPERLINK("https://klasma.github.io/Logging_2081/tillsyn/A 58609-2023 tillsynsbegäran.docx", "A 58609-2023")</f>
        <v/>
      </c>
      <c r="AD88">
        <f>HYPERLINK("https://klasma.github.io/Logging_2081/tillsynsmail/A 58609-2023 tillsynsbegäran mail.docx", "A 58609-2023")</f>
        <v/>
      </c>
    </row>
    <row r="89" ht="15" customHeight="1">
      <c r="A89" t="inlineStr">
        <is>
          <t>A 34783-2024</t>
        </is>
      </c>
      <c r="B89" t="inlineStr">
        <is>
          <t>avverkningsanmälan</t>
        </is>
      </c>
      <c r="C89" t="inlineStr">
        <is>
          <t>Avverkning för annat ändamål</t>
        </is>
      </c>
      <c r="D89" s="1" t="n">
        <v>45526</v>
      </c>
      <c r="E89" s="1" t="n">
        <v>46274</v>
      </c>
      <c r="F89" t="inlineStr">
        <is>
          <t>DALARNAS LÄN</t>
        </is>
      </c>
      <c r="G89" t="inlineStr">
        <is>
          <t>BORLÄNGE</t>
        </is>
      </c>
      <c r="I89" t="n">
        <v>1.1</v>
      </c>
      <c r="J89" t="n">
        <v>1</v>
      </c>
      <c r="K89" t="n">
        <v>0</v>
      </c>
      <c r="L89" t="n">
        <v>0</v>
      </c>
      <c r="M89" t="n">
        <v>0</v>
      </c>
      <c r="N89" t="n">
        <v>0</v>
      </c>
      <c r="O89" t="n">
        <v>0</v>
      </c>
      <c r="P89" t="n">
        <v>0</v>
      </c>
      <c r="Q89" t="n">
        <v>0</v>
      </c>
      <c r="R89" t="n">
        <v>0</v>
      </c>
      <c r="S89" t="n">
        <v>1</v>
      </c>
      <c r="T89" t="n">
        <v>3</v>
      </c>
      <c r="U89" t="n">
        <v>3</v>
      </c>
      <c r="V89" s="2" t="inlineStr">
        <is>
          <t>Revlummer</t>
        </is>
      </c>
      <c r="W89">
        <f>HYPERLINK("https://klasma.github.io/Logging_2081/artfynd/A 34783-2024 artfynd.xlsx", "A 34783-2024")</f>
        <v/>
      </c>
      <c r="X89">
        <f>HYPERLINK("https://klasma.github.io/Logging_2081/kartor/A 34783-2024 karta.png", "A 34783-2024")</f>
        <v/>
      </c>
      <c r="Y89">
        <f>HYPERLINK("https://klasma.github.io/Logging_2081/kartor_geotiff/A 34783-2024 georefererad karta.tif", "A 34783-2024")</f>
        <v/>
      </c>
      <c r="AA89">
        <f>HYPERLINK("https://klasma.github.io/Logging_2081/klagomål/A 34783-2024 FSC-klagomål.docx", "A 34783-2024")</f>
        <v/>
      </c>
      <c r="AB89">
        <f>HYPERLINK("https://klasma.github.io/Logging_2081/klagomålsmail/A 34783-2024 FSC-klagomål mail.docx", "A 34783-2024")</f>
        <v/>
      </c>
      <c r="AC89">
        <f>HYPERLINK("https://klasma.github.io/Logging_2081/tillsyn/A 34783-2024 tillsynsbegäran.docx", "A 34783-2024")</f>
        <v/>
      </c>
      <c r="AD89">
        <f>HYPERLINK("https://klasma.github.io/Logging_2081/tillsynsmail/A 34783-2024 tillsynsbegäran mail.docx", "A 34783-2024")</f>
        <v/>
      </c>
    </row>
    <row r="90" ht="15" customHeight="1">
      <c r="A90" t="inlineStr">
        <is>
          <t>A 25763-2023</t>
        </is>
      </c>
      <c r="B90" t="inlineStr">
        <is>
          <t>avverkningsanmälan</t>
        </is>
      </c>
      <c r="C90" t="inlineStr">
        <is>
          <t>Föryngringsavverkning</t>
        </is>
      </c>
      <c r="D90" s="1" t="n">
        <v>45090</v>
      </c>
      <c r="E90" s="1" t="n">
        <v>46274</v>
      </c>
      <c r="F90" t="inlineStr">
        <is>
          <t>DALARNAS LÄN</t>
        </is>
      </c>
      <c r="G90" t="inlineStr">
        <is>
          <t>BORLÄNGE</t>
        </is>
      </c>
      <c r="I90" t="n">
        <v>2.9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HYPERLINK("https://klasma.github.io/Logging_2081/artfynd/A 25763-2023 artfynd.xlsx", "A 25763-2023")</f>
        <v/>
      </c>
      <c r="X90">
        <f>HYPERLINK("https://klasma.github.io/Logging_2081/kartor/A 25763-2023 karta.png", "A 25763-2023")</f>
        <v/>
      </c>
      <c r="Y90">
        <f>HYPERLINK("https://klasma.github.io/Logging_2081/kartor_geotiff/A 25763-2023 georefererad karta.tif", "A 25763-2023")</f>
        <v/>
      </c>
      <c r="AA90">
        <f>HYPERLINK("https://klasma.github.io/Logging_2081/klagomål/A 25763-2023 FSC-klagomål.docx", "A 25763-2023")</f>
        <v/>
      </c>
      <c r="AB90">
        <f>HYPERLINK("https://klasma.github.io/Logging_2081/klagomålsmail/A 25763-2023 FSC-klagomål mail.docx", "A 25763-2023")</f>
        <v/>
      </c>
      <c r="AC90">
        <f>HYPERLINK("https://klasma.github.io/Logging_2081/tillsyn/A 25763-2023 tillsynsbegäran.docx", "A 25763-2023")</f>
        <v/>
      </c>
      <c r="AD90">
        <f>HYPERLINK("https://klasma.github.io/Logging_2081/tillsynsmail/A 25763-2023 tillsynsbegäran mail.docx", "A 25763-2023")</f>
        <v/>
      </c>
    </row>
    <row r="91" ht="15" customHeight="1">
      <c r="A91" t="inlineStr">
        <is>
          <t>A 30870-2024</t>
        </is>
      </c>
      <c r="B91" t="inlineStr">
        <is>
          <t>avverkningsanmälan</t>
        </is>
      </c>
      <c r="C91" t="inlineStr">
        <is>
          <t>Föryngringsavverkning</t>
        </is>
      </c>
      <c r="D91" s="1" t="n">
        <v>45497</v>
      </c>
      <c r="E91" s="1" t="n">
        <v>46274</v>
      </c>
      <c r="F91" t="inlineStr">
        <is>
          <t>DALARNAS LÄN</t>
        </is>
      </c>
      <c r="G91" t="inlineStr">
        <is>
          <t>BORLÄNGE</t>
        </is>
      </c>
      <c r="I91" t="n">
        <v>1.8</v>
      </c>
      <c r="J91" t="n">
        <v>1</v>
      </c>
      <c r="K91" t="n">
        <v>0</v>
      </c>
      <c r="L91" t="n">
        <v>0</v>
      </c>
      <c r="M91" t="n">
        <v>1</v>
      </c>
      <c r="N91" t="n">
        <v>0</v>
      </c>
      <c r="O91" t="n">
        <v>0</v>
      </c>
      <c r="P91" t="n">
        <v>0</v>
      </c>
      <c r="Q91" t="n">
        <v>1</v>
      </c>
      <c r="R91" t="n">
        <v>1</v>
      </c>
      <c r="S91" t="n">
        <v>1</v>
      </c>
      <c r="T91" t="n">
        <v>3</v>
      </c>
      <c r="U91" t="n">
        <v>0</v>
      </c>
      <c r="V91" s="2" t="inlineStr">
        <is>
          <t>Knärot</t>
        </is>
      </c>
      <c r="W91">
        <f>HYPERLINK("https://klasma.github.io/Logging_2081/artfynd/A 30870-2024 artfynd.xlsx", "A 30870-2024")</f>
        <v/>
      </c>
      <c r="X91">
        <f>HYPERLINK("https://klasma.github.io/Logging_2081/kartor/A 30870-2024 karta.png", "A 30870-2024")</f>
        <v/>
      </c>
      <c r="Y91">
        <f>HYPERLINK("https://klasma.github.io/Logging_2081/kartor_geotiff/A 30870-2024 georefererad karta.tif", "A 30870-2024")</f>
        <v/>
      </c>
      <c r="Z91">
        <f>HYPERLINK("https://klasma.github.io/Logging_2081/knärot/A 30870-2024 karta knärot.png", "A 30870-2024")</f>
        <v/>
      </c>
      <c r="AA91">
        <f>HYPERLINK("https://klasma.github.io/Logging_2081/klagomål/A 30870-2024 FSC-klagomål.docx", "A 30870-2024")</f>
        <v/>
      </c>
      <c r="AB91">
        <f>HYPERLINK("https://klasma.github.io/Logging_2081/klagomålsmail/A 30870-2024 FSC-klagomål mail.docx", "A 30870-2024")</f>
        <v/>
      </c>
      <c r="AC91">
        <f>HYPERLINK("https://klasma.github.io/Logging_2081/tillsyn/A 30870-2024 tillsynsbegäran.docx", "A 30870-2024")</f>
        <v/>
      </c>
      <c r="AD91">
        <f>HYPERLINK("https://klasma.github.io/Logging_2081/tillsynsmail/A 30870-2024 tillsynsbegäran mail.docx", "A 30870-2024")</f>
        <v/>
      </c>
    </row>
    <row r="92" ht="15" customHeight="1">
      <c r="A92" t="inlineStr">
        <is>
          <t>A 55298-2023</t>
        </is>
      </c>
      <c r="B92" t="inlineStr">
        <is>
          <t>avverkningsanmälan</t>
        </is>
      </c>
      <c r="C92" t="inlineStr">
        <is>
          <t>Avverkning för annat ändamål</t>
        </is>
      </c>
      <c r="D92" s="1" t="n">
        <v>45237</v>
      </c>
      <c r="E92" s="1" t="n">
        <v>46274</v>
      </c>
      <c r="F92" t="inlineStr">
        <is>
          <t>DALARNAS LÄN</t>
        </is>
      </c>
      <c r="G92" t="inlineStr">
        <is>
          <t>BORLÄNGE</t>
        </is>
      </c>
      <c r="I92" t="n">
        <v>1.3</v>
      </c>
      <c r="J92" t="n">
        <v>1</v>
      </c>
      <c r="K92" t="n">
        <v>0</v>
      </c>
      <c r="L92" t="n">
        <v>1</v>
      </c>
      <c r="M92" t="n">
        <v>0</v>
      </c>
      <c r="N92" t="n">
        <v>0</v>
      </c>
      <c r="O92" t="n">
        <v>0</v>
      </c>
      <c r="P92" t="n">
        <v>0</v>
      </c>
      <c r="Q92" t="n">
        <v>1</v>
      </c>
      <c r="R92" t="n">
        <v>0</v>
      </c>
      <c r="S92" t="n">
        <v>1</v>
      </c>
      <c r="T92" t="n">
        <v>2</v>
      </c>
      <c r="U92" t="n">
        <v>1</v>
      </c>
      <c r="V92" s="2" t="inlineStr">
        <is>
          <t>Höstlåsbräken</t>
        </is>
      </c>
      <c r="W92">
        <f>HYPERLINK("https://klasma.github.io/Logging_2081/artfynd/A 55298-2023 artfynd.xlsx", "A 55298-2023")</f>
        <v/>
      </c>
      <c r="X92">
        <f>HYPERLINK("https://klasma.github.io/Logging_2081/kartor/A 55298-2023 karta.png", "A 55298-2023")</f>
        <v/>
      </c>
      <c r="Y92">
        <f>HYPERLINK("https://klasma.github.io/Logging_2081/kartor_geotiff/A 55298-2023 georefererad karta.tif", "A 55298-2023")</f>
        <v/>
      </c>
      <c r="AA92">
        <f>HYPERLINK("https://klasma.github.io/Logging_2081/klagomål/A 55298-2023 FSC-klagomål.docx", "A 55298-2023")</f>
        <v/>
      </c>
      <c r="AB92">
        <f>HYPERLINK("https://klasma.github.io/Logging_2081/klagomålsmail/A 55298-2023 FSC-klagomål mail.docx", "A 55298-2023")</f>
        <v/>
      </c>
      <c r="AC92">
        <f>HYPERLINK("https://klasma.github.io/Logging_2081/tillsyn/A 55298-2023 tillsynsbegäran.docx", "A 55298-2023")</f>
        <v/>
      </c>
      <c r="AD92">
        <f>HYPERLINK("https://klasma.github.io/Logging_2081/tillsynsmail/A 55298-2023 tillsynsbegäran mail.docx", "A 55298-2023")</f>
        <v/>
      </c>
    </row>
    <row r="93" ht="15" customHeight="1">
      <c r="A93" t="inlineStr">
        <is>
          <t>A 15978-2026</t>
        </is>
      </c>
      <c r="B93" t="inlineStr">
        <is>
          <t>avverkningsanmälan</t>
        </is>
      </c>
      <c r="C93" t="inlineStr">
        <is>
          <t>Föryngringsavverkning</t>
        </is>
      </c>
      <c r="D93" s="1" t="n">
        <v>46108</v>
      </c>
      <c r="E93" s="1" t="n">
        <v>46274</v>
      </c>
      <c r="F93" t="inlineStr">
        <is>
          <t>DALARNAS LÄN</t>
        </is>
      </c>
      <c r="G93" t="inlineStr">
        <is>
          <t>BORLÄNGE</t>
        </is>
      </c>
      <c r="I93" t="n">
        <v>10.6</v>
      </c>
      <c r="J93" t="n">
        <v>0</v>
      </c>
      <c r="K93" t="n">
        <v>1</v>
      </c>
      <c r="L93" t="n">
        <v>0</v>
      </c>
      <c r="M93" t="n">
        <v>0</v>
      </c>
      <c r="N93" t="n">
        <v>0</v>
      </c>
      <c r="O93" t="n">
        <v>0</v>
      </c>
      <c r="P93" t="n">
        <v>0</v>
      </c>
      <c r="Q93" t="n">
        <v>0</v>
      </c>
      <c r="R93" t="n">
        <v>0</v>
      </c>
      <c r="S93" t="n">
        <v>1</v>
      </c>
      <c r="T93" t="n">
        <v>1</v>
      </c>
      <c r="U93" t="n">
        <v>0</v>
      </c>
      <c r="V93" s="2" t="inlineStr">
        <is>
          <t>Rödgul trumpetsvamp</t>
        </is>
      </c>
      <c r="W93">
        <f>HYPERLINK("https://klasma.github.io/Logging_2081/artfynd/A 15978-2026 artfynd.xlsx", "A 15978-2026")</f>
        <v/>
      </c>
      <c r="X93">
        <f>HYPERLINK("https://klasma.github.io/Logging_2081/kartor/A 15978-2026 karta.png", "A 15978-2026")</f>
        <v/>
      </c>
      <c r="Y93">
        <f>HYPERLINK("https://klasma.github.io/Logging_2081/kartor_geotiff/A 15978-2026 georefererad karta.tif", "A 15978-2026")</f>
        <v/>
      </c>
      <c r="AA93">
        <f>HYPERLINK("https://klasma.github.io/Logging_2081/klagomål/A 15978-2026 FSC-klagomål.docx", "A 15978-2026")</f>
        <v/>
      </c>
      <c r="AB93">
        <f>HYPERLINK("https://klasma.github.io/Logging_2081/klagomålsmail/A 15978-2026 FSC-klagomål mail.docx", "A 15978-2026")</f>
        <v/>
      </c>
      <c r="AC93">
        <f>HYPERLINK("https://klasma.github.io/Logging_2081/tillsyn/A 15978-2026 tillsynsbegäran.docx", "A 15978-2026")</f>
        <v/>
      </c>
      <c r="AD93">
        <f>HYPERLINK("https://klasma.github.io/Logging_2081/tillsynsmail/A 15978-2026 tillsynsbegäran mail.docx", "A 15978-2026")</f>
        <v/>
      </c>
    </row>
    <row r="94" ht="15" customHeight="1">
      <c r="A94" t="inlineStr">
        <is>
          <t>A 35389-2022</t>
        </is>
      </c>
      <c r="B94" t="inlineStr">
        <is>
          <t>avverkningsanmälan</t>
        </is>
      </c>
      <c r="C94" t="inlineStr">
        <is>
          <t>Avverkning för annat ändamål</t>
        </is>
      </c>
      <c r="D94" s="1" t="n">
        <v>44798</v>
      </c>
      <c r="E94" s="1" t="n">
        <v>46274</v>
      </c>
      <c r="F94" t="inlineStr">
        <is>
          <t>DALARNAS LÄN</t>
        </is>
      </c>
      <c r="G94" t="inlineStr">
        <is>
          <t>BORLÄNGE</t>
        </is>
      </c>
      <c r="I94" t="n">
        <v>0.5</v>
      </c>
      <c r="J94" t="n">
        <v>0</v>
      </c>
      <c r="K94" t="n">
        <v>0</v>
      </c>
      <c r="L94" t="n">
        <v>0</v>
      </c>
      <c r="M94" t="n">
        <v>1</v>
      </c>
      <c r="N94" t="n">
        <v>0</v>
      </c>
      <c r="O94" t="n">
        <v>0</v>
      </c>
      <c r="P94" t="n">
        <v>0</v>
      </c>
      <c r="Q94" t="n">
        <v>1</v>
      </c>
      <c r="R94" t="n">
        <v>1</v>
      </c>
      <c r="S94" t="n">
        <v>1</v>
      </c>
      <c r="T94" t="n">
        <v>2</v>
      </c>
      <c r="U94" t="n">
        <v>0</v>
      </c>
      <c r="V94" s="2" t="inlineStr">
        <is>
          <t>Garnlav</t>
        </is>
      </c>
      <c r="W94">
        <f>HYPERLINK("https://klasma.github.io/Logging_2081/artfynd/A 35389-2022 artfynd.xlsx", "A 35389-2022")</f>
        <v/>
      </c>
      <c r="X94">
        <f>HYPERLINK("https://klasma.github.io/Logging_2081/kartor/A 35389-2022 karta.png", "A 35389-2022")</f>
        <v/>
      </c>
      <c r="Y94">
        <f>HYPERLINK("https://klasma.github.io/Logging_2081/kartor_geotiff/A 35389-2022 georefererad karta.tif", "A 35389-2022")</f>
        <v/>
      </c>
      <c r="AA94">
        <f>HYPERLINK("https://klasma.github.io/Logging_2081/klagomål/A 35389-2022 FSC-klagomål.docx", "A 35389-2022")</f>
        <v/>
      </c>
      <c r="AB94">
        <f>HYPERLINK("https://klasma.github.io/Logging_2081/klagomålsmail/A 35389-2022 FSC-klagomål mail.docx", "A 35389-2022")</f>
        <v/>
      </c>
      <c r="AC94">
        <f>HYPERLINK("https://klasma.github.io/Logging_2081/tillsyn/A 35389-2022 tillsynsbegäran.docx", "A 35389-2022")</f>
        <v/>
      </c>
      <c r="AD94">
        <f>HYPERLINK("https://klasma.github.io/Logging_2081/tillsynsmail/A 35389-2022 tillsynsbegäran mail.docx", "A 35389-2022")</f>
        <v/>
      </c>
    </row>
    <row r="95" ht="15" customHeight="1">
      <c r="A95" t="inlineStr">
        <is>
          <t>A 10381-2023</t>
        </is>
      </c>
      <c r="B95" t="inlineStr">
        <is>
          <t>avverkningsanmälan</t>
        </is>
      </c>
      <c r="C95" t="inlineStr">
        <is>
          <t>Föryngringsavverkning</t>
        </is>
      </c>
      <c r="D95" s="1" t="n">
        <v>44987</v>
      </c>
      <c r="E95" s="1" t="n">
        <v>46274</v>
      </c>
      <c r="F95" t="inlineStr">
        <is>
          <t>DALARNAS LÄN</t>
        </is>
      </c>
      <c r="G95" t="inlineStr">
        <is>
          <t>BORLÄNGE</t>
        </is>
      </c>
      <c r="I95" t="n">
        <v>2.4</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HYPERLINK("https://klasma.github.io/Logging_2081/artfynd/A 10381-2023 artfynd.xlsx", "A 10381-2023")</f>
        <v/>
      </c>
      <c r="X95">
        <f>HYPERLINK("https://klasma.github.io/Logging_2081/kartor/A 10381-2023 karta.png", "A 10381-2023")</f>
        <v/>
      </c>
      <c r="Y95">
        <f>HYPERLINK("https://klasma.github.io/Logging_2081/kartor_geotiff/A 10381-2023 georefererad karta.tif", "A 10381-2023")</f>
        <v/>
      </c>
      <c r="AA95">
        <f>HYPERLINK("https://klasma.github.io/Logging_2081/klagomål/A 10381-2023 FSC-klagomål.docx", "A 10381-2023")</f>
        <v/>
      </c>
      <c r="AB95">
        <f>HYPERLINK("https://klasma.github.io/Logging_2081/klagomålsmail/A 10381-2023 FSC-klagomål mail.docx", "A 10381-2023")</f>
        <v/>
      </c>
      <c r="AC95">
        <f>HYPERLINK("https://klasma.github.io/Logging_2081/tillsyn/A 10381-2023 tillsynsbegäran.docx", "A 10381-2023")</f>
        <v/>
      </c>
      <c r="AD95">
        <f>HYPERLINK("https://klasma.github.io/Logging_2081/tillsynsmail/A 10381-2023 tillsynsbegäran mail.docx", "A 10381-2023")</f>
        <v/>
      </c>
    </row>
    <row r="96" ht="15" customHeight="1">
      <c r="A96" t="inlineStr">
        <is>
          <t>A 26886-2024</t>
        </is>
      </c>
      <c r="B96" t="inlineStr">
        <is>
          <t>avverkningsanmälan</t>
        </is>
      </c>
      <c r="C96" t="inlineStr">
        <is>
          <t>Föryngringsavverkning</t>
        </is>
      </c>
      <c r="D96" s="1" t="n">
        <v>45470</v>
      </c>
      <c r="E96" s="1" t="n">
        <v>46274</v>
      </c>
      <c r="F96" t="inlineStr">
        <is>
          <t>DALARNAS LÄN</t>
        </is>
      </c>
      <c r="G96" t="inlineStr">
        <is>
          <t>BORLÄNGE</t>
        </is>
      </c>
      <c r="I96" t="n">
        <v>4</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HYPERLINK("https://klasma.github.io/Logging_2081/artfynd/A 26886-2024 artfynd.xlsx", "A 26886-2024")</f>
        <v/>
      </c>
      <c r="X96">
        <f>HYPERLINK("https://klasma.github.io/Logging_2081/kartor/A 26886-2024 karta.png", "A 26886-2024")</f>
        <v/>
      </c>
      <c r="Y96">
        <f>HYPERLINK("https://klasma.github.io/Logging_2081/kartor_geotiff/A 26886-2024 georefererad karta.tif", "A 26886-2024")</f>
        <v/>
      </c>
      <c r="Z96">
        <f>HYPERLINK("https://klasma.github.io/Logging_2081/knärot/A 26886-2024 karta knärot.png", "A 26886-2024")</f>
        <v/>
      </c>
      <c r="AA96">
        <f>HYPERLINK("https://klasma.github.io/Logging_2081/klagomål/A 26886-2024 FSC-klagomål.docx", "A 26886-2024")</f>
        <v/>
      </c>
      <c r="AB96">
        <f>HYPERLINK("https://klasma.github.io/Logging_2081/klagomålsmail/A 26886-2024 FSC-klagomål mail.docx", "A 26886-2024")</f>
        <v/>
      </c>
      <c r="AC96">
        <f>HYPERLINK("https://klasma.github.io/Logging_2081/tillsyn/A 26886-2024 tillsynsbegäran.docx", "A 26886-2024")</f>
        <v/>
      </c>
      <c r="AD96">
        <f>HYPERLINK("https://klasma.github.io/Logging_2081/tillsynsmail/A 26886-2024 tillsynsbegäran mail.docx", "A 26886-2024")</f>
        <v/>
      </c>
    </row>
    <row r="97" ht="15" customHeight="1">
      <c r="A97" t="inlineStr">
        <is>
          <t>A 33694-2022</t>
        </is>
      </c>
      <c r="B97" t="inlineStr">
        <is>
          <t>avverkningsanmälan</t>
        </is>
      </c>
      <c r="C97" t="inlineStr">
        <is>
          <t>Föryngringsavverkning</t>
        </is>
      </c>
      <c r="D97" s="1" t="n">
        <v>44789</v>
      </c>
      <c r="E97" s="1" t="n">
        <v>46274</v>
      </c>
      <c r="F97" t="inlineStr">
        <is>
          <t>DALARNAS LÄN</t>
        </is>
      </c>
      <c r="G97" t="inlineStr">
        <is>
          <t>BORLÄNGE</t>
        </is>
      </c>
      <c r="I97" t="n">
        <v>1.2</v>
      </c>
      <c r="J97" t="n">
        <v>1</v>
      </c>
      <c r="K97" t="n">
        <v>0</v>
      </c>
      <c r="L97" t="n">
        <v>0</v>
      </c>
      <c r="M97" t="n">
        <v>1</v>
      </c>
      <c r="N97" t="n">
        <v>0</v>
      </c>
      <c r="O97" t="n">
        <v>0</v>
      </c>
      <c r="P97" t="n">
        <v>0</v>
      </c>
      <c r="Q97" t="n">
        <v>1</v>
      </c>
      <c r="R97" t="n">
        <v>1</v>
      </c>
      <c r="S97" t="n">
        <v>1</v>
      </c>
      <c r="T97" t="n">
        <v>3</v>
      </c>
      <c r="U97" t="n">
        <v>3</v>
      </c>
      <c r="V97" s="2" t="inlineStr">
        <is>
          <t>Knärot</t>
        </is>
      </c>
      <c r="W97">
        <f>HYPERLINK("https://klasma.github.io/Logging_2081/artfynd/A 33694-2022 artfynd.xlsx", "A 33694-2022")</f>
        <v/>
      </c>
      <c r="X97">
        <f>HYPERLINK("https://klasma.github.io/Logging_2081/kartor/A 33694-2022 karta.png", "A 33694-2022")</f>
        <v/>
      </c>
      <c r="Y97">
        <f>HYPERLINK("https://klasma.github.io/Logging_2081/kartor_geotiff/A 33694-2022 georefererad karta.tif", "A 33694-2022")</f>
        <v/>
      </c>
      <c r="Z97">
        <f>HYPERLINK("https://klasma.github.io/Logging_2081/knärot/A 33694-2022 karta knärot.png", "A 33694-2022")</f>
        <v/>
      </c>
      <c r="AA97">
        <f>HYPERLINK("https://klasma.github.io/Logging_2081/klagomål/A 33694-2022 FSC-klagomål.docx", "A 33694-2022")</f>
        <v/>
      </c>
      <c r="AB97">
        <f>HYPERLINK("https://klasma.github.io/Logging_2081/klagomålsmail/A 33694-2022 FSC-klagomål mail.docx", "A 33694-2022")</f>
        <v/>
      </c>
      <c r="AC97">
        <f>HYPERLINK("https://klasma.github.io/Logging_2081/tillsyn/A 33694-2022 tillsynsbegäran.docx", "A 33694-2022")</f>
        <v/>
      </c>
      <c r="AD97">
        <f>HYPERLINK("https://klasma.github.io/Logging_2081/tillsynsmail/A 33694-2022 tillsynsbegäran mail.docx", "A 33694-2022")</f>
        <v/>
      </c>
    </row>
    <row r="98" ht="15" customHeight="1">
      <c r="A98" t="inlineStr">
        <is>
          <t>A 55056-2025</t>
        </is>
      </c>
      <c r="B98" t="inlineStr">
        <is>
          <t>avverkningsanmälan</t>
        </is>
      </c>
      <c r="C98" t="inlineStr">
        <is>
          <t>Föryngringsavverkning</t>
        </is>
      </c>
      <c r="D98" s="1" t="n">
        <v>45967</v>
      </c>
      <c r="E98" s="1" t="n">
        <v>46274</v>
      </c>
      <c r="F98" t="inlineStr">
        <is>
          <t>DALARNAS LÄN</t>
        </is>
      </c>
      <c r="G98" t="inlineStr">
        <is>
          <t>BORLÄNGE</t>
        </is>
      </c>
      <c r="I98" t="n">
        <v>0.9</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HYPERLINK("https://klasma.github.io/Logging_2081/artfynd/A 55056-2025 artfynd.xlsx", "A 55056-2025")</f>
        <v/>
      </c>
      <c r="X98">
        <f>HYPERLINK("https://klasma.github.io/Logging_2081/kartor/A 55056-2025 karta.png", "A 55056-2025")</f>
        <v/>
      </c>
      <c r="Y98">
        <f>HYPERLINK("https://klasma.github.io/Logging_2081/kartor_geotiff/A 55056-2025 georefererad karta.tif", "A 55056-2025")</f>
        <v/>
      </c>
      <c r="AA98">
        <f>HYPERLINK("https://klasma.github.io/Logging_2081/klagomål/A 55056-2025 FSC-klagomål.docx", "A 55056-2025")</f>
        <v/>
      </c>
      <c r="AB98">
        <f>HYPERLINK("https://klasma.github.io/Logging_2081/klagomålsmail/A 55056-2025 FSC-klagomål mail.docx", "A 55056-2025")</f>
        <v/>
      </c>
      <c r="AC98">
        <f>HYPERLINK("https://klasma.github.io/Logging_2081/tillsyn/A 55056-2025 tillsynsbegäran.docx", "A 55056-2025")</f>
        <v/>
      </c>
      <c r="AD98">
        <f>HYPERLINK("https://klasma.github.io/Logging_2081/tillsynsmail/A 55056-2025 tillsynsbegäran mail.docx", "A 55056-2025")</f>
        <v/>
      </c>
      <c r="AE98">
        <f>HYPERLINK("https://klasma.github.io/Logging_2081/fåglar/A 55056-2025 prioriterade fågelarter.docx", "A 55056-2025")</f>
        <v/>
      </c>
    </row>
    <row r="99" ht="15" customHeight="1">
      <c r="A99" t="inlineStr">
        <is>
          <t>A 8556-2023</t>
        </is>
      </c>
      <c r="B99" t="inlineStr">
        <is>
          <t>avverkningsanmälan</t>
        </is>
      </c>
      <c r="C99" t="inlineStr">
        <is>
          <t>Föryngringsavverkning</t>
        </is>
      </c>
      <c r="D99" s="1" t="n">
        <v>44977</v>
      </c>
      <c r="E99" s="1" t="n">
        <v>46274</v>
      </c>
      <c r="F99" t="inlineStr">
        <is>
          <t>DALARNAS LÄN</t>
        </is>
      </c>
      <c r="G99" t="inlineStr">
        <is>
          <t>BORLÄNGE</t>
        </is>
      </c>
      <c r="I99" t="n">
        <v>0.8</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HYPERLINK("https://klasma.github.io/Logging_2081/artfynd/A 8556-2023 artfynd.xlsx", "A 8556-2023")</f>
        <v/>
      </c>
      <c r="X99">
        <f>HYPERLINK("https://klasma.github.io/Logging_2081/kartor/A 8556-2023 karta.png", "A 8556-2023")</f>
        <v/>
      </c>
      <c r="Y99">
        <f>HYPERLINK("https://klasma.github.io/Logging_2081/kartor_geotiff/A 8556-2023 georefererad karta.tif", "A 8556-2023")</f>
        <v/>
      </c>
      <c r="AA99">
        <f>HYPERLINK("https://klasma.github.io/Logging_2081/klagomål/A 8556-2023 FSC-klagomål.docx", "A 8556-2023")</f>
        <v/>
      </c>
      <c r="AB99">
        <f>HYPERLINK("https://klasma.github.io/Logging_2081/klagomålsmail/A 8556-2023 FSC-klagomål mail.docx", "A 8556-2023")</f>
        <v/>
      </c>
      <c r="AC99">
        <f>HYPERLINK("https://klasma.github.io/Logging_2081/tillsyn/A 8556-2023 tillsynsbegäran.docx", "A 8556-2023")</f>
        <v/>
      </c>
      <c r="AD99">
        <f>HYPERLINK("https://klasma.github.io/Logging_2081/tillsynsmail/A 8556-2023 tillsynsbegäran mail.docx", "A 8556-2023")</f>
        <v/>
      </c>
    </row>
    <row r="100" ht="15" customHeight="1">
      <c r="A100" t="inlineStr">
        <is>
          <t>A 43516-2023</t>
        </is>
      </c>
      <c r="B100" t="inlineStr">
        <is>
          <t>avverkningsanmälan</t>
        </is>
      </c>
      <c r="C100" t="inlineStr">
        <is>
          <t>Föryngringsavverkning</t>
        </is>
      </c>
      <c r="D100" s="1" t="n">
        <v>45184</v>
      </c>
      <c r="E100" s="1" t="n">
        <v>46274</v>
      </c>
      <c r="F100" t="inlineStr">
        <is>
          <t>DALARNAS LÄN</t>
        </is>
      </c>
      <c r="G100" t="inlineStr">
        <is>
          <t>BORLÄNGE</t>
        </is>
      </c>
      <c r="I100" t="n">
        <v>1.8</v>
      </c>
      <c r="J100" t="n">
        <v>1</v>
      </c>
      <c r="K100" t="n">
        <v>0</v>
      </c>
      <c r="L100" t="n">
        <v>1</v>
      </c>
      <c r="M100" t="n">
        <v>0</v>
      </c>
      <c r="N100" t="n">
        <v>0</v>
      </c>
      <c r="O100" t="n">
        <v>0</v>
      </c>
      <c r="P100" t="n">
        <v>0</v>
      </c>
      <c r="Q100" t="n">
        <v>1</v>
      </c>
      <c r="R100" t="n">
        <v>0</v>
      </c>
      <c r="S100" t="n">
        <v>1</v>
      </c>
      <c r="T100" t="n">
        <v>1</v>
      </c>
      <c r="U100" t="n">
        <v>1</v>
      </c>
      <c r="V100" s="2" t="inlineStr">
        <is>
          <t>Bivråk</t>
        </is>
      </c>
      <c r="W100">
        <f>HYPERLINK("https://klasma.github.io/Logging_2081/artfynd/A 43516-2023 artfynd.xlsx", "A 43516-2023")</f>
        <v/>
      </c>
      <c r="X100">
        <f>HYPERLINK("https://klasma.github.io/Logging_2081/kartor/A 43516-2023 karta.png", "A 43516-2023")</f>
        <v/>
      </c>
      <c r="Y100">
        <f>HYPERLINK("https://klasma.github.io/Logging_2081/kartor_geotiff/A 43516-2023 georefererad karta.tif", "A 43516-2023")</f>
        <v/>
      </c>
      <c r="AA100">
        <f>HYPERLINK("https://klasma.github.io/Logging_2081/klagomål/A 43516-2023 FSC-klagomål.docx", "A 43516-2023")</f>
        <v/>
      </c>
      <c r="AB100">
        <f>HYPERLINK("https://klasma.github.io/Logging_2081/klagomålsmail/A 43516-2023 FSC-klagomål mail.docx", "A 43516-2023")</f>
        <v/>
      </c>
      <c r="AC100">
        <f>HYPERLINK("https://klasma.github.io/Logging_2081/tillsyn/A 43516-2023 tillsynsbegäran.docx", "A 43516-2023")</f>
        <v/>
      </c>
      <c r="AD100">
        <f>HYPERLINK("https://klasma.github.io/Logging_2081/tillsynsmail/A 43516-2023 tillsynsbegäran mail.docx", "A 43516-2023")</f>
        <v/>
      </c>
      <c r="AE100">
        <f>HYPERLINK("https://klasma.github.io/Logging_2081/fåglar/A 43516-2023 prioriterade fågelarter.docx", "A 43516-2023")</f>
        <v/>
      </c>
    </row>
    <row r="101" ht="15" customHeight="1">
      <c r="A101" t="inlineStr">
        <is>
          <t>A 27121-2026</t>
        </is>
      </c>
      <c r="B101" t="inlineStr">
        <is>
          <t>avverkningsanmälan</t>
        </is>
      </c>
      <c r="C101" t="inlineStr">
        <is>
          <t>Föryngringsavverkning</t>
        </is>
      </c>
      <c r="D101" s="1" t="n">
        <v>46188</v>
      </c>
      <c r="E101" s="1" t="n">
        <v>46274</v>
      </c>
      <c r="F101" t="inlineStr">
        <is>
          <t>DALARNAS LÄN</t>
        </is>
      </c>
      <c r="G101" t="inlineStr">
        <is>
          <t>BORLÄNGE</t>
        </is>
      </c>
      <c r="H101" t="inlineStr">
        <is>
          <t>Bergvik skog väst AB</t>
        </is>
      </c>
      <c r="I101" t="n">
        <v>2.5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HYPERLINK("https://klasma.github.io/Logging_2081/artfynd/A 27121-2026 artfynd.xlsx", "A 27121-2026")</f>
        <v/>
      </c>
      <c r="X101">
        <f>HYPERLINK("https://klasma.github.io/Logging_2081/kartor/A 27121-2026 karta.png", "A 27121-2026")</f>
        <v/>
      </c>
      <c r="Y101">
        <f>HYPERLINK("https://klasma.github.io/Logging_2081/kartor_geotiff/A 27121-2026 georefererad karta.tif", "A 27121-2026")</f>
        <v/>
      </c>
      <c r="AA101">
        <f>HYPERLINK("https://klasma.github.io/Logging_2081/klagomål/A 27121-2026 FSC-klagomål.docx", "A 27121-2026")</f>
        <v/>
      </c>
      <c r="AB101">
        <f>HYPERLINK("https://klasma.github.io/Logging_2081/klagomålsmail/A 27121-2026 FSC-klagomål mail.docx", "A 27121-2026")</f>
        <v/>
      </c>
      <c r="AC101">
        <f>HYPERLINK("https://klasma.github.io/Logging_2081/tillsyn/A 27121-2026 tillsynsbegäran.docx", "A 27121-2026")</f>
        <v/>
      </c>
      <c r="AD101">
        <f>HYPERLINK("https://klasma.github.io/Logging_2081/tillsynsmail/A 27121-2026 tillsynsbegäran mail.docx", "A 27121-2026")</f>
        <v/>
      </c>
      <c r="AE101">
        <f>HYPERLINK("https://klasma.github.io/Logging_2081/fåglar/A 27121-2026 prioriterade fågelarter.docx", "A 27121-2026")</f>
        <v/>
      </c>
    </row>
    <row r="102" ht="15" customHeight="1">
      <c r="A102" t="inlineStr">
        <is>
          <t>A 63962-2025</t>
        </is>
      </c>
      <c r="B102" t="inlineStr">
        <is>
          <t>avverkningsanmälan</t>
        </is>
      </c>
      <c r="C102" t="inlineStr">
        <is>
          <t>Föryngringsavverkning</t>
        </is>
      </c>
      <c r="D102" s="1" t="n">
        <v>46020</v>
      </c>
      <c r="E102" s="1" t="n">
        <v>46274</v>
      </c>
      <c r="F102" t="inlineStr">
        <is>
          <t>DALARNAS LÄN</t>
        </is>
      </c>
      <c r="G102" t="inlineStr">
        <is>
          <t>BORLÄNGE</t>
        </is>
      </c>
      <c r="I102" t="n">
        <v>48.9</v>
      </c>
      <c r="J102" t="n">
        <v>0</v>
      </c>
      <c r="K102" t="n">
        <v>0</v>
      </c>
      <c r="L102" t="n">
        <v>1</v>
      </c>
      <c r="M102" t="n">
        <v>0</v>
      </c>
      <c r="N102" t="n">
        <v>0</v>
      </c>
      <c r="O102" t="n">
        <v>0</v>
      </c>
      <c r="P102" t="n">
        <v>0</v>
      </c>
      <c r="Q102" t="n">
        <v>1</v>
      </c>
      <c r="R102" t="n">
        <v>0</v>
      </c>
      <c r="S102" t="n">
        <v>1</v>
      </c>
      <c r="T102" t="n">
        <v>1</v>
      </c>
      <c r="U102" t="n">
        <v>0</v>
      </c>
      <c r="V102" s="2" t="inlineStr">
        <is>
          <t>Motaggsvamp</t>
        </is>
      </c>
      <c r="W102">
        <f>HYPERLINK("https://klasma.github.io/Logging_2081/artfynd/A 63962-2025 artfynd.xlsx", "A 63962-2025")</f>
        <v/>
      </c>
      <c r="X102">
        <f>HYPERLINK("https://klasma.github.io/Logging_2081/kartor/A 63962-2025 karta.png", "A 63962-2025")</f>
        <v/>
      </c>
      <c r="Y102">
        <f>HYPERLINK("https://klasma.github.io/Logging_2081/kartor_geotiff/A 63962-2025 georefererad karta.tif", "A 63962-2025")</f>
        <v/>
      </c>
      <c r="AA102">
        <f>HYPERLINK("https://klasma.github.io/Logging_2081/klagomål/A 63962-2025 FSC-klagomål.docx", "A 63962-2025")</f>
        <v/>
      </c>
      <c r="AB102">
        <f>HYPERLINK("https://klasma.github.io/Logging_2081/klagomålsmail/A 63962-2025 FSC-klagomål mail.docx", "A 63962-2025")</f>
        <v/>
      </c>
      <c r="AC102">
        <f>HYPERLINK("https://klasma.github.io/Logging_2081/tillsyn/A 63962-2025 tillsynsbegäran.docx", "A 63962-2025")</f>
        <v/>
      </c>
      <c r="AD102">
        <f>HYPERLINK("https://klasma.github.io/Logging_2081/tillsynsmail/A 63962-2025 tillsynsbegäran mail.docx", "A 63962-2025")</f>
        <v/>
      </c>
    </row>
    <row r="103" ht="15" customHeight="1">
      <c r="A103" t="inlineStr">
        <is>
          <t>A 4785-2025</t>
        </is>
      </c>
      <c r="B103" t="inlineStr">
        <is>
          <t>avverkningsanmälan</t>
        </is>
      </c>
      <c r="C103" t="inlineStr">
        <is>
          <t>Avverkning för annat ändamål</t>
        </is>
      </c>
      <c r="D103" s="1" t="n">
        <v>45688</v>
      </c>
      <c r="E103" s="1" t="n">
        <v>46274</v>
      </c>
      <c r="F103" t="inlineStr">
        <is>
          <t>DALARNAS LÄN</t>
        </is>
      </c>
      <c r="G103" t="inlineStr">
        <is>
          <t>BORLÄNGE</t>
        </is>
      </c>
      <c r="I103" t="n">
        <v>0.4</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HYPERLINK("https://klasma.github.io/Logging_2081/artfynd/A 4785-2025 artfynd.xlsx", "A 4785-2025")</f>
        <v/>
      </c>
      <c r="X103">
        <f>HYPERLINK("https://klasma.github.io/Logging_2081/kartor/A 4785-2025 karta.png", "A 4785-2025")</f>
        <v/>
      </c>
      <c r="Y103">
        <f>HYPERLINK("https://klasma.github.io/Logging_2081/kartor_geotiff/A 4785-2025 georefererad karta.tif", "A 4785-2025")</f>
        <v/>
      </c>
      <c r="AA103">
        <f>HYPERLINK("https://klasma.github.io/Logging_2081/klagomål/A 4785-2025 FSC-klagomål.docx", "A 4785-2025")</f>
        <v/>
      </c>
      <c r="AB103">
        <f>HYPERLINK("https://klasma.github.io/Logging_2081/klagomålsmail/A 4785-2025 FSC-klagomål mail.docx", "A 4785-2025")</f>
        <v/>
      </c>
      <c r="AC103">
        <f>HYPERLINK("https://klasma.github.io/Logging_2081/tillsyn/A 4785-2025 tillsynsbegäran.docx", "A 4785-2025")</f>
        <v/>
      </c>
      <c r="AD103">
        <f>HYPERLINK("https://klasma.github.io/Logging_2081/tillsynsmail/A 4785-2025 tillsynsbegäran mail.docx", "A 4785-2025")</f>
        <v/>
      </c>
    </row>
    <row r="104" ht="15" customHeight="1">
      <c r="A104" t="inlineStr">
        <is>
          <t>A 755-2026</t>
        </is>
      </c>
      <c r="B104" t="inlineStr">
        <is>
          <t>avverkningsanmälan</t>
        </is>
      </c>
      <c r="C104" t="inlineStr">
        <is>
          <t>Föryngringsavverkning</t>
        </is>
      </c>
      <c r="D104" s="1" t="n">
        <v>46029</v>
      </c>
      <c r="E104" s="1" t="n">
        <v>46274</v>
      </c>
      <c r="F104" t="inlineStr">
        <is>
          <t>DALARNAS LÄN</t>
        </is>
      </c>
      <c r="G104" t="inlineStr">
        <is>
          <t>BORLÄNGE</t>
        </is>
      </c>
      <c r="I104" t="n">
        <v>6.7</v>
      </c>
      <c r="J104" t="n">
        <v>1</v>
      </c>
      <c r="K104" t="n">
        <v>0</v>
      </c>
      <c r="L104" t="n">
        <v>0</v>
      </c>
      <c r="M104" t="n">
        <v>1</v>
      </c>
      <c r="N104" t="n">
        <v>0</v>
      </c>
      <c r="O104" t="n">
        <v>0</v>
      </c>
      <c r="P104" t="n">
        <v>0</v>
      </c>
      <c r="Q104" t="n">
        <v>1</v>
      </c>
      <c r="R104" t="n">
        <v>1</v>
      </c>
      <c r="S104" t="n">
        <v>1</v>
      </c>
      <c r="T104" t="n">
        <v>1</v>
      </c>
      <c r="U104" t="n">
        <v>0</v>
      </c>
      <c r="V104" s="2" t="inlineStr">
        <is>
          <t>Knärot</t>
        </is>
      </c>
      <c r="W104">
        <f>HYPERLINK("https://klasma.github.io/Logging_2081/artfynd/A 755-2026 artfynd.xlsx", "A 755-2026")</f>
        <v/>
      </c>
      <c r="X104">
        <f>HYPERLINK("https://klasma.github.io/Logging_2081/kartor/A 755-2026 karta.png", "A 755-2026")</f>
        <v/>
      </c>
      <c r="Y104">
        <f>HYPERLINK("https://klasma.github.io/Logging_2081/kartor_geotiff/A 755-2026 georefererad karta.tif", "A 755-2026")</f>
        <v/>
      </c>
      <c r="Z104">
        <f>HYPERLINK("https://klasma.github.io/Logging_2081/knärot/A 755-2026 karta knärot.png", "A 755-2026")</f>
        <v/>
      </c>
      <c r="AA104">
        <f>HYPERLINK("https://klasma.github.io/Logging_2081/klagomål/A 755-2026 FSC-klagomål.docx", "A 755-2026")</f>
        <v/>
      </c>
      <c r="AB104">
        <f>HYPERLINK("https://klasma.github.io/Logging_2081/klagomålsmail/A 755-2026 FSC-klagomål mail.docx", "A 755-2026")</f>
        <v/>
      </c>
      <c r="AC104">
        <f>HYPERLINK("https://klasma.github.io/Logging_2081/tillsyn/A 755-2026 tillsynsbegäran.docx", "A 755-2026")</f>
        <v/>
      </c>
      <c r="AD104">
        <f>HYPERLINK("https://klasma.github.io/Logging_2081/tillsynsmail/A 755-2026 tillsynsbegäran mail.docx", "A 755-2026")</f>
        <v/>
      </c>
    </row>
    <row r="105" ht="15" customHeight="1">
      <c r="A105" t="inlineStr">
        <is>
          <t>A 1843-2026</t>
        </is>
      </c>
      <c r="B105" t="inlineStr">
        <is>
          <t>avverkningsanmälan</t>
        </is>
      </c>
      <c r="C105" t="inlineStr">
        <is>
          <t>Föryngringsavverkning</t>
        </is>
      </c>
      <c r="D105" s="1" t="n">
        <v>46035</v>
      </c>
      <c r="E105" s="1" t="n">
        <v>46274</v>
      </c>
      <c r="F105" t="inlineStr">
        <is>
          <t>DALARNAS LÄN</t>
        </is>
      </c>
      <c r="G105" t="inlineStr">
        <is>
          <t>BORLÄNGE</t>
        </is>
      </c>
      <c r="H105" t="inlineStr">
        <is>
          <t>Kommuner</t>
        </is>
      </c>
      <c r="I105" t="n">
        <v>4</v>
      </c>
      <c r="J105" t="n">
        <v>0</v>
      </c>
      <c r="K105" t="n">
        <v>1</v>
      </c>
      <c r="L105" t="n">
        <v>0</v>
      </c>
      <c r="M105" t="n">
        <v>0</v>
      </c>
      <c r="N105" t="n">
        <v>0</v>
      </c>
      <c r="O105" t="n">
        <v>0</v>
      </c>
      <c r="P105" t="n">
        <v>0</v>
      </c>
      <c r="Q105" t="n">
        <v>0</v>
      </c>
      <c r="R105" t="n">
        <v>0</v>
      </c>
      <c r="S105" t="n">
        <v>1</v>
      </c>
      <c r="T105" t="n">
        <v>1</v>
      </c>
      <c r="U105" t="n">
        <v>0</v>
      </c>
      <c r="V105" s="2" t="inlineStr">
        <is>
          <t>Gullgröppa</t>
        </is>
      </c>
      <c r="W105">
        <f>HYPERLINK("https://klasma.github.io/Logging_2081/artfynd/A 1843-2026 artfynd.xlsx", "A 1843-2026")</f>
        <v/>
      </c>
      <c r="X105">
        <f>HYPERLINK("https://klasma.github.io/Logging_2081/kartor/A 1843-2026 karta.png", "A 1843-2026")</f>
        <v/>
      </c>
      <c r="Y105">
        <f>HYPERLINK("https://klasma.github.io/Logging_2081/kartor_geotiff/A 1843-2026 georefererad karta.tif", "A 1843-2026")</f>
        <v/>
      </c>
      <c r="AA105">
        <f>HYPERLINK("https://klasma.github.io/Logging_2081/klagomål/A 1843-2026 FSC-klagomål.docx", "A 1843-2026")</f>
        <v/>
      </c>
      <c r="AB105">
        <f>HYPERLINK("https://klasma.github.io/Logging_2081/klagomålsmail/A 1843-2026 FSC-klagomål mail.docx", "A 1843-2026")</f>
        <v/>
      </c>
      <c r="AC105">
        <f>HYPERLINK("https://klasma.github.io/Logging_2081/tillsyn/A 1843-2026 tillsynsbegäran.docx", "A 1843-2026")</f>
        <v/>
      </c>
      <c r="AD105">
        <f>HYPERLINK("https://klasma.github.io/Logging_2081/tillsynsmail/A 1843-2026 tillsynsbegäran mail.docx", "A 1843-2026")</f>
        <v/>
      </c>
    </row>
    <row r="106" ht="15" customHeight="1">
      <c r="A106" t="inlineStr">
        <is>
          <t>A 1591-2026</t>
        </is>
      </c>
      <c r="B106" t="inlineStr">
        <is>
          <t>avverkningsanmälan</t>
        </is>
      </c>
      <c r="C106" t="inlineStr">
        <is>
          <t>Föryngringsavverkning</t>
        </is>
      </c>
      <c r="D106" s="1" t="n">
        <v>46031</v>
      </c>
      <c r="E106" s="1" t="n">
        <v>46274</v>
      </c>
      <c r="F106" t="inlineStr">
        <is>
          <t>DALARNAS LÄN</t>
        </is>
      </c>
      <c r="G106" t="inlineStr">
        <is>
          <t>BORLÄNGE</t>
        </is>
      </c>
      <c r="I106" t="n">
        <v>15.6</v>
      </c>
      <c r="J106" t="n">
        <v>0</v>
      </c>
      <c r="K106" t="n">
        <v>0</v>
      </c>
      <c r="L106" t="n">
        <v>1</v>
      </c>
      <c r="M106" t="n">
        <v>0</v>
      </c>
      <c r="N106" t="n">
        <v>0</v>
      </c>
      <c r="O106" t="n">
        <v>0</v>
      </c>
      <c r="P106" t="n">
        <v>0</v>
      </c>
      <c r="Q106" t="n">
        <v>1</v>
      </c>
      <c r="R106" t="n">
        <v>0</v>
      </c>
      <c r="S106" t="n">
        <v>1</v>
      </c>
      <c r="T106" t="n">
        <v>1</v>
      </c>
      <c r="U106" t="n">
        <v>0</v>
      </c>
      <c r="V106" s="2" t="inlineStr">
        <is>
          <t>Rosenticka</t>
        </is>
      </c>
      <c r="W106">
        <f>HYPERLINK("https://klasma.github.io/Logging_2081/artfynd/A 1591-2026 artfynd.xlsx", "A 1591-2026")</f>
        <v/>
      </c>
      <c r="X106">
        <f>HYPERLINK("https://klasma.github.io/Logging_2081/kartor/A 1591-2026 karta.png", "A 1591-2026")</f>
        <v/>
      </c>
      <c r="Y106">
        <f>HYPERLINK("https://klasma.github.io/Logging_2081/kartor_geotiff/A 1591-2026 georefererad karta.tif", "A 1591-2026")</f>
        <v/>
      </c>
      <c r="AA106">
        <f>HYPERLINK("https://klasma.github.io/Logging_2081/klagomål/A 1591-2026 FSC-klagomål.docx", "A 1591-2026")</f>
        <v/>
      </c>
      <c r="AB106">
        <f>HYPERLINK("https://klasma.github.io/Logging_2081/klagomålsmail/A 1591-2026 FSC-klagomål mail.docx", "A 1591-2026")</f>
        <v/>
      </c>
      <c r="AC106">
        <f>HYPERLINK("https://klasma.github.io/Logging_2081/tillsyn/A 1591-2026 tillsynsbegäran.docx", "A 1591-2026")</f>
        <v/>
      </c>
      <c r="AD106">
        <f>HYPERLINK("https://klasma.github.io/Logging_2081/tillsynsmail/A 1591-2026 tillsynsbegäran mail.docx", "A 1591-2026")</f>
        <v/>
      </c>
    </row>
    <row r="107" ht="15" customHeight="1">
      <c r="A107" t="inlineStr">
        <is>
          <t>A 431-2026</t>
        </is>
      </c>
      <c r="B107" t="inlineStr">
        <is>
          <t>avverkningsanmälan</t>
        </is>
      </c>
      <c r="C107" t="inlineStr">
        <is>
          <t>Föryngringsavverkning</t>
        </is>
      </c>
      <c r="D107" s="1" t="n">
        <v>46029</v>
      </c>
      <c r="E107" s="1" t="n">
        <v>46274</v>
      </c>
      <c r="F107" t="inlineStr">
        <is>
          <t>DALARNAS LÄN</t>
        </is>
      </c>
      <c r="G107" t="inlineStr">
        <is>
          <t>BORLÄNGE</t>
        </is>
      </c>
      <c r="H107" t="inlineStr">
        <is>
          <t>Bergvik skog väst AB</t>
        </is>
      </c>
      <c r="I107" t="n">
        <v>2.8</v>
      </c>
      <c r="J107" t="n">
        <v>0</v>
      </c>
      <c r="K107" t="n">
        <v>1</v>
      </c>
      <c r="L107" t="n">
        <v>0</v>
      </c>
      <c r="M107" t="n">
        <v>0</v>
      </c>
      <c r="N107" t="n">
        <v>0</v>
      </c>
      <c r="O107" t="n">
        <v>0</v>
      </c>
      <c r="P107" t="n">
        <v>0</v>
      </c>
      <c r="Q107" t="n">
        <v>0</v>
      </c>
      <c r="R107" t="n">
        <v>0</v>
      </c>
      <c r="S107" t="n">
        <v>1</v>
      </c>
      <c r="T107" t="n">
        <v>1</v>
      </c>
      <c r="U107" t="n">
        <v>0</v>
      </c>
      <c r="V107" s="2" t="inlineStr">
        <is>
          <t>Mindre märgborre</t>
        </is>
      </c>
      <c r="W107">
        <f>HYPERLINK("https://klasma.github.io/Logging_2081/artfynd/A 431-2026 artfynd.xlsx", "A 431-2026")</f>
        <v/>
      </c>
      <c r="X107">
        <f>HYPERLINK("https://klasma.github.io/Logging_2081/kartor/A 431-2026 karta.png", "A 431-2026")</f>
        <v/>
      </c>
      <c r="Y107">
        <f>HYPERLINK("https://klasma.github.io/Logging_2081/kartor_geotiff/A 431-2026 georefererad karta.tif", "A 431-2026")</f>
        <v/>
      </c>
      <c r="AA107">
        <f>HYPERLINK("https://klasma.github.io/Logging_2081/klagomål/A 431-2026 FSC-klagomål.docx", "A 431-2026")</f>
        <v/>
      </c>
      <c r="AB107">
        <f>HYPERLINK("https://klasma.github.io/Logging_2081/klagomålsmail/A 431-2026 FSC-klagomål mail.docx", "A 431-2026")</f>
        <v/>
      </c>
      <c r="AC107">
        <f>HYPERLINK("https://klasma.github.io/Logging_2081/tillsyn/A 431-2026 tillsynsbegäran.docx", "A 431-2026")</f>
        <v/>
      </c>
      <c r="AD107">
        <f>HYPERLINK("https://klasma.github.io/Logging_2081/tillsynsmail/A 431-2026 tillsynsbegäran mail.docx", "A 431-2026")</f>
        <v/>
      </c>
    </row>
    <row r="108" ht="15" customHeight="1">
      <c r="A108" t="inlineStr">
        <is>
          <t>A 12923-2026</t>
        </is>
      </c>
      <c r="B108" t="inlineStr">
        <is>
          <t>avverkningsanmälan</t>
        </is>
      </c>
      <c r="C108" t="inlineStr">
        <is>
          <t>Föryngringsavverkning</t>
        </is>
      </c>
      <c r="D108" s="1" t="n">
        <v>46092</v>
      </c>
      <c r="E108" s="1" t="n">
        <v>46274</v>
      </c>
      <c r="F108" t="inlineStr">
        <is>
          <t>DALARNAS LÄN</t>
        </is>
      </c>
      <c r="G108" t="inlineStr">
        <is>
          <t>BORLÄNGE</t>
        </is>
      </c>
      <c r="I108" t="n">
        <v>3.5</v>
      </c>
      <c r="J108" t="n">
        <v>1</v>
      </c>
      <c r="K108" t="n">
        <v>0</v>
      </c>
      <c r="L108" t="n">
        <v>0</v>
      </c>
      <c r="M108" t="n">
        <v>0</v>
      </c>
      <c r="N108" t="n">
        <v>0</v>
      </c>
      <c r="O108" t="n">
        <v>0</v>
      </c>
      <c r="P108" t="n">
        <v>0</v>
      </c>
      <c r="Q108" t="n">
        <v>0</v>
      </c>
      <c r="R108" t="n">
        <v>0</v>
      </c>
      <c r="S108" t="n">
        <v>1</v>
      </c>
      <c r="T108" t="n">
        <v>2</v>
      </c>
      <c r="U108" t="n">
        <v>0</v>
      </c>
      <c r="V108" s="2" t="inlineStr">
        <is>
          <t>Vanlig groda</t>
        </is>
      </c>
      <c r="W108">
        <f>HYPERLINK("https://klasma.github.io/Logging_2081/artfynd/A 12923-2026 artfynd.xlsx", "A 12923-2026")</f>
        <v/>
      </c>
      <c r="X108">
        <f>HYPERLINK("https://klasma.github.io/Logging_2081/kartor/A 12923-2026 karta.png", "A 12923-2026")</f>
        <v/>
      </c>
      <c r="Y108">
        <f>HYPERLINK("https://klasma.github.io/Logging_2081/kartor_geotiff/A 12923-2026 georefererad karta.tif", "A 12923-2026")</f>
        <v/>
      </c>
      <c r="AA108">
        <f>HYPERLINK("https://klasma.github.io/Logging_2081/klagomål/A 12923-2026 FSC-klagomål.docx", "A 12923-2026")</f>
        <v/>
      </c>
      <c r="AB108">
        <f>HYPERLINK("https://klasma.github.io/Logging_2081/klagomålsmail/A 12923-2026 FSC-klagomål mail.docx", "A 12923-2026")</f>
        <v/>
      </c>
      <c r="AC108">
        <f>HYPERLINK("https://klasma.github.io/Logging_2081/tillsyn/A 12923-2026 tillsynsbegäran.docx", "A 12923-2026")</f>
        <v/>
      </c>
      <c r="AD108">
        <f>HYPERLINK("https://klasma.github.io/Logging_2081/tillsynsmail/A 12923-2026 tillsynsbegäran mail.docx", "A 12923-2026")</f>
        <v/>
      </c>
    </row>
    <row r="109" ht="15" customHeight="1">
      <c r="A109" t="inlineStr">
        <is>
          <t>A 64121-2025</t>
        </is>
      </c>
      <c r="B109" t="inlineStr">
        <is>
          <t>avverkningsanmälan</t>
        </is>
      </c>
      <c r="C109" t="inlineStr">
        <is>
          <t>Föryngringsavverkning</t>
        </is>
      </c>
      <c r="D109" s="1" t="n">
        <v>46021</v>
      </c>
      <c r="E109" s="1" t="n">
        <v>46274</v>
      </c>
      <c r="F109" t="inlineStr">
        <is>
          <t>DALARNAS LÄN</t>
        </is>
      </c>
      <c r="G109" t="inlineStr">
        <is>
          <t>BORLÄNGE</t>
        </is>
      </c>
      <c r="I109" t="n">
        <v>4.1</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HYPERLINK("https://klasma.github.io/Logging_2081/artfynd/A 64121-2025 artfynd.xlsx", "A 64121-2025")</f>
        <v/>
      </c>
      <c r="X109">
        <f>HYPERLINK("https://klasma.github.io/Logging_2081/kartor/A 64121-2025 karta.png", "A 64121-2025")</f>
        <v/>
      </c>
      <c r="Y109">
        <f>HYPERLINK("https://klasma.github.io/Logging_2081/kartor_geotiff/A 64121-2025 georefererad karta.tif", "A 64121-2025")</f>
        <v/>
      </c>
      <c r="AA109">
        <f>HYPERLINK("https://klasma.github.io/Logging_2081/klagomål/A 64121-2025 FSC-klagomål.docx", "A 64121-2025")</f>
        <v/>
      </c>
      <c r="AB109">
        <f>HYPERLINK("https://klasma.github.io/Logging_2081/klagomålsmail/A 64121-2025 FSC-klagomål mail.docx", "A 64121-2025")</f>
        <v/>
      </c>
      <c r="AC109">
        <f>HYPERLINK("https://klasma.github.io/Logging_2081/tillsyn/A 64121-2025 tillsynsbegäran.docx", "A 64121-2025")</f>
        <v/>
      </c>
      <c r="AD109">
        <f>HYPERLINK("https://klasma.github.io/Logging_2081/tillsynsmail/A 64121-2025 tillsynsbegäran mail.docx", "A 64121-2025")</f>
        <v/>
      </c>
    </row>
    <row r="110" ht="15" customHeight="1">
      <c r="A110" t="inlineStr">
        <is>
          <t>A 3006-2025</t>
        </is>
      </c>
      <c r="B110" t="inlineStr">
        <is>
          <t>avverkningsanmälan</t>
        </is>
      </c>
      <c r="C110" t="inlineStr">
        <is>
          <t>Avverkning för att bevara och utveckla /försöksver</t>
        </is>
      </c>
      <c r="D110" s="1" t="n">
        <v>45678</v>
      </c>
      <c r="E110" s="1" t="n">
        <v>46274</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18800-2026</t>
        </is>
      </c>
      <c r="B111" t="inlineStr">
        <is>
          <t>avverkningsanmälan</t>
        </is>
      </c>
      <c r="C111" t="inlineStr">
        <is>
          <t>Föryngringsavverkning</t>
        </is>
      </c>
      <c r="D111" s="1" t="n">
        <v>46128</v>
      </c>
      <c r="E111" s="1" t="n">
        <v>46274</v>
      </c>
      <c r="F111" t="inlineStr">
        <is>
          <t>DALARNAS LÄN</t>
        </is>
      </c>
      <c r="G111" t="inlineStr">
        <is>
          <t>BORLÄNGE</t>
        </is>
      </c>
      <c r="I111" t="n">
        <v>2.7</v>
      </c>
      <c r="J111" t="n">
        <v>1</v>
      </c>
      <c r="K111" t="n">
        <v>0</v>
      </c>
      <c r="L111" t="n">
        <v>0</v>
      </c>
      <c r="M111" t="n">
        <v>0</v>
      </c>
      <c r="N111" t="n">
        <v>0</v>
      </c>
      <c r="O111" t="n">
        <v>0</v>
      </c>
      <c r="P111" t="n">
        <v>0</v>
      </c>
      <c r="Q111" t="n">
        <v>0</v>
      </c>
      <c r="R111" t="n">
        <v>0</v>
      </c>
      <c r="S111" t="n">
        <v>1</v>
      </c>
      <c r="T111" t="n">
        <v>1</v>
      </c>
      <c r="U111" t="n">
        <v>0</v>
      </c>
      <c r="V111" s="2" t="inlineStr">
        <is>
          <t>Ärtsångare</t>
        </is>
      </c>
      <c r="W111">
        <f>HYPERLINK("https://klasma.github.io/Logging_2081/artfynd/A 18800-2026 artfynd.xlsx", "A 18800-2026")</f>
        <v/>
      </c>
      <c r="X111">
        <f>HYPERLINK("https://klasma.github.io/Logging_2081/kartor/A 18800-2026 karta.png", "A 18800-2026")</f>
        <v/>
      </c>
      <c r="Y111">
        <f>HYPERLINK("https://klasma.github.io/Logging_2081/kartor_geotiff/A 18800-2026 georefererad karta.tif", "A 18800-2026")</f>
        <v/>
      </c>
      <c r="AA111">
        <f>HYPERLINK("https://klasma.github.io/Logging_2081/klagomål/A 18800-2026 FSC-klagomål.docx", "A 18800-2026")</f>
        <v/>
      </c>
      <c r="AB111">
        <f>HYPERLINK("https://klasma.github.io/Logging_2081/klagomålsmail/A 18800-2026 FSC-klagomål mail.docx", "A 18800-2026")</f>
        <v/>
      </c>
      <c r="AC111">
        <f>HYPERLINK("https://klasma.github.io/Logging_2081/tillsyn/A 18800-2026 tillsynsbegäran.docx", "A 18800-2026")</f>
        <v/>
      </c>
      <c r="AD111">
        <f>HYPERLINK("https://klasma.github.io/Logging_2081/tillsynsmail/A 18800-2026 tillsynsbegäran mail.docx", "A 18800-2026")</f>
        <v/>
      </c>
    </row>
    <row r="112" ht="15" customHeight="1">
      <c r="A112" t="inlineStr">
        <is>
          <t>A 37722-2024</t>
        </is>
      </c>
      <c r="B112" t="inlineStr">
        <is>
          <t>avverkningsanmälan</t>
        </is>
      </c>
      <c r="C112" t="inlineStr">
        <is>
          <t>Föryngringsavverkning</t>
        </is>
      </c>
      <c r="D112" s="1" t="n">
        <v>45541</v>
      </c>
      <c r="E112" s="1" t="n">
        <v>46274</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46274</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46274</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46274</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46274</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A 24761-2025</t>
        </is>
      </c>
      <c r="B117" t="inlineStr">
        <is>
          <t>avverkningsanmälan</t>
        </is>
      </c>
      <c r="C117" t="inlineStr">
        <is>
          <t>Föryngringsavverkning</t>
        </is>
      </c>
      <c r="D117" s="1" t="n">
        <v>45799</v>
      </c>
      <c r="E117" s="1" t="n">
        <v>46274</v>
      </c>
      <c r="F117" t="inlineStr">
        <is>
          <t>DALARNAS LÄN</t>
        </is>
      </c>
      <c r="G117" t="inlineStr">
        <is>
          <t>BORLÄNGE</t>
        </is>
      </c>
      <c r="I117" t="n">
        <v>3</v>
      </c>
      <c r="J117" t="n">
        <v>0</v>
      </c>
      <c r="K117" t="n">
        <v>1</v>
      </c>
      <c r="L117" t="n">
        <v>0</v>
      </c>
      <c r="M117" t="n">
        <v>0</v>
      </c>
      <c r="N117" t="n">
        <v>0</v>
      </c>
      <c r="O117" t="n">
        <v>0</v>
      </c>
      <c r="P117" t="n">
        <v>0</v>
      </c>
      <c r="Q117" t="n">
        <v>0</v>
      </c>
      <c r="R117" t="n">
        <v>0</v>
      </c>
      <c r="S117" t="n">
        <v>1</v>
      </c>
      <c r="T117" t="n">
        <v>1</v>
      </c>
      <c r="U117" t="n">
        <v>0</v>
      </c>
      <c r="V117" s="2" t="inlineStr">
        <is>
          <t>Bronshjon</t>
        </is>
      </c>
      <c r="W117">
        <f>HYPERLINK("https://klasma.github.io/Logging_2081/artfynd/A 24761-2025 artfynd.xlsx", "A 24761-2025")</f>
        <v/>
      </c>
      <c r="X117">
        <f>HYPERLINK("https://klasma.github.io/Logging_2081/kartor/A 24761-2025 karta.png", "A 24761-2025")</f>
        <v/>
      </c>
      <c r="Y117">
        <f>HYPERLINK("https://klasma.github.io/Logging_2081/kartor_geotiff/A 24761-2025 georefererad karta.tif", "A 24761-2025")</f>
        <v/>
      </c>
      <c r="AA117">
        <f>HYPERLINK("https://klasma.github.io/Logging_2081/klagomål/A 24761-2025 FSC-klagomål.docx", "A 24761-2025")</f>
        <v/>
      </c>
      <c r="AB117">
        <f>HYPERLINK("https://klasma.github.io/Logging_2081/klagomålsmail/A 24761-2025 FSC-klagomål mail.docx", "A 24761-2025")</f>
        <v/>
      </c>
      <c r="AC117">
        <f>HYPERLINK("https://klasma.github.io/Logging_2081/tillsyn/A 24761-2025 tillsynsbegäran.docx", "A 24761-2025")</f>
        <v/>
      </c>
      <c r="AD117">
        <f>HYPERLINK("https://klasma.github.io/Logging_2081/tillsynsmail/A 24761-2025 tillsynsbegäran mail.docx", "A 24761-2025")</f>
        <v/>
      </c>
    </row>
    <row r="118" ht="15" customHeight="1">
      <c r="A118" t="inlineStr">
        <is>
          <t>S 2959-2023</t>
        </is>
      </c>
      <c r="B118" t="inlineStr">
        <is>
          <t>samrådsanmälan</t>
        </is>
      </c>
      <c r="C118" t="inlineStr">
        <is>
          <t>Askåterföring</t>
        </is>
      </c>
      <c r="D118" s="1" t="n">
        <v>45173</v>
      </c>
      <c r="E118" s="1" t="n">
        <v>46274</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705-2022</t>
        </is>
      </c>
      <c r="B119" t="inlineStr">
        <is>
          <t>samrådsanmälan</t>
        </is>
      </c>
      <c r="C119" t="inlineStr">
        <is>
          <t>Annan skogsbruksåtgärd</t>
        </is>
      </c>
      <c r="D119" s="1" t="n">
        <v>44599</v>
      </c>
      <c r="E119" s="1" t="n">
        <v>46274</v>
      </c>
      <c r="F119" t="inlineStr">
        <is>
          <t>DALARNAS LÄN</t>
        </is>
      </c>
      <c r="G119" t="inlineStr">
        <is>
          <t>BORLÄNGE</t>
        </is>
      </c>
      <c r="I119" t="n">
        <v>3.1</v>
      </c>
      <c r="J119" t="n">
        <v>1</v>
      </c>
      <c r="K119" t="n">
        <v>0</v>
      </c>
      <c r="L119" t="n">
        <v>0</v>
      </c>
      <c r="M119" t="n">
        <v>0</v>
      </c>
      <c r="N119" t="n">
        <v>0</v>
      </c>
      <c r="O119" t="n">
        <v>0</v>
      </c>
      <c r="P119" t="n">
        <v>0</v>
      </c>
      <c r="Q119" t="n">
        <v>0</v>
      </c>
      <c r="R119" t="n">
        <v>0</v>
      </c>
      <c r="S119" t="n">
        <v>1</v>
      </c>
      <c r="T119" t="n">
        <v>1</v>
      </c>
      <c r="U119" t="n">
        <v>1</v>
      </c>
      <c r="V119" s="2" t="inlineStr">
        <is>
          <t>Fläcknycklar</t>
        </is>
      </c>
      <c r="W119">
        <f>HYPERLINK("https://klasma.github.io/Logging_2081/artfynd/S 705-2022 artfynd.xlsx", "S 705-2022")</f>
        <v/>
      </c>
      <c r="X119">
        <f>HYPERLINK("https://klasma.github.io/Logging_2081/kartor/S 705-2022 karta.png", "S 705-2022")</f>
        <v/>
      </c>
      <c r="Y119">
        <f>HYPERLINK("https://klasma.github.io/Logging_2081/kartor_geotiff/S 705-2022 georefererad karta.tif", "S 705-2022")</f>
        <v/>
      </c>
      <c r="AA119">
        <f>HYPERLINK("https://klasma.github.io/Logging_2081/klagomål/S 705-2022 FSC-klagomål.docx", "S 705-2022")</f>
        <v/>
      </c>
      <c r="AB119">
        <f>HYPERLINK("https://klasma.github.io/Logging_2081/klagomålsmail/S 705-2022 FSC-klagomål mail.docx", "S 705-2022")</f>
        <v/>
      </c>
      <c r="AC119">
        <f>HYPERLINK("https://klasma.github.io/Logging_2081/tillsyn/S 705-2022 tillsynsbegäran.docx", "S 705-2022")</f>
        <v/>
      </c>
      <c r="AD119">
        <f>HYPERLINK("https://klasma.github.io/Logging_2081/tillsynsmail/S 705-2022 tillsynsbegäran mail.docx", "S 705-2022")</f>
        <v/>
      </c>
    </row>
    <row r="120" ht="15" customHeight="1">
      <c r="A120" t="inlineStr">
        <is>
          <t>S 2958-2023</t>
        </is>
      </c>
      <c r="B120" t="inlineStr">
        <is>
          <t>samrådsanmälan</t>
        </is>
      </c>
      <c r="C120" t="inlineStr">
        <is>
          <t>Askåterföring</t>
        </is>
      </c>
      <c r="D120" s="1" t="n">
        <v>45173</v>
      </c>
      <c r="E120" s="1" t="n">
        <v>46274</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46274</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46274</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46274</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46274</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46274</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46274</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46274</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46274</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50259-2021</t>
        </is>
      </c>
      <c r="B129" t="inlineStr">
        <is>
          <t>avverkningsanmälan</t>
        </is>
      </c>
      <c r="C129" t="inlineStr">
        <is>
          <t>Föryngringsavverkning</t>
        </is>
      </c>
      <c r="D129" s="1" t="n">
        <v>44458</v>
      </c>
      <c r="E129" s="1" t="n">
        <v>46274</v>
      </c>
      <c r="F129" t="inlineStr">
        <is>
          <t>DALARNAS LÄN</t>
        </is>
      </c>
      <c r="G129" t="inlineStr">
        <is>
          <t>BORLÄNGE</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46274</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46274</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18600-2022</t>
        </is>
      </c>
      <c r="B132" t="inlineStr">
        <is>
          <t>avverkningsanmälan</t>
        </is>
      </c>
      <c r="C132" t="inlineStr">
        <is>
          <t>Föryngringsavverkning</t>
        </is>
      </c>
      <c r="D132" s="1" t="n">
        <v>44687</v>
      </c>
      <c r="E132" s="1" t="n">
        <v>46274</v>
      </c>
      <c r="F132" t="inlineStr">
        <is>
          <t>DALARNAS LÄN</t>
        </is>
      </c>
      <c r="G132" t="inlineStr">
        <is>
          <t>BORLÄNGE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46274</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46274</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46274</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52681-2021</t>
        </is>
      </c>
      <c r="B136" t="inlineStr">
        <is>
          <t>avverkningsanmälan</t>
        </is>
      </c>
      <c r="C136" t="inlineStr">
        <is>
          <t>Föryngringsavverkning</t>
        </is>
      </c>
      <c r="D136" s="1" t="n">
        <v>44466</v>
      </c>
      <c r="E136" s="1" t="n">
        <v>46274</v>
      </c>
      <c r="F136" t="inlineStr">
        <is>
          <t>DALARNAS LÄN</t>
        </is>
      </c>
      <c r="G136" t="inlineStr">
        <is>
          <t>BORLÄNGE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42732-2022</t>
        </is>
      </c>
      <c r="B137" t="inlineStr">
        <is>
          <t>avverkningsanmälan</t>
        </is>
      </c>
      <c r="C137" t="inlineStr">
        <is>
          <t>Föryngringsavverkning</t>
        </is>
      </c>
      <c r="D137" s="1" t="n">
        <v>44832</v>
      </c>
      <c r="E137" s="1" t="n">
        <v>46274</v>
      </c>
      <c r="F137" t="inlineStr">
        <is>
          <t>DALARNAS LÄN</t>
        </is>
      </c>
      <c r="G137" t="inlineStr">
        <is>
          <t>BORLÄNGE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46274</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46274</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16320-2022</t>
        </is>
      </c>
      <c r="B140" t="inlineStr">
        <is>
          <t>avverkningsanmälan</t>
        </is>
      </c>
      <c r="C140" t="inlineStr">
        <is>
          <t>Föryngringsavverkning</t>
        </is>
      </c>
      <c r="D140" s="1" t="n">
        <v>44670</v>
      </c>
      <c r="E140" s="1" t="n">
        <v>46274</v>
      </c>
      <c r="F140" t="inlineStr">
        <is>
          <t>DALARNAS LÄN</t>
        </is>
      </c>
      <c r="G140" t="inlineStr">
        <is>
          <t>BORLÄNGE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46274</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15818-2022</t>
        </is>
      </c>
      <c r="B142" t="inlineStr">
        <is>
          <t>avverkningsanmälan</t>
        </is>
      </c>
      <c r="C142" t="inlineStr">
        <is>
          <t>Föryngringsavverkning</t>
        </is>
      </c>
      <c r="D142" s="1" t="n">
        <v>44664</v>
      </c>
      <c r="E142" s="1" t="n">
        <v>46274</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59759-2021</t>
        </is>
      </c>
      <c r="B143" t="inlineStr">
        <is>
          <t>avverkningsanmälan</t>
        </is>
      </c>
      <c r="C143" t="inlineStr">
        <is>
          <t>Föryngringsavverkning</t>
        </is>
      </c>
      <c r="D143" s="1" t="n">
        <v>44494</v>
      </c>
      <c r="E143" s="1" t="n">
        <v>46274</v>
      </c>
      <c r="F143" t="inlineStr">
        <is>
          <t>DALARNAS LÄN</t>
        </is>
      </c>
      <c r="G143" t="inlineStr">
        <is>
          <t>BORLÄNGE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64262-2021</t>
        </is>
      </c>
      <c r="B144" t="inlineStr">
        <is>
          <t>avverkningsanmälan</t>
        </is>
      </c>
      <c r="C144" t="inlineStr">
        <is>
          <t>Avverkning för annat ändamål</t>
        </is>
      </c>
      <c r="D144" s="1" t="n">
        <v>44510</v>
      </c>
      <c r="E144" s="1" t="n">
        <v>46274</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46274</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46274</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36544-2022</t>
        </is>
      </c>
      <c r="B147" t="inlineStr">
        <is>
          <t>avverkningsanmälan</t>
        </is>
      </c>
      <c r="C147" t="inlineStr">
        <is>
          <t>Föryngringsavverkning</t>
        </is>
      </c>
      <c r="D147" s="1" t="n">
        <v>44804</v>
      </c>
      <c r="E147" s="1" t="n">
        <v>46274</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42861-2022</t>
        </is>
      </c>
      <c r="B148" t="inlineStr">
        <is>
          <t>avverkningsanmälan</t>
        </is>
      </c>
      <c r="C148" t="inlineStr">
        <is>
          <t>Föryngringsavverkning</t>
        </is>
      </c>
      <c r="D148" s="1" t="n">
        <v>44832</v>
      </c>
      <c r="E148" s="1" t="n">
        <v>46274</v>
      </c>
      <c r="F148" t="inlineStr">
        <is>
          <t>DALARNAS LÄN</t>
        </is>
      </c>
      <c r="G148" t="inlineStr">
        <is>
          <t>BORLÄNGE</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69798-2021</t>
        </is>
      </c>
      <c r="B149" t="inlineStr">
        <is>
          <t>avverkningsanmälan</t>
        </is>
      </c>
      <c r="C149" t="inlineStr">
        <is>
          <t>Föryngringsavverkning</t>
        </is>
      </c>
      <c r="D149" s="1" t="n">
        <v>44532</v>
      </c>
      <c r="E149" s="1" t="n">
        <v>46274</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32243-2022</t>
        </is>
      </c>
      <c r="B150" t="inlineStr">
        <is>
          <t>avverkningsanmälan</t>
        </is>
      </c>
      <c r="C150" t="inlineStr">
        <is>
          <t>Föryngringsavverkning</t>
        </is>
      </c>
      <c r="D150" s="1" t="n">
        <v>44781</v>
      </c>
      <c r="E150" s="1" t="n">
        <v>46274</v>
      </c>
      <c r="F150" t="inlineStr">
        <is>
          <t>DALARNAS LÄN</t>
        </is>
      </c>
      <c r="G150" t="inlineStr">
        <is>
          <t>BORLÄNGE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34323-2022</t>
        </is>
      </c>
      <c r="B151" t="inlineStr">
        <is>
          <t>avverkningsanmälan</t>
        </is>
      </c>
      <c r="C151" t="inlineStr">
        <is>
          <t>Föryngringsavverkning</t>
        </is>
      </c>
      <c r="D151" s="1" t="n">
        <v>44792</v>
      </c>
      <c r="E151" s="1" t="n">
        <v>46274</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36759-2022</t>
        </is>
      </c>
      <c r="B152" t="inlineStr">
        <is>
          <t>avverkningsanmälan</t>
        </is>
      </c>
      <c r="C152" t="inlineStr">
        <is>
          <t>Föryngringsavverkning</t>
        </is>
      </c>
      <c r="D152" s="1" t="n">
        <v>44805</v>
      </c>
      <c r="E152" s="1" t="n">
        <v>46274</v>
      </c>
      <c r="F152" t="inlineStr">
        <is>
          <t>DALARNAS LÄN</t>
        </is>
      </c>
      <c r="G152" t="inlineStr">
        <is>
          <t>BORLÄNGE</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34320-2022</t>
        </is>
      </c>
      <c r="B153" t="inlineStr">
        <is>
          <t>avverkningsanmälan</t>
        </is>
      </c>
      <c r="C153" t="inlineStr">
        <is>
          <t>Föryngringsavverkning</t>
        </is>
      </c>
      <c r="D153" s="1" t="n">
        <v>44792</v>
      </c>
      <c r="E153" s="1" t="n">
        <v>46274</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48511-2021</t>
        </is>
      </c>
      <c r="B154" t="inlineStr">
        <is>
          <t>avverkningsanmälan</t>
        </is>
      </c>
      <c r="C154" t="inlineStr">
        <is>
          <t>Avverkning för annat ändamål</t>
        </is>
      </c>
      <c r="D154" s="1" t="n">
        <v>44452</v>
      </c>
      <c r="E154" s="1" t="n">
        <v>46274</v>
      </c>
      <c r="F154" t="inlineStr">
        <is>
          <t>DALARNAS LÄN</t>
        </is>
      </c>
      <c r="G154" t="inlineStr">
        <is>
          <t>BORLÄNGE</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49737-2021</t>
        </is>
      </c>
      <c r="B155" t="inlineStr">
        <is>
          <t>avverkningsanmälan</t>
        </is>
      </c>
      <c r="C155" t="inlineStr">
        <is>
          <t>Föryngringsavverkning</t>
        </is>
      </c>
      <c r="D155" s="1" t="n">
        <v>44454</v>
      </c>
      <c r="E155" s="1" t="n">
        <v>46274</v>
      </c>
      <c r="F155" t="inlineStr">
        <is>
          <t>DALARNAS LÄN</t>
        </is>
      </c>
      <c r="G155" t="inlineStr">
        <is>
          <t>BORLÄNGE</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27423-2022</t>
        </is>
      </c>
      <c r="B156" t="inlineStr">
        <is>
          <t>avverkningsanmälan</t>
        </is>
      </c>
      <c r="C156" t="inlineStr">
        <is>
          <t>Föryngringsavverkning</t>
        </is>
      </c>
      <c r="D156" s="1" t="n">
        <v>44742</v>
      </c>
      <c r="E156" s="1" t="n">
        <v>46274</v>
      </c>
      <c r="F156" t="inlineStr">
        <is>
          <t>DALARNAS LÄN</t>
        </is>
      </c>
      <c r="G156" t="inlineStr">
        <is>
          <t>BORLÄNGE</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48493-2021</t>
        </is>
      </c>
      <c r="B157" t="inlineStr">
        <is>
          <t>avverkningsanmälan</t>
        </is>
      </c>
      <c r="C157" t="inlineStr">
        <is>
          <t>Föryngringsavverkning</t>
        </is>
      </c>
      <c r="D157" s="1" t="n">
        <v>44452</v>
      </c>
      <c r="E157" s="1" t="n">
        <v>46274</v>
      </c>
      <c r="F157" t="inlineStr">
        <is>
          <t>DALARNAS LÄN</t>
        </is>
      </c>
      <c r="G157" t="inlineStr">
        <is>
          <t>BORLÄNGE</t>
        </is>
      </c>
      <c r="I157" t="n">
        <v>10.3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2454-2022</t>
        </is>
      </c>
      <c r="B158" t="inlineStr">
        <is>
          <t>avverkningsanmälan</t>
        </is>
      </c>
      <c r="C158" t="inlineStr">
        <is>
          <t>Föryngringsavverkning</t>
        </is>
      </c>
      <c r="D158" s="1" t="n">
        <v>44579</v>
      </c>
      <c r="E158" s="1" t="n">
        <v>46274</v>
      </c>
      <c r="F158" t="inlineStr">
        <is>
          <t>DALARNAS LÄN</t>
        </is>
      </c>
      <c r="G158" t="inlineStr">
        <is>
          <t>BORLÄNGE</t>
        </is>
      </c>
      <c r="I158" t="n">
        <v>4.1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60342-2021</t>
        </is>
      </c>
      <c r="B159" t="inlineStr">
        <is>
          <t>avverkningsanmälan</t>
        </is>
      </c>
      <c r="C159" t="inlineStr">
        <is>
          <t>Avverkning för att bevara och utveckla /försöksver</t>
        </is>
      </c>
      <c r="D159" s="1" t="n">
        <v>44495</v>
      </c>
      <c r="E159" s="1" t="n">
        <v>46274</v>
      </c>
      <c r="F159" t="inlineStr">
        <is>
          <t>DALARNAS LÄN</t>
        </is>
      </c>
      <c r="G159" t="inlineStr">
        <is>
          <t>BORLÄNGE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21322-2022</t>
        </is>
      </c>
      <c r="B160" t="inlineStr">
        <is>
          <t>avverkningsanmälan</t>
        </is>
      </c>
      <c r="C160" t="inlineStr">
        <is>
          <t>Föryngringsavverkning</t>
        </is>
      </c>
      <c r="D160" s="1" t="n">
        <v>44705</v>
      </c>
      <c r="E160" s="1" t="n">
        <v>46274</v>
      </c>
      <c r="F160" t="inlineStr">
        <is>
          <t>DALARNAS LÄN</t>
        </is>
      </c>
      <c r="G160" t="inlineStr">
        <is>
          <t>BORLÄNGE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10774-2024</t>
        </is>
      </c>
      <c r="B161" t="inlineStr">
        <is>
          <t>avverkningsanmälan</t>
        </is>
      </c>
      <c r="C161" t="inlineStr">
        <is>
          <t>Föryngringsavverkning</t>
        </is>
      </c>
      <c r="D161" s="1" t="n">
        <v>45369</v>
      </c>
      <c r="E161" s="1" t="n">
        <v>46274</v>
      </c>
      <c r="F161" t="inlineStr">
        <is>
          <t>DALARNAS LÄN</t>
        </is>
      </c>
      <c r="G161" t="inlineStr">
        <is>
          <t>BORLÄNGE</t>
        </is>
      </c>
      <c r="H161" t="inlineStr">
        <is>
          <t>Bergvik skog väst AB</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58903-2023</t>
        </is>
      </c>
      <c r="B162" t="inlineStr">
        <is>
          <t>avverkningsanmälan</t>
        </is>
      </c>
      <c r="C162" t="inlineStr">
        <is>
          <t>Föryngringsavverkning</t>
        </is>
      </c>
      <c r="D162" s="1" t="n">
        <v>45252</v>
      </c>
      <c r="E162" s="1" t="n">
        <v>46274</v>
      </c>
      <c r="F162" t="inlineStr">
        <is>
          <t>DALARNAS LÄN</t>
        </is>
      </c>
      <c r="G162" t="inlineStr">
        <is>
          <t>BORLÄNGE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33163-2022</t>
        </is>
      </c>
      <c r="B163" t="inlineStr">
        <is>
          <t>avverkningsanmälan</t>
        </is>
      </c>
      <c r="C163" t="inlineStr">
        <is>
          <t>Föryngringsavverkning</t>
        </is>
      </c>
      <c r="D163" s="1" t="n">
        <v>44785</v>
      </c>
      <c r="E163" s="1" t="n">
        <v>46274</v>
      </c>
      <c r="F163" t="inlineStr">
        <is>
          <t>DALARNAS LÄN</t>
        </is>
      </c>
      <c r="G163" t="inlineStr">
        <is>
          <t>BORLÄNGE</t>
        </is>
      </c>
      <c r="I163" t="n">
        <v>10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36214-2024</t>
        </is>
      </c>
      <c r="B164" t="inlineStr">
        <is>
          <t>avverkningsanmälan</t>
        </is>
      </c>
      <c r="C164" t="inlineStr">
        <is>
          <t>Föryngringsavverkning</t>
        </is>
      </c>
      <c r="D164" s="1" t="n">
        <v>45534</v>
      </c>
      <c r="E164" s="1" t="n">
        <v>46274</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36217-2024</t>
        </is>
      </c>
      <c r="B165" t="inlineStr">
        <is>
          <t>avverkningsanmälan</t>
        </is>
      </c>
      <c r="C165" t="inlineStr">
        <is>
          <t>Föryngringsavverkning</t>
        </is>
      </c>
      <c r="D165" s="1" t="n">
        <v>45534</v>
      </c>
      <c r="E165" s="1" t="n">
        <v>46274</v>
      </c>
      <c r="F165" t="inlineStr">
        <is>
          <t>DALARNAS LÄN</t>
        </is>
      </c>
      <c r="G165" t="inlineStr">
        <is>
          <t>BORLÄNGE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422-2023</t>
        </is>
      </c>
      <c r="B166" t="inlineStr">
        <is>
          <t>avverkningsanmälan</t>
        </is>
      </c>
      <c r="C166" t="inlineStr">
        <is>
          <t>Föryngringsavverkning</t>
        </is>
      </c>
      <c r="D166" s="1" t="n">
        <v>44929</v>
      </c>
      <c r="E166" s="1" t="n">
        <v>46274</v>
      </c>
      <c r="F166" t="inlineStr">
        <is>
          <t>DALARNAS LÄN</t>
        </is>
      </c>
      <c r="G166" t="inlineStr">
        <is>
          <t>BORLÄNGE</t>
        </is>
      </c>
      <c r="H166" t="inlineStr">
        <is>
          <t>Bergvik skog väst AB</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30162-2024</t>
        </is>
      </c>
      <c r="B167" t="inlineStr">
        <is>
          <t>avverkningsanmälan</t>
        </is>
      </c>
      <c r="C167" t="inlineStr">
        <is>
          <t>Föryngringsavverkning</t>
        </is>
      </c>
      <c r="D167" s="1" t="n">
        <v>45489</v>
      </c>
      <c r="E167" s="1" t="n">
        <v>46274</v>
      </c>
      <c r="F167" t="inlineStr">
        <is>
          <t>DALARNAS LÄN</t>
        </is>
      </c>
      <c r="G167" t="inlineStr">
        <is>
          <t>BORLÄNGE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49938-2023</t>
        </is>
      </c>
      <c r="B168" t="inlineStr">
        <is>
          <t>avverkningsanmälan</t>
        </is>
      </c>
      <c r="C168" t="inlineStr">
        <is>
          <t>Föryngringsavverkning</t>
        </is>
      </c>
      <c r="D168" s="1" t="n">
        <v>45215</v>
      </c>
      <c r="E168" s="1" t="n">
        <v>46274</v>
      </c>
      <c r="F168" t="inlineStr">
        <is>
          <t>DALARNAS LÄN</t>
        </is>
      </c>
      <c r="G168" t="inlineStr">
        <is>
          <t>BORLÄNGE</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15393-2023</t>
        </is>
      </c>
      <c r="B169" t="inlineStr">
        <is>
          <t>avverkningsanmälan</t>
        </is>
      </c>
      <c r="C169" t="inlineStr">
        <is>
          <t>Avverkning för annat ändamål</t>
        </is>
      </c>
      <c r="D169" s="1" t="n">
        <v>45016</v>
      </c>
      <c r="E169" s="1" t="n">
        <v>46274</v>
      </c>
      <c r="F169" t="inlineStr">
        <is>
          <t>DALARNAS LÄN</t>
        </is>
      </c>
      <c r="G169" t="inlineStr">
        <is>
          <t>BORLÄNGE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17510-2022</t>
        </is>
      </c>
      <c r="B170" t="inlineStr">
        <is>
          <t>avverkningsanmälan</t>
        </is>
      </c>
      <c r="C170" t="inlineStr">
        <is>
          <t>Föryngringsavverkning</t>
        </is>
      </c>
      <c r="D170" s="1" t="n">
        <v>44679</v>
      </c>
      <c r="E170" s="1" t="n">
        <v>46274</v>
      </c>
      <c r="F170" t="inlineStr">
        <is>
          <t>DALARNAS LÄN</t>
        </is>
      </c>
      <c r="G170" t="inlineStr">
        <is>
          <t>BORLÄNGE</t>
        </is>
      </c>
      <c r="H170" t="inlineStr">
        <is>
          <t>Kommuner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49888-2023</t>
        </is>
      </c>
      <c r="B171" t="inlineStr">
        <is>
          <t>avverkningsanmälan</t>
        </is>
      </c>
      <c r="C171" t="inlineStr">
        <is>
          <t>Föryngringsavverkning</t>
        </is>
      </c>
      <c r="D171" s="1" t="n">
        <v>45213</v>
      </c>
      <c r="E171" s="1" t="n">
        <v>46274</v>
      </c>
      <c r="F171" t="inlineStr">
        <is>
          <t>DALARNAS LÄN</t>
        </is>
      </c>
      <c r="G171" t="inlineStr">
        <is>
          <t>BORLÄNGE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43324-2023</t>
        </is>
      </c>
      <c r="B172" t="inlineStr">
        <is>
          <t>avverkningsanmälan</t>
        </is>
      </c>
      <c r="C172" t="inlineStr">
        <is>
          <t>Föryngringsavverkning</t>
        </is>
      </c>
      <c r="D172" s="1" t="n">
        <v>45183</v>
      </c>
      <c r="E172" s="1" t="n">
        <v>46274</v>
      </c>
      <c r="F172" t="inlineStr">
        <is>
          <t>DALARNAS LÄN</t>
        </is>
      </c>
      <c r="G172" t="inlineStr">
        <is>
          <t>BORLÄNGE</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43662-2022</t>
        </is>
      </c>
      <c r="B173" t="inlineStr">
        <is>
          <t>avverkningsanmälan</t>
        </is>
      </c>
      <c r="C173" t="inlineStr">
        <is>
          <t>Föryngringsavverkning</t>
        </is>
      </c>
      <c r="D173" s="1" t="n">
        <v>44837</v>
      </c>
      <c r="E173" s="1" t="n">
        <v>46274</v>
      </c>
      <c r="F173" t="inlineStr">
        <is>
          <t>DALARNAS LÄN</t>
        </is>
      </c>
      <c r="G173" t="inlineStr">
        <is>
          <t>BORLÄNGE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18529-2024</t>
        </is>
      </c>
      <c r="B174" t="inlineStr">
        <is>
          <t>avverkningsanmälan</t>
        </is>
      </c>
      <c r="C174" t="inlineStr">
        <is>
          <t>Föryngringsavverkning</t>
        </is>
      </c>
      <c r="D174" s="1" t="n">
        <v>45425</v>
      </c>
      <c r="E174" s="1" t="n">
        <v>46274</v>
      </c>
      <c r="F174" t="inlineStr">
        <is>
          <t>DALARNAS LÄN</t>
        </is>
      </c>
      <c r="G174" t="inlineStr">
        <is>
          <t>BORLÄNGE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57533-2023</t>
        </is>
      </c>
      <c r="B175" t="inlineStr">
        <is>
          <t>avverkningsanmälan</t>
        </is>
      </c>
      <c r="C175" t="inlineStr">
        <is>
          <t>Föryngringsavverkning</t>
        </is>
      </c>
      <c r="D175" s="1" t="n">
        <v>45246</v>
      </c>
      <c r="E175" s="1" t="n">
        <v>46274</v>
      </c>
      <c r="F175" t="inlineStr">
        <is>
          <t>DALARNAS LÄN</t>
        </is>
      </c>
      <c r="G175" t="inlineStr">
        <is>
          <t>BORLÄNGE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43713-2024</t>
        </is>
      </c>
      <c r="B176" t="inlineStr">
        <is>
          <t>avverkningsanmälan</t>
        </is>
      </c>
      <c r="C176" t="inlineStr">
        <is>
          <t>Föryngringsavverkning</t>
        </is>
      </c>
      <c r="D176" s="1" t="n">
        <v>45569</v>
      </c>
      <c r="E176" s="1" t="n">
        <v>46274</v>
      </c>
      <c r="F176" t="inlineStr">
        <is>
          <t>DALARNAS LÄN</t>
        </is>
      </c>
      <c r="G176" t="inlineStr">
        <is>
          <t>BORLÄNGE</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28312-2022</t>
        </is>
      </c>
      <c r="B177" t="inlineStr">
        <is>
          <t>avverkningsanmälan</t>
        </is>
      </c>
      <c r="C177" t="inlineStr">
        <is>
          <t>Föryngringsavverkning</t>
        </is>
      </c>
      <c r="D177" s="1" t="n">
        <v>44747</v>
      </c>
      <c r="E177" s="1" t="n">
        <v>46274</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47109-2024</t>
        </is>
      </c>
      <c r="B178" t="inlineStr">
        <is>
          <t>avverkningsanmälan</t>
        </is>
      </c>
      <c r="C178" t="inlineStr">
        <is>
          <t>Föryngringsavverkning</t>
        </is>
      </c>
      <c r="D178" s="1" t="n">
        <v>45586</v>
      </c>
      <c r="E178" s="1" t="n">
        <v>46274</v>
      </c>
      <c r="F178" t="inlineStr">
        <is>
          <t>DALARNAS LÄN</t>
        </is>
      </c>
      <c r="G178" t="inlineStr">
        <is>
          <t>BORLÄNGE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41257-2024</t>
        </is>
      </c>
      <c r="B179" t="inlineStr">
        <is>
          <t>avverkningsanmälan</t>
        </is>
      </c>
      <c r="C179" t="inlineStr">
        <is>
          <t>Föryngringsavverkning</t>
        </is>
      </c>
      <c r="D179" s="1" t="n">
        <v>45559</v>
      </c>
      <c r="E179" s="1" t="n">
        <v>46274</v>
      </c>
      <c r="F179" t="inlineStr">
        <is>
          <t>DALARNAS LÄN</t>
        </is>
      </c>
      <c r="G179" t="inlineStr">
        <is>
          <t>BORLÄNGE</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41276-2024</t>
        </is>
      </c>
      <c r="B180" t="inlineStr">
        <is>
          <t>avverkningsanmälan</t>
        </is>
      </c>
      <c r="C180" t="inlineStr">
        <is>
          <t>Föryngringsavverkning</t>
        </is>
      </c>
      <c r="D180" s="1" t="n">
        <v>45559</v>
      </c>
      <c r="E180" s="1" t="n">
        <v>46274</v>
      </c>
      <c r="F180" t="inlineStr">
        <is>
          <t>DALARNAS LÄN</t>
        </is>
      </c>
      <c r="G180" t="inlineStr">
        <is>
          <t>BORLÄNGE</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14995-2023</t>
        </is>
      </c>
      <c r="B181" t="inlineStr">
        <is>
          <t>avverkningsanmälan</t>
        </is>
      </c>
      <c r="C181" t="inlineStr">
        <is>
          <t>Föryngringsavverkning</t>
        </is>
      </c>
      <c r="D181" s="1" t="n">
        <v>45015</v>
      </c>
      <c r="E181" s="1" t="n">
        <v>46274</v>
      </c>
      <c r="F181" t="inlineStr">
        <is>
          <t>DALARNAS LÄN</t>
        </is>
      </c>
      <c r="G181" t="inlineStr">
        <is>
          <t>BORLÄNGE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34674-2023</t>
        </is>
      </c>
      <c r="B182" t="inlineStr">
        <is>
          <t>avverkningsanmälan</t>
        </is>
      </c>
      <c r="C182" t="inlineStr">
        <is>
          <t>Föryngringsavverkning</t>
        </is>
      </c>
      <c r="D182" s="1" t="n">
        <v>45140</v>
      </c>
      <c r="E182" s="1" t="n">
        <v>46274</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30248-2023</t>
        </is>
      </c>
      <c r="B183" t="inlineStr">
        <is>
          <t>avverkningsanmälan</t>
        </is>
      </c>
      <c r="C183" t="inlineStr">
        <is>
          <t>Föryngringsavverkning</t>
        </is>
      </c>
      <c r="D183" s="1" t="n">
        <v>45110</v>
      </c>
      <c r="E183" s="1" t="n">
        <v>46274</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30253-2023</t>
        </is>
      </c>
      <c r="B184" t="inlineStr">
        <is>
          <t>avverkningsanmälan</t>
        </is>
      </c>
      <c r="C184" t="inlineStr">
        <is>
          <t>Föryngringsavverkning</t>
        </is>
      </c>
      <c r="D184" s="1" t="n">
        <v>45110</v>
      </c>
      <c r="E184" s="1" t="n">
        <v>46274</v>
      </c>
      <c r="F184" t="inlineStr">
        <is>
          <t>DALARNAS LÄN</t>
        </is>
      </c>
      <c r="G184" t="inlineStr">
        <is>
          <t>BORLÄNGE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1966-2024</t>
        </is>
      </c>
      <c r="B185" t="inlineStr">
        <is>
          <t>avverkningsanmälan</t>
        </is>
      </c>
      <c r="C185" t="inlineStr">
        <is>
          <t>Föryngringsavverkning</t>
        </is>
      </c>
      <c r="D185" s="1" t="n">
        <v>45308</v>
      </c>
      <c r="E185" s="1" t="n">
        <v>46274</v>
      </c>
      <c r="F185" t="inlineStr">
        <is>
          <t>DALARNAS LÄN</t>
        </is>
      </c>
      <c r="G185" t="inlineStr">
        <is>
          <t>BORLÄNGE</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60625-2023</t>
        </is>
      </c>
      <c r="B186" t="inlineStr">
        <is>
          <t>avverkningsanmälan</t>
        </is>
      </c>
      <c r="C186" t="inlineStr">
        <is>
          <t>Föryngringsavverkning</t>
        </is>
      </c>
      <c r="D186" s="1" t="n">
        <v>45260</v>
      </c>
      <c r="E186" s="1" t="n">
        <v>46274</v>
      </c>
      <c r="F186" t="inlineStr">
        <is>
          <t>DALARNAS LÄN</t>
        </is>
      </c>
      <c r="G186" t="inlineStr">
        <is>
          <t>BORLÄNGE</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36422-2024</t>
        </is>
      </c>
      <c r="B187" t="inlineStr">
        <is>
          <t>avverkningsanmälan</t>
        </is>
      </c>
      <c r="C187" t="inlineStr">
        <is>
          <t>Föryngringsavverkning</t>
        </is>
      </c>
      <c r="D187" s="1" t="n">
        <v>45536</v>
      </c>
      <c r="E187" s="1" t="n">
        <v>46274</v>
      </c>
      <c r="F187" t="inlineStr">
        <is>
          <t>DALARNAS LÄN</t>
        </is>
      </c>
      <c r="G187" t="inlineStr">
        <is>
          <t>BORLÄNGE</t>
        </is>
      </c>
      <c r="I187" t="n">
        <v>12.8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36423-2024</t>
        </is>
      </c>
      <c r="B188" t="inlineStr">
        <is>
          <t>avverkningsanmälan</t>
        </is>
      </c>
      <c r="C188" t="inlineStr">
        <is>
          <t>Föryngringsavverkning</t>
        </is>
      </c>
      <c r="D188" s="1" t="n">
        <v>45536</v>
      </c>
      <c r="E188" s="1" t="n">
        <v>46274</v>
      </c>
      <c r="F188" t="inlineStr">
        <is>
          <t>DALARNAS LÄN</t>
        </is>
      </c>
      <c r="G188" t="inlineStr">
        <is>
          <t>BORLÄNGE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8473-2022</t>
        </is>
      </c>
      <c r="B189" t="inlineStr">
        <is>
          <t>avverkningsanmälan</t>
        </is>
      </c>
      <c r="C189" t="inlineStr">
        <is>
          <t>Föryngringsavverkning</t>
        </is>
      </c>
      <c r="D189" s="1" t="n">
        <v>44613</v>
      </c>
      <c r="E189" s="1" t="n">
        <v>46274</v>
      </c>
      <c r="F189" t="inlineStr">
        <is>
          <t>DALARNAS LÄN</t>
        </is>
      </c>
      <c r="G189" t="inlineStr">
        <is>
          <t>BORLÄNGE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38754-2023</t>
        </is>
      </c>
      <c r="B190" t="inlineStr">
        <is>
          <t>avverkningsanmälan</t>
        </is>
      </c>
      <c r="C190" t="inlineStr">
        <is>
          <t>Avverkning för annat ändamål</t>
        </is>
      </c>
      <c r="D190" s="1" t="n">
        <v>45163</v>
      </c>
      <c r="E190" s="1" t="n">
        <v>46274</v>
      </c>
      <c r="F190" t="inlineStr">
        <is>
          <t>DALARNAS LÄN</t>
        </is>
      </c>
      <c r="G190" t="inlineStr">
        <is>
          <t>BORLÄNGE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40654-2022</t>
        </is>
      </c>
      <c r="B191" t="inlineStr">
        <is>
          <t>avverkningsanmälan</t>
        </is>
      </c>
      <c r="C191" t="inlineStr">
        <is>
          <t>Föryngringsavverkning</t>
        </is>
      </c>
      <c r="D191" s="1" t="n">
        <v>44824</v>
      </c>
      <c r="E191" s="1" t="n">
        <v>46274</v>
      </c>
      <c r="F191" t="inlineStr">
        <is>
          <t>DALARNAS LÄN</t>
        </is>
      </c>
      <c r="G191" t="inlineStr">
        <is>
          <t>BORLÄNGE</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45959-2024</t>
        </is>
      </c>
      <c r="B192" t="inlineStr">
        <is>
          <t>avverkningsanmälan</t>
        </is>
      </c>
      <c r="C192" t="inlineStr">
        <is>
          <t>Föryngringsavverkning</t>
        </is>
      </c>
      <c r="D192" s="1" t="n">
        <v>45580</v>
      </c>
      <c r="E192" s="1" t="n">
        <v>46274</v>
      </c>
      <c r="F192" t="inlineStr">
        <is>
          <t>DALARNAS LÄN</t>
        </is>
      </c>
      <c r="G192" t="inlineStr">
        <is>
          <t>BORLÄNGE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55735-2023</t>
        </is>
      </c>
      <c r="B193" t="inlineStr">
        <is>
          <t>avverkningsanmälan</t>
        </is>
      </c>
      <c r="C193" t="inlineStr">
        <is>
          <t>Föryngringsavverkning</t>
        </is>
      </c>
      <c r="D193" s="1" t="n">
        <v>45239</v>
      </c>
      <c r="E193" s="1" t="n">
        <v>46274</v>
      </c>
      <c r="F193" t="inlineStr">
        <is>
          <t>DALARNAS LÄN</t>
        </is>
      </c>
      <c r="G193" t="inlineStr">
        <is>
          <t>BORLÄNGE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11136-2023</t>
        </is>
      </c>
      <c r="B194" t="inlineStr">
        <is>
          <t>avverkningsanmälan</t>
        </is>
      </c>
      <c r="C194" t="inlineStr">
        <is>
          <t>Föryngringsavverkning</t>
        </is>
      </c>
      <c r="D194" s="1" t="n">
        <v>44992</v>
      </c>
      <c r="E194" s="1" t="n">
        <v>46274</v>
      </c>
      <c r="F194" t="inlineStr">
        <is>
          <t>DALARNAS LÄN</t>
        </is>
      </c>
      <c r="G194" t="inlineStr">
        <is>
          <t>BORLÄNGE</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11138-2023</t>
        </is>
      </c>
      <c r="B195" t="inlineStr">
        <is>
          <t>avverkningsanmälan</t>
        </is>
      </c>
      <c r="C195" t="inlineStr">
        <is>
          <t>Föryngringsavverkning</t>
        </is>
      </c>
      <c r="D195" s="1" t="n">
        <v>44992</v>
      </c>
      <c r="E195" s="1" t="n">
        <v>46274</v>
      </c>
      <c r="F195" t="inlineStr">
        <is>
          <t>DALARNAS LÄN</t>
        </is>
      </c>
      <c r="G195" t="inlineStr">
        <is>
          <t>BORLÄNGE</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27717-2024</t>
        </is>
      </c>
      <c r="B196" t="inlineStr">
        <is>
          <t>avverkningsanmälan</t>
        </is>
      </c>
      <c r="C196" t="inlineStr">
        <is>
          <t>Avverkning för annat ändamål</t>
        </is>
      </c>
      <c r="D196" s="1" t="n">
        <v>45475</v>
      </c>
      <c r="E196" s="1" t="n">
        <v>46274</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64688-2023</t>
        </is>
      </c>
      <c r="B197" t="inlineStr">
        <is>
          <t>avverkningsanmälan</t>
        </is>
      </c>
      <c r="C197" t="inlineStr">
        <is>
          <t>Föryngringsavverkning</t>
        </is>
      </c>
      <c r="D197" s="1" t="n">
        <v>45281</v>
      </c>
      <c r="E197" s="1" t="n">
        <v>46274</v>
      </c>
      <c r="F197" t="inlineStr">
        <is>
          <t>DALARNAS LÄN</t>
        </is>
      </c>
      <c r="G197" t="inlineStr">
        <is>
          <t>BORLÄNGE</t>
        </is>
      </c>
      <c r="H197" t="inlineStr">
        <is>
          <t>Kyrkan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5529-2025</t>
        </is>
      </c>
      <c r="B198" t="inlineStr">
        <is>
          <t>avverkningsanmälan</t>
        </is>
      </c>
      <c r="C198" t="inlineStr">
        <is>
          <t>Föryngringsavverkning</t>
        </is>
      </c>
      <c r="D198" s="1" t="n">
        <v>45693</v>
      </c>
      <c r="E198" s="1" t="n">
        <v>46274</v>
      </c>
      <c r="F198" t="inlineStr">
        <is>
          <t>DALARNAS LÄN</t>
        </is>
      </c>
      <c r="G198" t="inlineStr">
        <is>
          <t>BORLÄNGE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62080-2024</t>
        </is>
      </c>
      <c r="B199" t="inlineStr">
        <is>
          <t>avverkningsanmälan</t>
        </is>
      </c>
      <c r="C199" t="inlineStr">
        <is>
          <t>Föryngringsavverkning</t>
        </is>
      </c>
      <c r="D199" s="1" t="n">
        <v>45656</v>
      </c>
      <c r="E199" s="1" t="n">
        <v>46274</v>
      </c>
      <c r="F199" t="inlineStr">
        <is>
          <t>DALARNAS LÄN</t>
        </is>
      </c>
      <c r="G199" t="inlineStr">
        <is>
          <t>BORLÄNGE</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1492-2025</t>
        </is>
      </c>
      <c r="B200" t="inlineStr">
        <is>
          <t>avverkningsanmälan</t>
        </is>
      </c>
      <c r="C200" t="inlineStr">
        <is>
          <t>Föryngringsavverkning</t>
        </is>
      </c>
      <c r="D200" s="1" t="n">
        <v>45670</v>
      </c>
      <c r="E200" s="1" t="n">
        <v>46274</v>
      </c>
      <c r="F200" t="inlineStr">
        <is>
          <t>DALARNAS LÄN</t>
        </is>
      </c>
      <c r="G200" t="inlineStr">
        <is>
          <t>BORLÄNGE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28321-2024</t>
        </is>
      </c>
      <c r="B201" t="inlineStr">
        <is>
          <t>avverkningsanmälan</t>
        </is>
      </c>
      <c r="C201" t="inlineStr">
        <is>
          <t>Föryngringsavverkning</t>
        </is>
      </c>
      <c r="D201" s="1" t="n">
        <v>45477</v>
      </c>
      <c r="E201" s="1" t="n">
        <v>46274</v>
      </c>
      <c r="F201" t="inlineStr">
        <is>
          <t>DALARNAS LÄN</t>
        </is>
      </c>
      <c r="G201" t="inlineStr">
        <is>
          <t>BORLÄNGE</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61195-2023</t>
        </is>
      </c>
      <c r="B202" t="inlineStr">
        <is>
          <t>avverkningsanmälan</t>
        </is>
      </c>
      <c r="C202" t="inlineStr">
        <is>
          <t>Föryngringsavverkning</t>
        </is>
      </c>
      <c r="D202" s="1" t="n">
        <v>45264</v>
      </c>
      <c r="E202" s="1" t="n">
        <v>46274</v>
      </c>
      <c r="F202" t="inlineStr">
        <is>
          <t>DALARNAS LÄN</t>
        </is>
      </c>
      <c r="G202" t="inlineStr">
        <is>
          <t>BORLÄNGE</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39574-2023</t>
        </is>
      </c>
      <c r="B203" t="inlineStr">
        <is>
          <t>avverkningsanmälan</t>
        </is>
      </c>
      <c r="C203" t="inlineStr">
        <is>
          <t>Föryngringsavverkning</t>
        </is>
      </c>
      <c r="D203" s="1" t="n">
        <v>45167</v>
      </c>
      <c r="E203" s="1" t="n">
        <v>46274</v>
      </c>
      <c r="F203" t="inlineStr">
        <is>
          <t>DALARNAS LÄN</t>
        </is>
      </c>
      <c r="G203" t="inlineStr">
        <is>
          <t>BORLÄNGE</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48606-2023</t>
        </is>
      </c>
      <c r="B204" t="inlineStr">
        <is>
          <t>avverkningsanmälan</t>
        </is>
      </c>
      <c r="C204" t="inlineStr">
        <is>
          <t>Föryngringsavverkning</t>
        </is>
      </c>
      <c r="D204" s="1" t="n">
        <v>45208</v>
      </c>
      <c r="E204" s="1" t="n">
        <v>46274</v>
      </c>
      <c r="F204" t="inlineStr">
        <is>
          <t>DALARNAS LÄN</t>
        </is>
      </c>
      <c r="G204" t="inlineStr">
        <is>
          <t>BORLÄNGE</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22652-2024</t>
        </is>
      </c>
      <c r="B205" t="inlineStr">
        <is>
          <t>avverkningsanmälan</t>
        </is>
      </c>
      <c r="C205" t="inlineStr">
        <is>
          <t>Föryngringsavverkning</t>
        </is>
      </c>
      <c r="D205" s="1" t="n">
        <v>45447</v>
      </c>
      <c r="E205" s="1" t="n">
        <v>46274</v>
      </c>
      <c r="F205" t="inlineStr">
        <is>
          <t>DALARNAS LÄN</t>
        </is>
      </c>
      <c r="G205" t="inlineStr">
        <is>
          <t>BORLÄNGE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28039-2023</t>
        </is>
      </c>
      <c r="B206" t="inlineStr">
        <is>
          <t>avverkningsanmälan</t>
        </is>
      </c>
      <c r="C206" t="inlineStr">
        <is>
          <t>Avverkning för annat ändamål</t>
        </is>
      </c>
      <c r="D206" s="1" t="n">
        <v>45099</v>
      </c>
      <c r="E206" s="1" t="n">
        <v>46274</v>
      </c>
      <c r="F206" t="inlineStr">
        <is>
          <t>DALARNAS LÄN</t>
        </is>
      </c>
      <c r="G206" t="inlineStr">
        <is>
          <t>BORLÄNGE</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61809-2022</t>
        </is>
      </c>
      <c r="B207" t="inlineStr">
        <is>
          <t>avverkningsanmälan</t>
        </is>
      </c>
      <c r="C207" t="inlineStr">
        <is>
          <t>Föryngringsavverkning</t>
        </is>
      </c>
      <c r="D207" s="1" t="n">
        <v>44917</v>
      </c>
      <c r="E207" s="1" t="n">
        <v>46274</v>
      </c>
      <c r="F207" t="inlineStr">
        <is>
          <t>DALARNAS LÄN</t>
        </is>
      </c>
      <c r="G207" t="inlineStr">
        <is>
          <t>BORLÄNGE</t>
        </is>
      </c>
      <c r="H207" t="inlineStr">
        <is>
          <t>Bergvik skog väst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5802-2025</t>
        </is>
      </c>
      <c r="B208" t="inlineStr">
        <is>
          <t>avverkningsanmälan</t>
        </is>
      </c>
      <c r="C208" t="inlineStr">
        <is>
          <t>Föryngringsavverkning</t>
        </is>
      </c>
      <c r="D208" s="1" t="n">
        <v>45694</v>
      </c>
      <c r="E208" s="1" t="n">
        <v>46274</v>
      </c>
      <c r="F208" t="inlineStr">
        <is>
          <t>DALARNAS LÄN</t>
        </is>
      </c>
      <c r="G208" t="inlineStr">
        <is>
          <t>BORLÄNGE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1088-2023</t>
        </is>
      </c>
      <c r="B209" t="inlineStr">
        <is>
          <t>avverkningsanmälan</t>
        </is>
      </c>
      <c r="C209" t="inlineStr">
        <is>
          <t>Föryngringsavverkning</t>
        </is>
      </c>
      <c r="D209" s="1" t="n">
        <v>44935</v>
      </c>
      <c r="E209" s="1" t="n">
        <v>46274</v>
      </c>
      <c r="F209" t="inlineStr">
        <is>
          <t>DALARNAS LÄN</t>
        </is>
      </c>
      <c r="G209" t="inlineStr">
        <is>
          <t>BORLÄNGE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58650-2024</t>
        </is>
      </c>
      <c r="B210" t="inlineStr">
        <is>
          <t>avverkningsanmälan</t>
        </is>
      </c>
      <c r="C210" t="inlineStr">
        <is>
          <t>Föryngringsavverkning</t>
        </is>
      </c>
      <c r="D210" s="1" t="n">
        <v>45632</v>
      </c>
      <c r="E210" s="1" t="n">
        <v>46274</v>
      </c>
      <c r="F210" t="inlineStr">
        <is>
          <t>DALARNAS LÄN</t>
        </is>
      </c>
      <c r="G210" t="inlineStr">
        <is>
          <t>BORLÄNGE</t>
        </is>
      </c>
      <c r="H210" t="inlineStr">
        <is>
          <t>Bergvik skog väst AB</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12783-2024</t>
        </is>
      </c>
      <c r="B211" t="inlineStr">
        <is>
          <t>avverkningsanmälan</t>
        </is>
      </c>
      <c r="C211" t="inlineStr">
        <is>
          <t>Föryngringsavverkning</t>
        </is>
      </c>
      <c r="D211" s="1" t="n">
        <v>45384</v>
      </c>
      <c r="E211" s="1" t="n">
        <v>46274</v>
      </c>
      <c r="F211" t="inlineStr">
        <is>
          <t>DALARNAS LÄN</t>
        </is>
      </c>
      <c r="G211" t="inlineStr">
        <is>
          <t>BORLÄNGE</t>
        </is>
      </c>
      <c r="H211" t="inlineStr">
        <is>
          <t>Övriga statliga verk och myndigheter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24181-2023</t>
        </is>
      </c>
      <c r="B212" t="inlineStr">
        <is>
          <t>avverkningsanmälan</t>
        </is>
      </c>
      <c r="C212" t="inlineStr">
        <is>
          <t>Föryngringsavverkning</t>
        </is>
      </c>
      <c r="D212" s="1" t="n">
        <v>45079</v>
      </c>
      <c r="E212" s="1" t="n">
        <v>46274</v>
      </c>
      <c r="F212" t="inlineStr">
        <is>
          <t>DALARNAS LÄN</t>
        </is>
      </c>
      <c r="G212" t="inlineStr">
        <is>
          <t>BORLÄNGE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36696-2025</t>
        </is>
      </c>
      <c r="B213" t="inlineStr">
        <is>
          <t>avverkningsanmälan</t>
        </is>
      </c>
      <c r="C213" t="inlineStr">
        <is>
          <t>Föryngringsavverkning</t>
        </is>
      </c>
      <c r="D213" s="1" t="n">
        <v>45873</v>
      </c>
      <c r="E213" s="1" t="n">
        <v>46274</v>
      </c>
      <c r="F213" t="inlineStr">
        <is>
          <t>DALARNAS LÄN</t>
        </is>
      </c>
      <c r="G213" t="inlineStr">
        <is>
          <t>BORLÄNGE</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1598-2026</t>
        </is>
      </c>
      <c r="B214" t="inlineStr">
        <is>
          <t>avverkningsanmälan</t>
        </is>
      </c>
      <c r="C214" t="inlineStr">
        <is>
          <t>Föryngringsavverkning</t>
        </is>
      </c>
      <c r="D214" s="1" t="n">
        <v>46034</v>
      </c>
      <c r="E214" s="1" t="n">
        <v>46274</v>
      </c>
      <c r="F214" t="inlineStr">
        <is>
          <t>DALARNAS LÄN</t>
        </is>
      </c>
      <c r="G214" t="inlineStr">
        <is>
          <t>BORLÄNGE</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6654-2024</t>
        </is>
      </c>
      <c r="B215" t="inlineStr">
        <is>
          <t>avverkningsanmälan</t>
        </is>
      </c>
      <c r="C215" t="inlineStr">
        <is>
          <t>Föryngringsavverkning</t>
        </is>
      </c>
      <c r="D215" s="1" t="n">
        <v>45341</v>
      </c>
      <c r="E215" s="1" t="n">
        <v>46274</v>
      </c>
      <c r="F215" t="inlineStr">
        <is>
          <t>DALARNAS LÄN</t>
        </is>
      </c>
      <c r="G215" t="inlineStr">
        <is>
          <t>BORLÄNGE</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7563-2026</t>
        </is>
      </c>
      <c r="B216" t="inlineStr">
        <is>
          <t>avverkningsanmälan</t>
        </is>
      </c>
      <c r="C216" t="inlineStr">
        <is>
          <t>Föryngringsavverkning</t>
        </is>
      </c>
      <c r="D216" s="1" t="n">
        <v>46060</v>
      </c>
      <c r="E216" s="1" t="n">
        <v>46274</v>
      </c>
      <c r="F216" t="inlineStr">
        <is>
          <t>DALARNAS LÄN</t>
        </is>
      </c>
      <c r="G216" t="inlineStr">
        <is>
          <t>BORLÄNGE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37034-2025</t>
        </is>
      </c>
      <c r="B217" t="inlineStr">
        <is>
          <t>avverkningsanmälan</t>
        </is>
      </c>
      <c r="C217" t="inlineStr">
        <is>
          <t>Avverkning för annat ändamål</t>
        </is>
      </c>
      <c r="D217" s="1" t="n">
        <v>45874</v>
      </c>
      <c r="E217" s="1" t="n">
        <v>46274</v>
      </c>
      <c r="F217" t="inlineStr">
        <is>
          <t>DALARNAS LÄN</t>
        </is>
      </c>
      <c r="G217" t="inlineStr">
        <is>
          <t>BORLÄNGE</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37221-2025</t>
        </is>
      </c>
      <c r="B218" t="inlineStr">
        <is>
          <t>avverkningsanmälan</t>
        </is>
      </c>
      <c r="C218" t="inlineStr">
        <is>
          <t>Föryngringsavverkning</t>
        </is>
      </c>
      <c r="D218" s="1" t="n">
        <v>45875</v>
      </c>
      <c r="E218" s="1" t="n">
        <v>46274</v>
      </c>
      <c r="F218" t="inlineStr">
        <is>
          <t>DALARNAS LÄN</t>
        </is>
      </c>
      <c r="G218" t="inlineStr">
        <is>
          <t>BORLÄNGE</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37223-2025</t>
        </is>
      </c>
      <c r="B219" t="inlineStr">
        <is>
          <t>avverkningsanmälan</t>
        </is>
      </c>
      <c r="C219" t="inlineStr">
        <is>
          <t>Föryngringsavverkning</t>
        </is>
      </c>
      <c r="D219" s="1" t="n">
        <v>45875</v>
      </c>
      <c r="E219" s="1" t="n">
        <v>46274</v>
      </c>
      <c r="F219" t="inlineStr">
        <is>
          <t>DALARNAS LÄN</t>
        </is>
      </c>
      <c r="G219" t="inlineStr">
        <is>
          <t>BORLÄNGE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60740-2024</t>
        </is>
      </c>
      <c r="B220" t="inlineStr">
        <is>
          <t>avverkningsanmälan</t>
        </is>
      </c>
      <c r="C220" t="inlineStr">
        <is>
          <t>Avverkning för annat ändamål</t>
        </is>
      </c>
      <c r="D220" s="1" t="n">
        <v>45644</v>
      </c>
      <c r="E220" s="1" t="n">
        <v>46274</v>
      </c>
      <c r="F220" t="inlineStr">
        <is>
          <t>DALARNAS LÄN</t>
        </is>
      </c>
      <c r="G220" t="inlineStr">
        <is>
          <t>BORLÄNGE</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39520-2025</t>
        </is>
      </c>
      <c r="B221" t="inlineStr">
        <is>
          <t>avverkningsanmälan</t>
        </is>
      </c>
      <c r="C221" t="inlineStr">
        <is>
          <t>Föryngringsavverkning</t>
        </is>
      </c>
      <c r="D221" s="1" t="n">
        <v>45890</v>
      </c>
      <c r="E221" s="1" t="n">
        <v>46274</v>
      </c>
      <c r="F221" t="inlineStr">
        <is>
          <t>DALARNAS LÄN</t>
        </is>
      </c>
      <c r="G221" t="inlineStr">
        <is>
          <t>BORLÄNGE</t>
        </is>
      </c>
      <c r="H221" t="inlineStr">
        <is>
          <t>Bergvik skog väst AB</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49936-2023</t>
        </is>
      </c>
      <c r="B222" t="inlineStr">
        <is>
          <t>avverkningsanmälan</t>
        </is>
      </c>
      <c r="C222" t="inlineStr">
        <is>
          <t>Föryngringsavverkning</t>
        </is>
      </c>
      <c r="D222" s="1" t="n">
        <v>45215</v>
      </c>
      <c r="E222" s="1" t="n">
        <v>46274</v>
      </c>
      <c r="F222" t="inlineStr">
        <is>
          <t>DALARNAS LÄN</t>
        </is>
      </c>
      <c r="G222" t="inlineStr">
        <is>
          <t>BORLÄNGE</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37743-2025</t>
        </is>
      </c>
      <c r="B223" t="inlineStr">
        <is>
          <t>avverkningsanmälan</t>
        </is>
      </c>
      <c r="C223" t="inlineStr">
        <is>
          <t>Föryngringsavverkning</t>
        </is>
      </c>
      <c r="D223" s="1" t="n">
        <v>45880</v>
      </c>
      <c r="E223" s="1" t="n">
        <v>46274</v>
      </c>
      <c r="F223" t="inlineStr">
        <is>
          <t>DALARNAS LÄN</t>
        </is>
      </c>
      <c r="G223" t="inlineStr">
        <is>
          <t>BORLÄNGE</t>
        </is>
      </c>
      <c r="H223" t="inlineStr">
        <is>
          <t>Kommuner</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37741-2025</t>
        </is>
      </c>
      <c r="B224" t="inlineStr">
        <is>
          <t>avverkningsanmälan</t>
        </is>
      </c>
      <c r="C224" t="inlineStr">
        <is>
          <t>Föryngringsavverkning</t>
        </is>
      </c>
      <c r="D224" s="1" t="n">
        <v>45880</v>
      </c>
      <c r="E224" s="1" t="n">
        <v>46274</v>
      </c>
      <c r="F224" t="inlineStr">
        <is>
          <t>DALARNAS LÄN</t>
        </is>
      </c>
      <c r="G224" t="inlineStr">
        <is>
          <t>BORLÄNGE</t>
        </is>
      </c>
      <c r="H224" t="inlineStr">
        <is>
          <t>Kommuner</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39740-2025</t>
        </is>
      </c>
      <c r="B225" t="inlineStr">
        <is>
          <t>avverkningsanmälan</t>
        </is>
      </c>
      <c r="C225" t="inlineStr">
        <is>
          <t>Föryngringsavverkning</t>
        </is>
      </c>
      <c r="D225" s="1" t="n">
        <v>45891</v>
      </c>
      <c r="E225" s="1" t="n">
        <v>46274</v>
      </c>
      <c r="F225" t="inlineStr">
        <is>
          <t>DALARNAS LÄN</t>
        </is>
      </c>
      <c r="G225" t="inlineStr">
        <is>
          <t>BORLÄNGE</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39734-2025</t>
        </is>
      </c>
      <c r="B226" t="inlineStr">
        <is>
          <t>avverkningsanmälan</t>
        </is>
      </c>
      <c r="C226" t="inlineStr">
        <is>
          <t>Föryngringsavverkning</t>
        </is>
      </c>
      <c r="D226" s="1" t="n">
        <v>45891</v>
      </c>
      <c r="E226" s="1" t="n">
        <v>46274</v>
      </c>
      <c r="F226" t="inlineStr">
        <is>
          <t>DALARNAS LÄN</t>
        </is>
      </c>
      <c r="G226" t="inlineStr">
        <is>
          <t>BORLÄNGE</t>
        </is>
      </c>
      <c r="H226" t="inlineStr">
        <is>
          <t>Bergvik skog väst AB</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37739-2025</t>
        </is>
      </c>
      <c r="B227" t="inlineStr">
        <is>
          <t>avverkningsanmälan</t>
        </is>
      </c>
      <c r="C227" t="inlineStr">
        <is>
          <t>Föryngringsavverkning</t>
        </is>
      </c>
      <c r="D227" s="1" t="n">
        <v>45880</v>
      </c>
      <c r="E227" s="1" t="n">
        <v>46274</v>
      </c>
      <c r="F227" t="inlineStr">
        <is>
          <t>DALARNAS LÄN</t>
        </is>
      </c>
      <c r="G227" t="inlineStr">
        <is>
          <t>BORLÄNGE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1921-2026</t>
        </is>
      </c>
      <c r="B228" t="inlineStr">
        <is>
          <t>avverkningsanmälan</t>
        </is>
      </c>
      <c r="C228" t="inlineStr">
        <is>
          <t>Föryngringsavverkning</t>
        </is>
      </c>
      <c r="D228" s="1" t="n">
        <v>46035</v>
      </c>
      <c r="E228" s="1" t="n">
        <v>46274</v>
      </c>
      <c r="F228" t="inlineStr">
        <is>
          <t>DALARNAS LÄN</t>
        </is>
      </c>
      <c r="G228" t="inlineStr">
        <is>
          <t>BORLÄNGE</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51849-2022</t>
        </is>
      </c>
      <c r="B229" t="inlineStr">
        <is>
          <t>avverkningsanmälan</t>
        </is>
      </c>
      <c r="C229" t="inlineStr">
        <is>
          <t>Föryngringsavverkning</t>
        </is>
      </c>
      <c r="D229" s="1" t="n">
        <v>44867</v>
      </c>
      <c r="E229" s="1" t="n">
        <v>46274</v>
      </c>
      <c r="F229" t="inlineStr">
        <is>
          <t>DALARNAS LÄN</t>
        </is>
      </c>
      <c r="G229" t="inlineStr">
        <is>
          <t>BORLÄNGE</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38375-2025</t>
        </is>
      </c>
      <c r="B230" t="inlineStr">
        <is>
          <t>avverkningsanmälan</t>
        </is>
      </c>
      <c r="C230" t="inlineStr">
        <is>
          <t>Föryngringsavverkning</t>
        </is>
      </c>
      <c r="D230" s="1" t="n">
        <v>45883</v>
      </c>
      <c r="E230" s="1" t="n">
        <v>46274</v>
      </c>
      <c r="F230" t="inlineStr">
        <is>
          <t>DALARNAS LÄN</t>
        </is>
      </c>
      <c r="G230" t="inlineStr">
        <is>
          <t>BORLÄNGE</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38137-2025</t>
        </is>
      </c>
      <c r="B231" t="inlineStr">
        <is>
          <t>avverkningsanmälan</t>
        </is>
      </c>
      <c r="C231" t="inlineStr">
        <is>
          <t>Föryngringsavverkning</t>
        </is>
      </c>
      <c r="D231" s="1" t="n">
        <v>45882</v>
      </c>
      <c r="E231" s="1" t="n">
        <v>46274</v>
      </c>
      <c r="F231" t="inlineStr">
        <is>
          <t>DALARNAS LÄN</t>
        </is>
      </c>
      <c r="G231" t="inlineStr">
        <is>
          <t>BORLÄNGE</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21026-2022</t>
        </is>
      </c>
      <c r="B232" t="inlineStr">
        <is>
          <t>avverkningsanmälan</t>
        </is>
      </c>
      <c r="C232" t="inlineStr">
        <is>
          <t>Föryngringsavverkning</t>
        </is>
      </c>
      <c r="D232" s="1" t="n">
        <v>44704</v>
      </c>
      <c r="E232" s="1" t="n">
        <v>46274</v>
      </c>
      <c r="F232" t="inlineStr">
        <is>
          <t>DALARNAS LÄN</t>
        </is>
      </c>
      <c r="G232" t="inlineStr">
        <is>
          <t>BORLÄNGE</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31679-2023</t>
        </is>
      </c>
      <c r="B233" t="inlineStr">
        <is>
          <t>avverkningsanmälan</t>
        </is>
      </c>
      <c r="C233" t="inlineStr">
        <is>
          <t>Föryngringsavverkning</t>
        </is>
      </c>
      <c r="D233" s="1" t="n">
        <v>45117</v>
      </c>
      <c r="E233" s="1" t="n">
        <v>46274</v>
      </c>
      <c r="F233" t="inlineStr">
        <is>
          <t>DALARNAS LÄN</t>
        </is>
      </c>
      <c r="G233" t="inlineStr">
        <is>
          <t>BORLÄNGE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10689-2024</t>
        </is>
      </c>
      <c r="B234" t="inlineStr">
        <is>
          <t>avverkningsanmälan</t>
        </is>
      </c>
      <c r="C234" t="inlineStr">
        <is>
          <t>Föryngringsavverkning</t>
        </is>
      </c>
      <c r="D234" s="1" t="n">
        <v>45369</v>
      </c>
      <c r="E234" s="1" t="n">
        <v>46274</v>
      </c>
      <c r="F234" t="inlineStr">
        <is>
          <t>DALARNAS LÄN</t>
        </is>
      </c>
      <c r="G234" t="inlineStr">
        <is>
          <t>BORLÄNGE</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59772-2021</t>
        </is>
      </c>
      <c r="B235" t="inlineStr">
        <is>
          <t>avverkningsanmälan</t>
        </is>
      </c>
      <c r="C235" t="inlineStr">
        <is>
          <t>Avverkning för annat ändamål</t>
        </is>
      </c>
      <c r="D235" s="1" t="n">
        <v>44494</v>
      </c>
      <c r="E235" s="1" t="n">
        <v>46274</v>
      </c>
      <c r="F235" t="inlineStr">
        <is>
          <t>DALARNAS LÄN</t>
        </is>
      </c>
      <c r="G235" t="inlineStr">
        <is>
          <t>BORLÄNGE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28891-2025</t>
        </is>
      </c>
      <c r="B236" t="inlineStr">
        <is>
          <t>avverkningsanmälan</t>
        </is>
      </c>
      <c r="C236" t="inlineStr">
        <is>
          <t>Föryngringsavverkning</t>
        </is>
      </c>
      <c r="D236" s="1" t="n">
        <v>45820</v>
      </c>
      <c r="E236" s="1" t="n">
        <v>46274</v>
      </c>
      <c r="F236" t="inlineStr">
        <is>
          <t>DALARNAS LÄN</t>
        </is>
      </c>
      <c r="G236" t="inlineStr">
        <is>
          <t>BORLÄNGE</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27713-2025</t>
        </is>
      </c>
      <c r="B237" t="inlineStr">
        <is>
          <t>avverkningsanmälan</t>
        </is>
      </c>
      <c r="C237" t="inlineStr">
        <is>
          <t>Föryngringsavverkning</t>
        </is>
      </c>
      <c r="D237" s="1" t="n">
        <v>45813</v>
      </c>
      <c r="E237" s="1" t="n">
        <v>46274</v>
      </c>
      <c r="F237" t="inlineStr">
        <is>
          <t>DALARNAS LÄN</t>
        </is>
      </c>
      <c r="G237" t="inlineStr">
        <is>
          <t>BORLÄNGE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8563-2026</t>
        </is>
      </c>
      <c r="B238" t="inlineStr">
        <is>
          <t>avverkningsanmälan</t>
        </is>
      </c>
      <c r="C238" t="inlineStr">
        <is>
          <t>Föryngringsavverkning</t>
        </is>
      </c>
      <c r="D238" s="1" t="n">
        <v>46065</v>
      </c>
      <c r="E238" s="1" t="n">
        <v>46274</v>
      </c>
      <c r="F238" t="inlineStr">
        <is>
          <t>DALARNAS LÄN</t>
        </is>
      </c>
      <c r="G238" t="inlineStr">
        <is>
          <t>BORLÄNGE</t>
        </is>
      </c>
      <c r="H238" t="inlineStr">
        <is>
          <t>Bergvik skog väst AB</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60518-2023</t>
        </is>
      </c>
      <c r="B239" t="inlineStr">
        <is>
          <t>avverkningsanmälan</t>
        </is>
      </c>
      <c r="C239" t="inlineStr">
        <is>
          <t>Föryngringsavverkning</t>
        </is>
      </c>
      <c r="D239" s="1" t="n">
        <v>45259</v>
      </c>
      <c r="E239" s="1" t="n">
        <v>46274</v>
      </c>
      <c r="F239" t="inlineStr">
        <is>
          <t>DALARNAS LÄN</t>
        </is>
      </c>
      <c r="G239" t="inlineStr">
        <is>
          <t>BORLÄNGE</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713-2026</t>
        </is>
      </c>
      <c r="B240" t="inlineStr">
        <is>
          <t>avverkningsanmälan</t>
        </is>
      </c>
      <c r="C240" t="inlineStr">
        <is>
          <t>Föryngringsavverkning</t>
        </is>
      </c>
      <c r="D240" s="1" t="n">
        <v>46029</v>
      </c>
      <c r="E240" s="1" t="n">
        <v>46274</v>
      </c>
      <c r="F240" t="inlineStr">
        <is>
          <t>DALARNAS LÄN</t>
        </is>
      </c>
      <c r="G240" t="inlineStr">
        <is>
          <t>BORLÄNGE</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34882-2024</t>
        </is>
      </c>
      <c r="B241" t="inlineStr">
        <is>
          <t>avverkningsanmälan</t>
        </is>
      </c>
      <c r="C241" t="inlineStr">
        <is>
          <t>Föryngringsavverkning</t>
        </is>
      </c>
      <c r="D241" s="1" t="n">
        <v>45527</v>
      </c>
      <c r="E241" s="1" t="n">
        <v>46274</v>
      </c>
      <c r="F241" t="inlineStr">
        <is>
          <t>DALARNAS LÄN</t>
        </is>
      </c>
      <c r="G241" t="inlineStr">
        <is>
          <t>BORLÄNGE</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44244-2025</t>
        </is>
      </c>
      <c r="B242" t="inlineStr">
        <is>
          <t>avverkningsanmälan</t>
        </is>
      </c>
      <c r="C242" t="inlineStr">
        <is>
          <t>Avverkning för annat ändamål</t>
        </is>
      </c>
      <c r="D242" s="1" t="n">
        <v>45915</v>
      </c>
      <c r="E242" s="1" t="n">
        <v>46274</v>
      </c>
      <c r="F242" t="inlineStr">
        <is>
          <t>DALARNAS LÄN</t>
        </is>
      </c>
      <c r="G242" t="inlineStr">
        <is>
          <t>BORLÄNGE</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619-2024</t>
        </is>
      </c>
      <c r="B243" t="inlineStr">
        <is>
          <t>avverkningsanmälan</t>
        </is>
      </c>
      <c r="C243" t="inlineStr">
        <is>
          <t>Föryngringsavverkning</t>
        </is>
      </c>
      <c r="D243" s="1" t="n">
        <v>45299</v>
      </c>
      <c r="E243" s="1" t="n">
        <v>46274</v>
      </c>
      <c r="F243" t="inlineStr">
        <is>
          <t>DALARNAS LÄN</t>
        </is>
      </c>
      <c r="G243" t="inlineStr">
        <is>
          <t>BORLÄNGE</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8309-2022</t>
        </is>
      </c>
      <c r="B244" t="inlineStr">
        <is>
          <t>avverkningsanmälan</t>
        </is>
      </c>
      <c r="C244" t="inlineStr">
        <is>
          <t>Föryngringsavverkning</t>
        </is>
      </c>
      <c r="D244" s="1" t="n">
        <v>44610</v>
      </c>
      <c r="E244" s="1" t="n">
        <v>46274</v>
      </c>
      <c r="F244" t="inlineStr">
        <is>
          <t>DALARNAS LÄN</t>
        </is>
      </c>
      <c r="G244" t="inlineStr">
        <is>
          <t>BORLÄNGE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13571-2026</t>
        </is>
      </c>
      <c r="B245" t="inlineStr">
        <is>
          <t>avverkningsanmälan</t>
        </is>
      </c>
      <c r="C245" t="inlineStr">
        <is>
          <t>Föryngringsavverkning</t>
        </is>
      </c>
      <c r="D245" s="1" t="n">
        <v>46095</v>
      </c>
      <c r="E245" s="1" t="n">
        <v>46274</v>
      </c>
      <c r="F245" t="inlineStr">
        <is>
          <t>DALARNAS LÄN</t>
        </is>
      </c>
      <c r="G245" t="inlineStr">
        <is>
          <t>BORLÄNGE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42612-2024</t>
        </is>
      </c>
      <c r="B246" t="inlineStr">
        <is>
          <t>avverkningsanmälan</t>
        </is>
      </c>
      <c r="C246" t="inlineStr">
        <is>
          <t>Föryngringsavverkning</t>
        </is>
      </c>
      <c r="D246" s="1" t="n">
        <v>45565</v>
      </c>
      <c r="E246" s="1" t="n">
        <v>46274</v>
      </c>
      <c r="F246" t="inlineStr">
        <is>
          <t>DALARNAS LÄN</t>
        </is>
      </c>
      <c r="G246" t="inlineStr">
        <is>
          <t>BORLÄNGE</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47318-2023</t>
        </is>
      </c>
      <c r="B247" t="inlineStr">
        <is>
          <t>avverkningsanmälan</t>
        </is>
      </c>
      <c r="C247" t="inlineStr">
        <is>
          <t>Föryngringsavverkning</t>
        </is>
      </c>
      <c r="D247" s="1" t="n">
        <v>45202</v>
      </c>
      <c r="E247" s="1" t="n">
        <v>46274</v>
      </c>
      <c r="F247" t="inlineStr">
        <is>
          <t>DALARNAS LÄN</t>
        </is>
      </c>
      <c r="G247" t="inlineStr">
        <is>
          <t>BORLÄNGE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4129-2026</t>
        </is>
      </c>
      <c r="B248" t="inlineStr">
        <is>
          <t>avverkningsanmälan</t>
        </is>
      </c>
      <c r="C248" t="inlineStr">
        <is>
          <t>Föryngringsavverkning</t>
        </is>
      </c>
      <c r="D248" s="1" t="n">
        <v>46044</v>
      </c>
      <c r="E248" s="1" t="n">
        <v>46274</v>
      </c>
      <c r="F248" t="inlineStr">
        <is>
          <t>DALARNAS LÄN</t>
        </is>
      </c>
      <c r="G248" t="inlineStr">
        <is>
          <t>BORLÄNGE</t>
        </is>
      </c>
      <c r="H248" t="inlineStr">
        <is>
          <t>Bergvik skog väst AB</t>
        </is>
      </c>
      <c r="I248" t="n">
        <v>23.9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3506-2026</t>
        </is>
      </c>
      <c r="B249" t="inlineStr">
        <is>
          <t>avverkningsanmälan</t>
        </is>
      </c>
      <c r="C249" t="inlineStr">
        <is>
          <t>Föryngringsavverkning</t>
        </is>
      </c>
      <c r="D249" s="1" t="n">
        <v>46042</v>
      </c>
      <c r="E249" s="1" t="n">
        <v>46274</v>
      </c>
      <c r="F249" t="inlineStr">
        <is>
          <t>DALARNAS LÄN</t>
        </is>
      </c>
      <c r="G249" t="inlineStr">
        <is>
          <t>BORLÄNGE</t>
        </is>
      </c>
      <c r="I249" t="n">
        <v>9.199999999999999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9430-2026</t>
        </is>
      </c>
      <c r="B250" t="inlineStr">
        <is>
          <t>avverkningsanmälan</t>
        </is>
      </c>
      <c r="C250" t="inlineStr">
        <is>
          <t>Föryngringsavverkning</t>
        </is>
      </c>
      <c r="D250" s="1" t="n">
        <v>46071</v>
      </c>
      <c r="E250" s="1" t="n">
        <v>46274</v>
      </c>
      <c r="F250" t="inlineStr">
        <is>
          <t>DALARNAS LÄN</t>
        </is>
      </c>
      <c r="G250" t="inlineStr">
        <is>
          <t>BORLÄNGE</t>
        </is>
      </c>
      <c r="H250" t="inlineStr">
        <is>
          <t>Kommuner</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58237-2021</t>
        </is>
      </c>
      <c r="B251" t="inlineStr">
        <is>
          <t>avverkningsanmälan</t>
        </is>
      </c>
      <c r="C251" t="inlineStr">
        <is>
          <t>Avverkning för annat ändamål</t>
        </is>
      </c>
      <c r="D251" s="1" t="n">
        <v>44487</v>
      </c>
      <c r="E251" s="1" t="n">
        <v>46274</v>
      </c>
      <c r="F251" t="inlineStr">
        <is>
          <t>DALARNAS LÄN</t>
        </is>
      </c>
      <c r="G251" t="inlineStr">
        <is>
          <t>BORLÄNGE</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2831-2026</t>
        </is>
      </c>
      <c r="B252" t="inlineStr">
        <is>
          <t>avverkningsanmälan</t>
        </is>
      </c>
      <c r="C252" t="inlineStr">
        <is>
          <t>Föryngringsavverkning</t>
        </is>
      </c>
      <c r="D252" s="1" t="n">
        <v>46038</v>
      </c>
      <c r="E252" s="1" t="n">
        <v>46274</v>
      </c>
      <c r="F252" t="inlineStr">
        <is>
          <t>DALARNAS LÄN</t>
        </is>
      </c>
      <c r="G252" t="inlineStr">
        <is>
          <t>BORLÄNGE</t>
        </is>
      </c>
      <c r="I252" t="n">
        <v>11.5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47001-2025</t>
        </is>
      </c>
      <c r="B253" t="inlineStr">
        <is>
          <t>avverkningsanmälan</t>
        </is>
      </c>
      <c r="C253" t="inlineStr">
        <is>
          <t>Föryngringsavverkning</t>
        </is>
      </c>
      <c r="D253" s="1" t="n">
        <v>45929</v>
      </c>
      <c r="E253" s="1" t="n">
        <v>46274</v>
      </c>
      <c r="F253" t="inlineStr">
        <is>
          <t>DALARNAS LÄN</t>
        </is>
      </c>
      <c r="G253" t="inlineStr">
        <is>
          <t>BORLÄNGE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47006-2025</t>
        </is>
      </c>
      <c r="B254" t="inlineStr">
        <is>
          <t>avverkningsanmälan</t>
        </is>
      </c>
      <c r="C254" t="inlineStr">
        <is>
          <t>Föryngringsavverkning</t>
        </is>
      </c>
      <c r="D254" s="1" t="n">
        <v>45929</v>
      </c>
      <c r="E254" s="1" t="n">
        <v>46274</v>
      </c>
      <c r="F254" t="inlineStr">
        <is>
          <t>DALARNAS LÄN</t>
        </is>
      </c>
      <c r="G254" t="inlineStr">
        <is>
          <t>BORLÄNGE</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6436-2022</t>
        </is>
      </c>
      <c r="B255" t="inlineStr">
        <is>
          <t>avverkningsanmälan</t>
        </is>
      </c>
      <c r="C255" t="inlineStr">
        <is>
          <t>Föryngringsavverkning</t>
        </is>
      </c>
      <c r="D255" s="1" t="n">
        <v>44601</v>
      </c>
      <c r="E255" s="1" t="n">
        <v>46274</v>
      </c>
      <c r="F255" t="inlineStr">
        <is>
          <t>DALARNAS LÄN</t>
        </is>
      </c>
      <c r="G255" t="inlineStr">
        <is>
          <t>BORLÄNGE</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6324-2026</t>
        </is>
      </c>
      <c r="B256" t="inlineStr">
        <is>
          <t>avverkningsanmälan</t>
        </is>
      </c>
      <c r="C256" t="inlineStr">
        <is>
          <t>Föryngringsavverkning</t>
        </is>
      </c>
      <c r="D256" s="1" t="n">
        <v>46055</v>
      </c>
      <c r="E256" s="1" t="n">
        <v>46274</v>
      </c>
      <c r="F256" t="inlineStr">
        <is>
          <t>DALARNAS LÄN</t>
        </is>
      </c>
      <c r="G256" t="inlineStr">
        <is>
          <t>BORLÄNGE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8488-2026</t>
        </is>
      </c>
      <c r="B257" t="inlineStr">
        <is>
          <t>avverkningsanmälan</t>
        </is>
      </c>
      <c r="C257" t="inlineStr">
        <is>
          <t>Föryngringsavverkning</t>
        </is>
      </c>
      <c r="D257" s="1" t="n">
        <v>46065</v>
      </c>
      <c r="E257" s="1" t="n">
        <v>46274</v>
      </c>
      <c r="F257" t="inlineStr">
        <is>
          <t>DALARNAS LÄN</t>
        </is>
      </c>
      <c r="G257" t="inlineStr">
        <is>
          <t>BORLÄNGE</t>
        </is>
      </c>
      <c r="H257" t="inlineStr">
        <is>
          <t>Bergvik skog väst AB</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5127-2026</t>
        </is>
      </c>
      <c r="B258" t="inlineStr">
        <is>
          <t>avverkningsanmälan</t>
        </is>
      </c>
      <c r="C258" t="inlineStr">
        <is>
          <t>Föryngringsavverkning</t>
        </is>
      </c>
      <c r="D258" s="1" t="n">
        <v>46049</v>
      </c>
      <c r="E258" s="1" t="n">
        <v>46274</v>
      </c>
      <c r="F258" t="inlineStr">
        <is>
          <t>DALARNAS LÄN</t>
        </is>
      </c>
      <c r="G258" t="inlineStr">
        <is>
          <t>BORLÄNGE</t>
        </is>
      </c>
      <c r="H258" t="inlineStr">
        <is>
          <t>Bergvik skog väst AB</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11212-2026</t>
        </is>
      </c>
      <c r="B259" t="inlineStr">
        <is>
          <t>avverkningsanmälan</t>
        </is>
      </c>
      <c r="C259" t="inlineStr">
        <is>
          <t>Föryngringsavverkning</t>
        </is>
      </c>
      <c r="D259" s="1" t="n">
        <v>46080</v>
      </c>
      <c r="E259" s="1" t="n">
        <v>46274</v>
      </c>
      <c r="F259" t="inlineStr">
        <is>
          <t>DALARNAS LÄN</t>
        </is>
      </c>
      <c r="G259" t="inlineStr">
        <is>
          <t>BORLÄNGE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49462-2025</t>
        </is>
      </c>
      <c r="B260" t="inlineStr">
        <is>
          <t>avverkningsanmälan</t>
        </is>
      </c>
      <c r="C260" t="inlineStr">
        <is>
          <t>Föryngringsavverkning</t>
        </is>
      </c>
      <c r="D260" s="1" t="n">
        <v>45939</v>
      </c>
      <c r="E260" s="1" t="n">
        <v>46274</v>
      </c>
      <c r="F260" t="inlineStr">
        <is>
          <t>DALARNAS LÄN</t>
        </is>
      </c>
      <c r="G260" t="inlineStr">
        <is>
          <t>BORLÄNGE</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12448-2023</t>
        </is>
      </c>
      <c r="B261" t="inlineStr">
        <is>
          <t>avverkningsanmälan</t>
        </is>
      </c>
      <c r="C261" t="inlineStr">
        <is>
          <t>Avverkning för annat ändamål</t>
        </is>
      </c>
      <c r="D261" s="1" t="n">
        <v>44999</v>
      </c>
      <c r="E261" s="1" t="n">
        <v>46274</v>
      </c>
      <c r="F261" t="inlineStr">
        <is>
          <t>DALARNAS LÄN</t>
        </is>
      </c>
      <c r="G261" t="inlineStr">
        <is>
          <t>BORLÄNGE</t>
        </is>
      </c>
      <c r="H261" t="inlineStr">
        <is>
          <t>Bergvik skog väst AB</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9295-2024</t>
        </is>
      </c>
      <c r="B262" t="inlineStr">
        <is>
          <t>avverkningsanmälan</t>
        </is>
      </c>
      <c r="C262" t="inlineStr">
        <is>
          <t>Avverkning för annat ändamål</t>
        </is>
      </c>
      <c r="D262" s="1" t="n">
        <v>45358</v>
      </c>
      <c r="E262" s="1" t="n">
        <v>46274</v>
      </c>
      <c r="F262" t="inlineStr">
        <is>
          <t>DALARNAS LÄN</t>
        </is>
      </c>
      <c r="G262" t="inlineStr">
        <is>
          <t>BORLÄNGE</t>
        </is>
      </c>
      <c r="H262" t="inlineStr">
        <is>
          <t>Kommuner</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21998-2026</t>
        </is>
      </c>
      <c r="B263" t="inlineStr">
        <is>
          <t>avverkningsanmälan</t>
        </is>
      </c>
      <c r="C263" t="inlineStr">
        <is>
          <t>Föryngringsavverkning</t>
        </is>
      </c>
      <c r="D263" s="1" t="n">
        <v>46153</v>
      </c>
      <c r="E263" s="1" t="n">
        <v>46274</v>
      </c>
      <c r="F263" t="inlineStr">
        <is>
          <t>DALARNAS LÄN</t>
        </is>
      </c>
      <c r="G263" t="inlineStr">
        <is>
          <t>BORLÄNGE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36424-2024</t>
        </is>
      </c>
      <c r="B264" t="inlineStr">
        <is>
          <t>avverkningsanmälan</t>
        </is>
      </c>
      <c r="C264" t="inlineStr">
        <is>
          <t>Föryngringsavverkning</t>
        </is>
      </c>
      <c r="D264" s="1" t="n">
        <v>45536</v>
      </c>
      <c r="E264" s="1" t="n">
        <v>46274</v>
      </c>
      <c r="F264" t="inlineStr">
        <is>
          <t>DALARNAS LÄN</t>
        </is>
      </c>
      <c r="G264" t="inlineStr">
        <is>
          <t>BORLÄNGE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51859-2023</t>
        </is>
      </c>
      <c r="B265" t="inlineStr">
        <is>
          <t>avverkningsanmälan</t>
        </is>
      </c>
      <c r="C265" t="inlineStr">
        <is>
          <t>Föryngringsavverkning</t>
        </is>
      </c>
      <c r="D265" s="1" t="n">
        <v>45223</v>
      </c>
      <c r="E265" s="1" t="n">
        <v>46274</v>
      </c>
      <c r="F265" t="inlineStr">
        <is>
          <t>DALARNAS LÄN</t>
        </is>
      </c>
      <c r="G265" t="inlineStr">
        <is>
          <t>BORLÄNGE</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51862-2023</t>
        </is>
      </c>
      <c r="B266" t="inlineStr">
        <is>
          <t>avverkningsanmälan</t>
        </is>
      </c>
      <c r="C266" t="inlineStr">
        <is>
          <t>Föryngringsavverkning</t>
        </is>
      </c>
      <c r="D266" s="1" t="n">
        <v>45223</v>
      </c>
      <c r="E266" s="1" t="n">
        <v>46274</v>
      </c>
      <c r="F266" t="inlineStr">
        <is>
          <t>DALARNAS LÄN</t>
        </is>
      </c>
      <c r="G266" t="inlineStr">
        <is>
          <t>BORLÄNGE</t>
        </is>
      </c>
      <c r="H266" t="inlineStr">
        <is>
          <t>Övriga statliga verk och myndigheter</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19472-2026</t>
        </is>
      </c>
      <c r="B267" t="inlineStr">
        <is>
          <t>avverkningsanmälan</t>
        </is>
      </c>
      <c r="C267" t="inlineStr">
        <is>
          <t>Avverkning för annat ändamål</t>
        </is>
      </c>
      <c r="D267" s="1" t="n">
        <v>46131</v>
      </c>
      <c r="E267" s="1" t="n">
        <v>46274</v>
      </c>
      <c r="F267" t="inlineStr">
        <is>
          <t>DALARNAS LÄN</t>
        </is>
      </c>
      <c r="G267" t="inlineStr">
        <is>
          <t>BORLÄNGE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21946-2026</t>
        </is>
      </c>
      <c r="B268" t="inlineStr">
        <is>
          <t>avverkningsanmälan</t>
        </is>
      </c>
      <c r="C268" t="inlineStr">
        <is>
          <t>Föryngringsavverkning</t>
        </is>
      </c>
      <c r="D268" s="1" t="n">
        <v>46151</v>
      </c>
      <c r="E268" s="1" t="n">
        <v>46274</v>
      </c>
      <c r="F268" t="inlineStr">
        <is>
          <t>DALARNAS LÄN</t>
        </is>
      </c>
      <c r="G268" t="inlineStr">
        <is>
          <t>BORLÄNGE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2469-2026</t>
        </is>
      </c>
      <c r="B269" t="inlineStr">
        <is>
          <t>avverkningsanmälan</t>
        </is>
      </c>
      <c r="C269" t="inlineStr">
        <is>
          <t>Föryngringsavverkning</t>
        </is>
      </c>
      <c r="D269" s="1" t="n">
        <v>46037</v>
      </c>
      <c r="E269" s="1" t="n">
        <v>46274</v>
      </c>
      <c r="F269" t="inlineStr">
        <is>
          <t>DALARNAS LÄN</t>
        </is>
      </c>
      <c r="G269" t="inlineStr">
        <is>
          <t>BORLÄNGE</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20784-2024</t>
        </is>
      </c>
      <c r="B270" t="inlineStr">
        <is>
          <t>avverkningsanmälan</t>
        </is>
      </c>
      <c r="C270" t="inlineStr">
        <is>
          <t>Föryngringsavverkning</t>
        </is>
      </c>
      <c r="D270" s="1" t="n">
        <v>45437</v>
      </c>
      <c r="E270" s="1" t="n">
        <v>46274</v>
      </c>
      <c r="F270" t="inlineStr">
        <is>
          <t>DALARNAS LÄN</t>
        </is>
      </c>
      <c r="G270" t="inlineStr">
        <is>
          <t>BORLÄNGE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6896-2026</t>
        </is>
      </c>
      <c r="B271" t="inlineStr">
        <is>
          <t>avverkningsanmälan</t>
        </is>
      </c>
      <c r="C271" t="inlineStr">
        <is>
          <t>Föryngringsavverkning</t>
        </is>
      </c>
      <c r="D271" s="1" t="n">
        <v>46057</v>
      </c>
      <c r="E271" s="1" t="n">
        <v>46274</v>
      </c>
      <c r="F271" t="inlineStr">
        <is>
          <t>DALARNAS LÄN</t>
        </is>
      </c>
      <c r="G271" t="inlineStr">
        <is>
          <t>BORLÄNGE</t>
        </is>
      </c>
      <c r="I271" t="n">
        <v>14.4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51474-2025</t>
        </is>
      </c>
      <c r="B272" t="inlineStr">
        <is>
          <t>avverkningsanmälan</t>
        </is>
      </c>
      <c r="C272" t="inlineStr">
        <is>
          <t>Föryngringsavverkning</t>
        </is>
      </c>
      <c r="D272" s="1" t="n">
        <v>45950</v>
      </c>
      <c r="E272" s="1" t="n">
        <v>46274</v>
      </c>
      <c r="F272" t="inlineStr">
        <is>
          <t>DALARNAS LÄN</t>
        </is>
      </c>
      <c r="G272" t="inlineStr">
        <is>
          <t>BORLÄNGE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52086-2025</t>
        </is>
      </c>
      <c r="B273" t="inlineStr">
        <is>
          <t>avverkningsanmälan</t>
        </is>
      </c>
      <c r="C273" t="inlineStr">
        <is>
          <t>Föryngringsavverkning</t>
        </is>
      </c>
      <c r="D273" s="1" t="n">
        <v>45952</v>
      </c>
      <c r="E273" s="1" t="n">
        <v>46274</v>
      </c>
      <c r="F273" t="inlineStr">
        <is>
          <t>DALARNAS LÄN</t>
        </is>
      </c>
      <c r="G273" t="inlineStr">
        <is>
          <t>BORLÄNGE</t>
        </is>
      </c>
      <c r="H273" t="inlineStr">
        <is>
          <t>Bergvik skog väst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22429-2026</t>
        </is>
      </c>
      <c r="B274" t="inlineStr">
        <is>
          <t>avverkningsanmälan</t>
        </is>
      </c>
      <c r="C274" t="inlineStr">
        <is>
          <t>Föryngringsavverkning</t>
        </is>
      </c>
      <c r="D274" s="1" t="n">
        <v>46154</v>
      </c>
      <c r="E274" s="1" t="n">
        <v>46274</v>
      </c>
      <c r="F274" t="inlineStr">
        <is>
          <t>DALARNAS LÄN</t>
        </is>
      </c>
      <c r="G274" t="inlineStr">
        <is>
          <t>BORLÄNGE</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52563-2025</t>
        </is>
      </c>
      <c r="B275" t="inlineStr">
        <is>
          <t>avverkningsanmälan</t>
        </is>
      </c>
      <c r="C275" t="inlineStr">
        <is>
          <t>Föryngringsavverkning</t>
        </is>
      </c>
      <c r="D275" s="1" t="n">
        <v>45954</v>
      </c>
      <c r="E275" s="1" t="n">
        <v>46274</v>
      </c>
      <c r="F275" t="inlineStr">
        <is>
          <t>DALARNAS LÄN</t>
        </is>
      </c>
      <c r="G275" t="inlineStr">
        <is>
          <t>BORLÄNGE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52464-2025</t>
        </is>
      </c>
      <c r="B276" t="inlineStr">
        <is>
          <t>avverkningsanmälan</t>
        </is>
      </c>
      <c r="C276" t="inlineStr">
        <is>
          <t>Föryngringsavverkning</t>
        </is>
      </c>
      <c r="D276" s="1" t="n">
        <v>45954</v>
      </c>
      <c r="E276" s="1" t="n">
        <v>46274</v>
      </c>
      <c r="F276" t="inlineStr">
        <is>
          <t>DALARNAS LÄN</t>
        </is>
      </c>
      <c r="G276" t="inlineStr">
        <is>
          <t>BORLÄNGE</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53166-2025</t>
        </is>
      </c>
      <c r="B277" t="inlineStr">
        <is>
          <t>avverkningsanmälan</t>
        </is>
      </c>
      <c r="C277" t="inlineStr">
        <is>
          <t>Föryngringsavverkning</t>
        </is>
      </c>
      <c r="D277" s="1" t="n">
        <v>45958</v>
      </c>
      <c r="E277" s="1" t="n">
        <v>46274</v>
      </c>
      <c r="F277" t="inlineStr">
        <is>
          <t>DALARNAS LÄN</t>
        </is>
      </c>
      <c r="G277" t="inlineStr">
        <is>
          <t>BORLÄNGE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62214-2023</t>
        </is>
      </c>
      <c r="B278" t="inlineStr">
        <is>
          <t>avverkningsanmälan</t>
        </is>
      </c>
      <c r="C278" t="inlineStr">
        <is>
          <t>Föryngringsavverkning</t>
        </is>
      </c>
      <c r="D278" s="1" t="n">
        <v>45267</v>
      </c>
      <c r="E278" s="1" t="n">
        <v>46274</v>
      </c>
      <c r="F278" t="inlineStr">
        <is>
          <t>DALARNAS LÄN</t>
        </is>
      </c>
      <c r="G278" t="inlineStr">
        <is>
          <t>BORLÄNGE</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53162-2025</t>
        </is>
      </c>
      <c r="B279" t="inlineStr">
        <is>
          <t>avverkningsanmälan</t>
        </is>
      </c>
      <c r="C279" t="inlineStr">
        <is>
          <t>Föryngringsavverkning</t>
        </is>
      </c>
      <c r="D279" s="1" t="n">
        <v>45958</v>
      </c>
      <c r="E279" s="1" t="n">
        <v>46274</v>
      </c>
      <c r="F279" t="inlineStr">
        <is>
          <t>DALARNAS LÄN</t>
        </is>
      </c>
      <c r="G279" t="inlineStr">
        <is>
          <t>BORLÄNGE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22805-2026</t>
        </is>
      </c>
      <c r="B280" t="inlineStr">
        <is>
          <t>avverkningsanmälan</t>
        </is>
      </c>
      <c r="C280" t="inlineStr">
        <is>
          <t>Föryngringsavverkning</t>
        </is>
      </c>
      <c r="D280" s="1" t="n">
        <v>46159</v>
      </c>
      <c r="E280" s="1" t="n">
        <v>46274</v>
      </c>
      <c r="F280" t="inlineStr">
        <is>
          <t>DALARNAS LÄN</t>
        </is>
      </c>
      <c r="G280" t="inlineStr">
        <is>
          <t>BORLÄNGE</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50721-2025</t>
        </is>
      </c>
      <c r="B281" t="inlineStr">
        <is>
          <t>avverkningsanmälan</t>
        </is>
      </c>
      <c r="C281" t="inlineStr">
        <is>
          <t>Föryngringsavverkning</t>
        </is>
      </c>
      <c r="D281" s="1" t="n">
        <v>45946</v>
      </c>
      <c r="E281" s="1" t="n">
        <v>46274</v>
      </c>
      <c r="F281" t="inlineStr">
        <is>
          <t>DALARNAS LÄN</t>
        </is>
      </c>
      <c r="G281" t="inlineStr">
        <is>
          <t>BORLÄNGE</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43012-2023</t>
        </is>
      </c>
      <c r="B282" t="inlineStr">
        <is>
          <t>avverkningsanmälan</t>
        </is>
      </c>
      <c r="C282" t="inlineStr">
        <is>
          <t>Föryngringsavverkning</t>
        </is>
      </c>
      <c r="D282" s="1" t="n">
        <v>45182</v>
      </c>
      <c r="E282" s="1" t="n">
        <v>46274</v>
      </c>
      <c r="F282" t="inlineStr">
        <is>
          <t>DALARNAS LÄN</t>
        </is>
      </c>
      <c r="G282" t="inlineStr">
        <is>
          <t>BORLÄNGE</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54052-2025</t>
        </is>
      </c>
      <c r="B283" t="inlineStr">
        <is>
          <t>avverkningsanmälan</t>
        </is>
      </c>
      <c r="C283" t="inlineStr">
        <is>
          <t>Föryngringsavverkning</t>
        </is>
      </c>
      <c r="D283" s="1" t="n">
        <v>45963</v>
      </c>
      <c r="E283" s="1" t="n">
        <v>46274</v>
      </c>
      <c r="F283" t="inlineStr">
        <is>
          <t>DALARNAS LÄN</t>
        </is>
      </c>
      <c r="G283" t="inlineStr">
        <is>
          <t>BORLÄNGE</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23923-2026</t>
        </is>
      </c>
      <c r="B284" t="inlineStr">
        <is>
          <t>avverkningsanmälan</t>
        </is>
      </c>
      <c r="C284" t="inlineStr">
        <is>
          <t>Föryngringsavverkning</t>
        </is>
      </c>
      <c r="D284" s="1" t="n">
        <v>46167</v>
      </c>
      <c r="E284" s="1" t="n">
        <v>46274</v>
      </c>
      <c r="F284" t="inlineStr">
        <is>
          <t>DALARNAS LÄN</t>
        </is>
      </c>
      <c r="G284" t="inlineStr">
        <is>
          <t>BORLÄNGE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56200-2025</t>
        </is>
      </c>
      <c r="B285" t="inlineStr">
        <is>
          <t>avverkningsanmälan</t>
        </is>
      </c>
      <c r="C285" t="inlineStr">
        <is>
          <t>Avverkning för annat ändamål</t>
        </is>
      </c>
      <c r="D285" s="1" t="n">
        <v>45974</v>
      </c>
      <c r="E285" s="1" t="n">
        <v>46274</v>
      </c>
      <c r="F285" t="inlineStr">
        <is>
          <t>DALARNAS LÄN</t>
        </is>
      </c>
      <c r="G285" t="inlineStr">
        <is>
          <t>BORLÄNGE</t>
        </is>
      </c>
      <c r="H285" t="inlineStr">
        <is>
          <t>Bergvik skog väst AB</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56875-2025</t>
        </is>
      </c>
      <c r="B286" t="inlineStr">
        <is>
          <t>avverkningsanmälan</t>
        </is>
      </c>
      <c r="C286" t="inlineStr">
        <is>
          <t>Föryngringsavverkning</t>
        </is>
      </c>
      <c r="D286" s="1" t="n">
        <v>45978</v>
      </c>
      <c r="E286" s="1" t="n">
        <v>46274</v>
      </c>
      <c r="F286" t="inlineStr">
        <is>
          <t>DALARNAS LÄN</t>
        </is>
      </c>
      <c r="G286" t="inlineStr">
        <is>
          <t>BORLÄNGE</t>
        </is>
      </c>
      <c r="H286" t="inlineStr">
        <is>
          <t>Bergvik skog väst AB</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24676-2026</t>
        </is>
      </c>
      <c r="B287" t="inlineStr">
        <is>
          <t>avverkningsanmälan</t>
        </is>
      </c>
      <c r="C287" t="inlineStr">
        <is>
          <t>Föryngringsavverkning</t>
        </is>
      </c>
      <c r="D287" s="1" t="n">
        <v>46171</v>
      </c>
      <c r="E287" s="1" t="n">
        <v>46274</v>
      </c>
      <c r="F287" t="inlineStr">
        <is>
          <t>DALARNAS LÄN</t>
        </is>
      </c>
      <c r="G287" t="inlineStr">
        <is>
          <t>BORLÄNGE</t>
        </is>
      </c>
      <c r="H287" t="inlineStr">
        <is>
          <t>Bergvik skog väst AB</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24664-2026</t>
        </is>
      </c>
      <c r="B288" t="inlineStr">
        <is>
          <t>avverkningsanmälan</t>
        </is>
      </c>
      <c r="C288" t="inlineStr">
        <is>
          <t>Föryngringsavverkning</t>
        </is>
      </c>
      <c r="D288" s="1" t="n">
        <v>46171</v>
      </c>
      <c r="E288" s="1" t="n">
        <v>46274</v>
      </c>
      <c r="F288" t="inlineStr">
        <is>
          <t>DALARNAS LÄN</t>
        </is>
      </c>
      <c r="G288" t="inlineStr">
        <is>
          <t>BORLÄNGE</t>
        </is>
      </c>
      <c r="H288" t="inlineStr">
        <is>
          <t>Bergvik skog väst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57664-2025</t>
        </is>
      </c>
      <c r="B289" t="inlineStr">
        <is>
          <t>avverkningsanmälan</t>
        </is>
      </c>
      <c r="C289" t="inlineStr">
        <is>
          <t>Avverkning för annat ändamål</t>
        </is>
      </c>
      <c r="D289" s="1" t="n">
        <v>45981</v>
      </c>
      <c r="E289" s="1" t="n">
        <v>46274</v>
      </c>
      <c r="F289" t="inlineStr">
        <is>
          <t>DALARNAS LÄN</t>
        </is>
      </c>
      <c r="G289" t="inlineStr">
        <is>
          <t>BORLÄNGE</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8554-2023</t>
        </is>
      </c>
      <c r="B290" t="inlineStr">
        <is>
          <t>avverkningsanmälan</t>
        </is>
      </c>
      <c r="C290" t="inlineStr">
        <is>
          <t>Föryngringsavverkning</t>
        </is>
      </c>
      <c r="D290" s="1" t="n">
        <v>44977</v>
      </c>
      <c r="E290" s="1" t="n">
        <v>46274</v>
      </c>
      <c r="F290" t="inlineStr">
        <is>
          <t>DALARNAS LÄN</t>
        </is>
      </c>
      <c r="G290" t="inlineStr">
        <is>
          <t>BORLÄNGE</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58002-2025</t>
        </is>
      </c>
      <c r="B291" t="inlineStr">
        <is>
          <t>avverkningsanmälan</t>
        </is>
      </c>
      <c r="C291" t="inlineStr">
        <is>
          <t>Föryngringsavverkning</t>
        </is>
      </c>
      <c r="D291" s="1" t="n">
        <v>45982</v>
      </c>
      <c r="E291" s="1" t="n">
        <v>46274</v>
      </c>
      <c r="F291" t="inlineStr">
        <is>
          <t>DALARNAS LÄN</t>
        </is>
      </c>
      <c r="G291" t="inlineStr">
        <is>
          <t>BORLÄNGE</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68735-2021</t>
        </is>
      </c>
      <c r="B292" t="inlineStr">
        <is>
          <t>avverkningsanmälan</t>
        </is>
      </c>
      <c r="C292" t="inlineStr">
        <is>
          <t>Föryngringsavverkning</t>
        </is>
      </c>
      <c r="D292" s="1" t="n">
        <v>44529</v>
      </c>
      <c r="E292" s="1" t="n">
        <v>46274</v>
      </c>
      <c r="F292" t="inlineStr">
        <is>
          <t>DALARNAS LÄN</t>
        </is>
      </c>
      <c r="G292" t="inlineStr">
        <is>
          <t>BORLÄNGE</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25308-2026</t>
        </is>
      </c>
      <c r="B293" t="inlineStr">
        <is>
          <t>avverkningsanmälan</t>
        </is>
      </c>
      <c r="C293" t="inlineStr">
        <is>
          <t>Föryngringsavverkning</t>
        </is>
      </c>
      <c r="D293" s="1" t="n">
        <v>46176</v>
      </c>
      <c r="E293" s="1" t="n">
        <v>46274</v>
      </c>
      <c r="F293" t="inlineStr">
        <is>
          <t>DALARNAS LÄN</t>
        </is>
      </c>
      <c r="G293" t="inlineStr">
        <is>
          <t>BORLÄNGE</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58706-2025</t>
        </is>
      </c>
      <c r="B294" t="inlineStr">
        <is>
          <t>avverkningsanmälan</t>
        </is>
      </c>
      <c r="C294" t="inlineStr">
        <is>
          <t>Föryngringsavverkning</t>
        </is>
      </c>
      <c r="D294" s="1" t="n">
        <v>45986</v>
      </c>
      <c r="E294" s="1" t="n">
        <v>46274</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25305-2026</t>
        </is>
      </c>
      <c r="B295" t="inlineStr">
        <is>
          <t>avverkningsanmälan</t>
        </is>
      </c>
      <c r="C295" t="inlineStr">
        <is>
          <t>Föryngringsavverkning</t>
        </is>
      </c>
      <c r="D295" s="1" t="n">
        <v>46176</v>
      </c>
      <c r="E295" s="1" t="n">
        <v>46274</v>
      </c>
      <c r="F295" t="inlineStr">
        <is>
          <t>DALARNAS LÄN</t>
        </is>
      </c>
      <c r="G295" t="inlineStr">
        <is>
          <t>BORLÄNGE</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51716-2024</t>
        </is>
      </c>
      <c r="B296" t="inlineStr">
        <is>
          <t>avverkningsanmälan</t>
        </is>
      </c>
      <c r="C296" t="inlineStr">
        <is>
          <t>Föryngringsavverkning</t>
        </is>
      </c>
      <c r="D296" s="1" t="n">
        <v>45607</v>
      </c>
      <c r="E296" s="1" t="n">
        <v>46274</v>
      </c>
      <c r="F296" t="inlineStr">
        <is>
          <t>DALARNAS LÄN</t>
        </is>
      </c>
      <c r="G296" t="inlineStr">
        <is>
          <t>BORLÄNGE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31530-2023</t>
        </is>
      </c>
      <c r="B297" t="inlineStr">
        <is>
          <t>avverkningsanmälan</t>
        </is>
      </c>
      <c r="C297" t="inlineStr">
        <is>
          <t>Föryngringsavverkning</t>
        </is>
      </c>
      <c r="D297" s="1" t="n">
        <v>45116</v>
      </c>
      <c r="E297" s="1" t="n">
        <v>46274</v>
      </c>
      <c r="F297" t="inlineStr">
        <is>
          <t>DALARNAS LÄN</t>
        </is>
      </c>
      <c r="G297" t="inlineStr">
        <is>
          <t>BORLÄNGE</t>
        </is>
      </c>
      <c r="I297" t="n">
        <v>10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26341-2026</t>
        </is>
      </c>
      <c r="B298" t="inlineStr">
        <is>
          <t>avverkningsanmälan</t>
        </is>
      </c>
      <c r="C298" t="inlineStr">
        <is>
          <t>Föryngringsavverkning</t>
        </is>
      </c>
      <c r="D298" s="1" t="n">
        <v>46182</v>
      </c>
      <c r="E298" s="1" t="n">
        <v>46274</v>
      </c>
      <c r="F298" t="inlineStr">
        <is>
          <t>DALARNAS LÄN</t>
        </is>
      </c>
      <c r="G298" t="inlineStr">
        <is>
          <t>BORLÄNGE</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61751-2025</t>
        </is>
      </c>
      <c r="B299" t="inlineStr">
        <is>
          <t>avverkningsanmälan</t>
        </is>
      </c>
      <c r="C299" t="inlineStr">
        <is>
          <t>Föryngringsavverkning</t>
        </is>
      </c>
      <c r="D299" s="1" t="n">
        <v>46002</v>
      </c>
      <c r="E299" s="1" t="n">
        <v>46274</v>
      </c>
      <c r="F299" t="inlineStr">
        <is>
          <t>DALARNAS LÄN</t>
        </is>
      </c>
      <c r="G299" t="inlineStr">
        <is>
          <t>BORLÄNGE</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26934-2026</t>
        </is>
      </c>
      <c r="B300" t="inlineStr">
        <is>
          <t>avverkningsanmälan</t>
        </is>
      </c>
      <c r="C300" t="inlineStr">
        <is>
          <t>Föryngringsavverkning</t>
        </is>
      </c>
      <c r="D300" s="1" t="n">
        <v>46185</v>
      </c>
      <c r="E300" s="1" t="n">
        <v>46274</v>
      </c>
      <c r="F300" t="inlineStr">
        <is>
          <t>DALARNAS LÄN</t>
        </is>
      </c>
      <c r="G300" t="inlineStr">
        <is>
          <t>BORLÄNGE</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34334-2023</t>
        </is>
      </c>
      <c r="B301" t="inlineStr">
        <is>
          <t>avverkningsanmälan</t>
        </is>
      </c>
      <c r="C301" t="inlineStr">
        <is>
          <t>Föryngringsavverkning</t>
        </is>
      </c>
      <c r="D301" s="1" t="n">
        <v>45139</v>
      </c>
      <c r="E301" s="1" t="n">
        <v>46274</v>
      </c>
      <c r="F301" t="inlineStr">
        <is>
          <t>DALARNAS LÄN</t>
        </is>
      </c>
      <c r="G301" t="inlineStr">
        <is>
          <t>BORLÄNGE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32194-2026</t>
        </is>
      </c>
      <c r="B302" t="inlineStr">
        <is>
          <t>avverkningsanmälan</t>
        </is>
      </c>
      <c r="C302" t="inlineStr">
        <is>
          <t>Föryngringsavverkning</t>
        </is>
      </c>
      <c r="D302" s="1" t="n">
        <v>46237</v>
      </c>
      <c r="E302" s="1" t="n">
        <v>46274</v>
      </c>
      <c r="F302" t="inlineStr">
        <is>
          <t>DALARNAS LÄN</t>
        </is>
      </c>
      <c r="G302" t="inlineStr">
        <is>
          <t>BORLÄNGE</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63869-2025</t>
        </is>
      </c>
      <c r="B303" t="inlineStr">
        <is>
          <t>avverkningsanmälan</t>
        </is>
      </c>
      <c r="C303" t="inlineStr">
        <is>
          <t>Föryngringsavverkning</t>
        </is>
      </c>
      <c r="D303" s="1" t="n">
        <v>46020</v>
      </c>
      <c r="E303" s="1" t="n">
        <v>46274</v>
      </c>
      <c r="F303" t="inlineStr">
        <is>
          <t>DALARNAS LÄN</t>
        </is>
      </c>
      <c r="G303" t="inlineStr">
        <is>
          <t>BORLÄNGE</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349-2026</t>
        </is>
      </c>
      <c r="B304" t="inlineStr">
        <is>
          <t>avverkningsanmälan</t>
        </is>
      </c>
      <c r="C304" t="inlineStr">
        <is>
          <t>Föryngringsavverkning</t>
        </is>
      </c>
      <c r="D304" s="1" t="n">
        <v>46027</v>
      </c>
      <c r="E304" s="1" t="n">
        <v>46274</v>
      </c>
      <c r="F304" t="inlineStr">
        <is>
          <t>DALARNAS LÄN</t>
        </is>
      </c>
      <c r="G304" t="inlineStr">
        <is>
          <t>BORLÄNGE</t>
        </is>
      </c>
      <c r="I304" t="n">
        <v>17.3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470-2026</t>
        </is>
      </c>
      <c r="B305" t="inlineStr">
        <is>
          <t>avverkningsanmälan</t>
        </is>
      </c>
      <c r="C305" t="inlineStr">
        <is>
          <t>Föryngringsavverkning</t>
        </is>
      </c>
      <c r="D305" s="1" t="n">
        <v>46029</v>
      </c>
      <c r="E305" s="1" t="n">
        <v>46274</v>
      </c>
      <c r="F305" t="inlineStr">
        <is>
          <t>DALARNAS LÄN</t>
        </is>
      </c>
      <c r="G305" t="inlineStr">
        <is>
          <t>BORLÄNGE</t>
        </is>
      </c>
      <c r="H305" t="inlineStr">
        <is>
          <t>Bergvik skog väst AB</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32358-2026</t>
        </is>
      </c>
      <c r="B306" t="inlineStr">
        <is>
          <t>avverkningsanmälan</t>
        </is>
      </c>
      <c r="C306" t="inlineStr">
        <is>
          <t>Föryngringsavverkning</t>
        </is>
      </c>
      <c r="D306" s="1" t="n">
        <v>46238</v>
      </c>
      <c r="E306" s="1" t="n">
        <v>46274</v>
      </c>
      <c r="F306" t="inlineStr">
        <is>
          <t>DALARNAS LÄN</t>
        </is>
      </c>
      <c r="G306" t="inlineStr">
        <is>
          <t>BORLÄNGE</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1030-2026</t>
        </is>
      </c>
      <c r="B307" t="inlineStr">
        <is>
          <t>avverkningsanmälan</t>
        </is>
      </c>
      <c r="C307" t="inlineStr">
        <is>
          <t>Föryngringsavverkning</t>
        </is>
      </c>
      <c r="D307" s="1" t="n">
        <v>46030</v>
      </c>
      <c r="E307" s="1" t="n">
        <v>46274</v>
      </c>
      <c r="F307" t="inlineStr">
        <is>
          <t>DALARNAS LÄN</t>
        </is>
      </c>
      <c r="G307" t="inlineStr">
        <is>
          <t>BORLÄNGE</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1023-2026</t>
        </is>
      </c>
      <c r="B308" t="inlineStr">
        <is>
          <t>avverkningsanmälan</t>
        </is>
      </c>
      <c r="C308" t="inlineStr">
        <is>
          <t>Föryngringsavverkning</t>
        </is>
      </c>
      <c r="D308" s="1" t="n">
        <v>46030</v>
      </c>
      <c r="E308" s="1" t="n">
        <v>46274</v>
      </c>
      <c r="F308" t="inlineStr">
        <is>
          <t>DALARNAS LÄN</t>
        </is>
      </c>
      <c r="G308" t="inlineStr">
        <is>
          <t>BORLÄNGE</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1111-2026</t>
        </is>
      </c>
      <c r="B309" t="inlineStr">
        <is>
          <t>avverkningsanmälan</t>
        </is>
      </c>
      <c r="C309" t="inlineStr">
        <is>
          <t>Föryngringsavverkning</t>
        </is>
      </c>
      <c r="D309" s="1" t="n">
        <v>46030</v>
      </c>
      <c r="E309" s="1" t="n">
        <v>46274</v>
      </c>
      <c r="F309" t="inlineStr">
        <is>
          <t>DALARNAS LÄN</t>
        </is>
      </c>
      <c r="G309" t="inlineStr">
        <is>
          <t>BORLÄNGE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1831-2026</t>
        </is>
      </c>
      <c r="B310" t="inlineStr">
        <is>
          <t>avverkningsanmälan</t>
        </is>
      </c>
      <c r="C310" t="inlineStr">
        <is>
          <t>Föryngringsavverkning</t>
        </is>
      </c>
      <c r="D310" s="1" t="n">
        <v>46035</v>
      </c>
      <c r="E310" s="1" t="n">
        <v>46274</v>
      </c>
      <c r="F310" t="inlineStr">
        <is>
          <t>DALARNAS LÄN</t>
        </is>
      </c>
      <c r="G310" t="inlineStr">
        <is>
          <t>BORLÄNGE</t>
        </is>
      </c>
      <c r="H310" t="inlineStr">
        <is>
          <t>Övriga statliga verk och myndigheter</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17569-2023</t>
        </is>
      </c>
      <c r="B311" t="inlineStr">
        <is>
          <t>avverkningsanmälan</t>
        </is>
      </c>
      <c r="C311" t="inlineStr">
        <is>
          <t>Avverkning för annat ändamål</t>
        </is>
      </c>
      <c r="D311" s="1" t="n">
        <v>45036</v>
      </c>
      <c r="E311" s="1" t="n">
        <v>46274</v>
      </c>
      <c r="F311" t="inlineStr">
        <is>
          <t>DALARNAS LÄN</t>
        </is>
      </c>
      <c r="G311" t="inlineStr">
        <is>
          <t>BORLÄNGE</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2399-2026</t>
        </is>
      </c>
      <c r="B312" t="inlineStr">
        <is>
          <t>avverkningsanmälan</t>
        </is>
      </c>
      <c r="C312" t="inlineStr">
        <is>
          <t>Föryngringsavverkning</t>
        </is>
      </c>
      <c r="D312" s="1" t="n">
        <v>46036</v>
      </c>
      <c r="E312" s="1" t="n">
        <v>46274</v>
      </c>
      <c r="F312" t="inlineStr">
        <is>
          <t>DALARNAS LÄN</t>
        </is>
      </c>
      <c r="G312" t="inlineStr">
        <is>
          <t>BORLÄNGE</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45488-2023</t>
        </is>
      </c>
      <c r="B313" t="inlineStr">
        <is>
          <t>avverkningsanmälan</t>
        </is>
      </c>
      <c r="C313" t="inlineStr">
        <is>
          <t>Föryngringsavverkning</t>
        </is>
      </c>
      <c r="D313" s="1" t="n">
        <v>45194</v>
      </c>
      <c r="E313" s="1" t="n">
        <v>46274</v>
      </c>
      <c r="F313" t="inlineStr">
        <is>
          <t>DALARNAS LÄN</t>
        </is>
      </c>
      <c r="G313" t="inlineStr">
        <is>
          <t>BORLÄNGE</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2244-2026</t>
        </is>
      </c>
      <c r="B314" t="inlineStr">
        <is>
          <t>avverkningsanmälan</t>
        </is>
      </c>
      <c r="C314" t="inlineStr">
        <is>
          <t>Föryngringsavverkning</t>
        </is>
      </c>
      <c r="D314" s="1" t="n">
        <v>46036</v>
      </c>
      <c r="E314" s="1" t="n">
        <v>46274</v>
      </c>
      <c r="F314" t="inlineStr">
        <is>
          <t>DALARNAS LÄN</t>
        </is>
      </c>
      <c r="G314" t="inlineStr">
        <is>
          <t>BORLÄNGE</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2160-2026</t>
        </is>
      </c>
      <c r="B315" t="inlineStr">
        <is>
          <t>avverkningsanmälan</t>
        </is>
      </c>
      <c r="C315" t="inlineStr">
        <is>
          <t>Föryngringsavverkning</t>
        </is>
      </c>
      <c r="D315" s="1" t="n">
        <v>46036</v>
      </c>
      <c r="E315" s="1" t="n">
        <v>46274</v>
      </c>
      <c r="F315" t="inlineStr">
        <is>
          <t>DALARNAS LÄN</t>
        </is>
      </c>
      <c r="G315" t="inlineStr">
        <is>
          <t>BORLÄNGE</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33127-2026</t>
        </is>
      </c>
      <c r="B316" t="inlineStr">
        <is>
          <t>avverkningsanmälan</t>
        </is>
      </c>
      <c r="C316" t="inlineStr">
        <is>
          <t>Föryngringsavverkning</t>
        </is>
      </c>
      <c r="D316" s="1" t="n">
        <v>46245</v>
      </c>
      <c r="E316" s="1" t="n">
        <v>46274</v>
      </c>
      <c r="F316" t="inlineStr">
        <is>
          <t>DALARNAS LÄN</t>
        </is>
      </c>
      <c r="G316" t="inlineStr">
        <is>
          <t>BORLÄNGE</t>
        </is>
      </c>
      <c r="I316" t="n">
        <v>0.4</v>
      </c>
      <c r="J316" t="n">
        <v>0</v>
      </c>
      <c r="K316" t="n">
        <v>0</v>
      </c>
      <c r="L316" t="n">
        <v>0</v>
      </c>
      <c r="M316" t="n">
        <v>0</v>
      </c>
      <c r="N316" t="n">
        <v>0</v>
      </c>
      <c r="O316" t="n">
        <v>0</v>
      </c>
      <c r="P316" t="n">
        <v>0</v>
      </c>
      <c r="Q316" t="n">
        <v>0</v>
      </c>
      <c r="R316" t="n">
        <v>0</v>
      </c>
      <c r="S316" t="n">
        <v>0</v>
      </c>
      <c r="T316" t="n">
        <v>0</v>
      </c>
      <c r="U316" t="n">
        <v>0</v>
      </c>
      <c r="V316" s="2" t="inlineStr"/>
      <c r="Z316">
        <f>HYPERLINK("https://klasma.github.io/Logging_2081/knärot/A 33127-2026 karta knärot.png", "A 33127-2026")</f>
        <v/>
      </c>
      <c r="AA316">
        <f>HYPERLINK("https://klasma.github.io/Logging_2081/klagomål/A 33127-2026 FSC-klagomål.docx", "A 33127-2026")</f>
        <v/>
      </c>
      <c r="AB316">
        <f>HYPERLINK("https://klasma.github.io/Logging_2081/klagomålsmail/A 33127-2026 FSC-klagomål mail.docx", "A 33127-2026")</f>
        <v/>
      </c>
      <c r="AC316">
        <f>HYPERLINK("https://klasma.github.io/Logging_2081/tillsyn/A 33127-2026 tillsynsbegäran.docx", "A 33127-2026")</f>
        <v/>
      </c>
      <c r="AD316">
        <f>HYPERLINK("https://klasma.github.io/Logging_2081/tillsynsmail/A 33127-2026 tillsynsbegäran mail.docx", "A 33127-2026")</f>
        <v/>
      </c>
    </row>
    <row r="317" ht="15" customHeight="1">
      <c r="A317" t="inlineStr">
        <is>
          <t>A 1599-2026</t>
        </is>
      </c>
      <c r="B317" t="inlineStr">
        <is>
          <t>avverkningsanmälan</t>
        </is>
      </c>
      <c r="C317" t="inlineStr">
        <is>
          <t>Föryngringsavverkning</t>
        </is>
      </c>
      <c r="D317" s="1" t="n">
        <v>46031</v>
      </c>
      <c r="E317" s="1" t="n">
        <v>46274</v>
      </c>
      <c r="F317" t="inlineStr">
        <is>
          <t>DALARNAS LÄN</t>
        </is>
      </c>
      <c r="G317" t="inlineStr">
        <is>
          <t>BORLÄNGE</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1596-2026</t>
        </is>
      </c>
      <c r="B318" t="inlineStr">
        <is>
          <t>avverkningsanmälan</t>
        </is>
      </c>
      <c r="C318" t="inlineStr">
        <is>
          <t>Föryngringsavverkning</t>
        </is>
      </c>
      <c r="D318" s="1" t="n">
        <v>46031</v>
      </c>
      <c r="E318" s="1" t="n">
        <v>46274</v>
      </c>
      <c r="F318" t="inlineStr">
        <is>
          <t>DALARNAS LÄN</t>
        </is>
      </c>
      <c r="G318" t="inlineStr">
        <is>
          <t>BORLÄNGE</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5133-2026</t>
        </is>
      </c>
      <c r="B319" t="inlineStr">
        <is>
          <t>avverkningsanmälan</t>
        </is>
      </c>
      <c r="C319" t="inlineStr">
        <is>
          <t>Föryngringsavverkning</t>
        </is>
      </c>
      <c r="D319" s="1" t="n">
        <v>46049</v>
      </c>
      <c r="E319" s="1" t="n">
        <v>46274</v>
      </c>
      <c r="F319" t="inlineStr">
        <is>
          <t>DALARNAS LÄN</t>
        </is>
      </c>
      <c r="G319" t="inlineStr">
        <is>
          <t>BORLÄNGE</t>
        </is>
      </c>
      <c r="I319" t="n">
        <v>6.6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4567-2026</t>
        </is>
      </c>
      <c r="B320" t="inlineStr">
        <is>
          <t>avverkningsanmälan</t>
        </is>
      </c>
      <c r="C320" t="inlineStr">
        <is>
          <t>Föryngringsavverkning</t>
        </is>
      </c>
      <c r="D320" s="1" t="n">
        <v>46047</v>
      </c>
      <c r="E320" s="1" t="n">
        <v>46274</v>
      </c>
      <c r="F320" t="inlineStr">
        <is>
          <t>DALARNAS LÄN</t>
        </is>
      </c>
      <c r="G320" t="inlineStr">
        <is>
          <t>BORLÄNGE</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25389-2022</t>
        </is>
      </c>
      <c r="B321" t="inlineStr">
        <is>
          <t>avverkningsanmälan</t>
        </is>
      </c>
      <c r="C321" t="inlineStr">
        <is>
          <t>Föryngringsavverkning</t>
        </is>
      </c>
      <c r="D321" s="1" t="n">
        <v>44732</v>
      </c>
      <c r="E321" s="1" t="n">
        <v>46274</v>
      </c>
      <c r="F321" t="inlineStr">
        <is>
          <t>DALARNAS LÄN</t>
        </is>
      </c>
      <c r="G321" t="inlineStr">
        <is>
          <t>BORLÄNGE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61288-2021</t>
        </is>
      </c>
      <c r="B322" t="inlineStr">
        <is>
          <t>avverkningsanmälan</t>
        </is>
      </c>
      <c r="C322" t="inlineStr">
        <is>
          <t>Föryngringsavverkning</t>
        </is>
      </c>
      <c r="D322" s="1" t="n">
        <v>44498</v>
      </c>
      <c r="E322" s="1" t="n">
        <v>46274</v>
      </c>
      <c r="F322" t="inlineStr">
        <is>
          <t>DALARNAS LÄN</t>
        </is>
      </c>
      <c r="G322" t="inlineStr">
        <is>
          <t>BORLÄNGE</t>
        </is>
      </c>
      <c r="I322" t="n">
        <v>11.7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33700-2026</t>
        </is>
      </c>
      <c r="B323" t="inlineStr">
        <is>
          <t>avverkningsanmälan</t>
        </is>
      </c>
      <c r="C323" t="inlineStr">
        <is>
          <t>Föryngringsavverkning</t>
        </is>
      </c>
      <c r="D323" s="1" t="n">
        <v>46250</v>
      </c>
      <c r="E323" s="1" t="n">
        <v>46274</v>
      </c>
      <c r="F323" t="inlineStr">
        <is>
          <t>DALARNAS LÄN</t>
        </is>
      </c>
      <c r="G323" t="inlineStr">
        <is>
          <t>BORLÄNGE</t>
        </is>
      </c>
      <c r="H323" t="inlineStr">
        <is>
          <t>Kommuner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6331-2026</t>
        </is>
      </c>
      <c r="B324" t="inlineStr">
        <is>
          <t>avverkningsanmälan</t>
        </is>
      </c>
      <c r="C324" t="inlineStr">
        <is>
          <t>Föryngringsavverkning</t>
        </is>
      </c>
      <c r="D324" s="1" t="n">
        <v>46055</v>
      </c>
      <c r="E324" s="1" t="n">
        <v>46274</v>
      </c>
      <c r="F324" t="inlineStr">
        <is>
          <t>DALARNAS LÄN</t>
        </is>
      </c>
      <c r="G324" t="inlineStr">
        <is>
          <t>BORLÄNGE</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60086-2023</t>
        </is>
      </c>
      <c r="B325" t="inlineStr">
        <is>
          <t>avverkningsanmälan</t>
        </is>
      </c>
      <c r="C325" t="inlineStr">
        <is>
          <t>Föryngringsavverkning</t>
        </is>
      </c>
      <c r="D325" s="1" t="n">
        <v>45258</v>
      </c>
      <c r="E325" s="1" t="n">
        <v>46274</v>
      </c>
      <c r="F325" t="inlineStr">
        <is>
          <t>DALARNAS LÄN</t>
        </is>
      </c>
      <c r="G325" t="inlineStr">
        <is>
          <t>BORLÄNGE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44896-2024</t>
        </is>
      </c>
      <c r="B326" t="inlineStr">
        <is>
          <t>avverkningsanmälan</t>
        </is>
      </c>
      <c r="C326" t="inlineStr">
        <is>
          <t>Föryngringsavverkning</t>
        </is>
      </c>
      <c r="D326" s="1" t="n">
        <v>45575</v>
      </c>
      <c r="E326" s="1" t="n">
        <v>46274</v>
      </c>
      <c r="F326" t="inlineStr">
        <is>
          <t>DALARNAS LÄN</t>
        </is>
      </c>
      <c r="G326" t="inlineStr">
        <is>
          <t>BORLÄNGE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7196-2026</t>
        </is>
      </c>
      <c r="B327" t="inlineStr">
        <is>
          <t>avverkningsanmälan</t>
        </is>
      </c>
      <c r="C327" t="inlineStr">
        <is>
          <t>Föryngringsavverkning</t>
        </is>
      </c>
      <c r="D327" s="1" t="n">
        <v>46058</v>
      </c>
      <c r="E327" s="1" t="n">
        <v>46274</v>
      </c>
      <c r="F327" t="inlineStr">
        <is>
          <t>DALARNAS LÄN</t>
        </is>
      </c>
      <c r="G327" t="inlineStr">
        <is>
          <t>BORLÄNGE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7198-2026</t>
        </is>
      </c>
      <c r="B328" t="inlineStr">
        <is>
          <t>avverkningsanmälan</t>
        </is>
      </c>
      <c r="C328" t="inlineStr">
        <is>
          <t>Föryngringsavverkning</t>
        </is>
      </c>
      <c r="D328" s="1" t="n">
        <v>46058</v>
      </c>
      <c r="E328" s="1" t="n">
        <v>46274</v>
      </c>
      <c r="F328" t="inlineStr">
        <is>
          <t>DALARNAS LÄN</t>
        </is>
      </c>
      <c r="G328" t="inlineStr">
        <is>
          <t>BORLÄNGE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10498-2023</t>
        </is>
      </c>
      <c r="B329" t="inlineStr">
        <is>
          <t>avverkningsanmälan</t>
        </is>
      </c>
      <c r="C329" t="inlineStr">
        <is>
          <t>Föryngringsavverkning</t>
        </is>
      </c>
      <c r="D329" s="1" t="n">
        <v>44987</v>
      </c>
      <c r="E329" s="1" t="n">
        <v>46274</v>
      </c>
      <c r="F329" t="inlineStr">
        <is>
          <t>DALARNAS LÄN</t>
        </is>
      </c>
      <c r="G329" t="inlineStr">
        <is>
          <t>BORLÄNGE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8116-2026</t>
        </is>
      </c>
      <c r="B330" t="inlineStr">
        <is>
          <t>avverkningsanmälan</t>
        </is>
      </c>
      <c r="C330" t="inlineStr">
        <is>
          <t>Föryngringsavverkning</t>
        </is>
      </c>
      <c r="D330" s="1" t="n">
        <v>46062</v>
      </c>
      <c r="E330" s="1" t="n">
        <v>46274</v>
      </c>
      <c r="F330" t="inlineStr">
        <is>
          <t>DALARNAS LÄN</t>
        </is>
      </c>
      <c r="G330" t="inlineStr">
        <is>
          <t>BORLÄNGE</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56350-2024</t>
        </is>
      </c>
      <c r="B331" t="inlineStr">
        <is>
          <t>avverkningsanmälan</t>
        </is>
      </c>
      <c r="C331" t="inlineStr">
        <is>
          <t>Föryngringsavverkning</t>
        </is>
      </c>
      <c r="D331" s="1" t="n">
        <v>45624</v>
      </c>
      <c r="E331" s="1" t="n">
        <v>46274</v>
      </c>
      <c r="F331" t="inlineStr">
        <is>
          <t>DALARNAS LÄN</t>
        </is>
      </c>
      <c r="G331" t="inlineStr">
        <is>
          <t>BORLÄNGE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3655-2026</t>
        </is>
      </c>
      <c r="B332" t="inlineStr">
        <is>
          <t>avverkningsanmälan</t>
        </is>
      </c>
      <c r="C332" t="inlineStr">
        <is>
          <t>Föryngringsavverkning</t>
        </is>
      </c>
      <c r="D332" s="1" t="n">
        <v>46043</v>
      </c>
      <c r="E332" s="1" t="n">
        <v>46274</v>
      </c>
      <c r="F332" t="inlineStr">
        <is>
          <t>DALARNAS LÄN</t>
        </is>
      </c>
      <c r="G332" t="inlineStr">
        <is>
          <t>BORLÄNGE</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7997-2026</t>
        </is>
      </c>
      <c r="B333" t="inlineStr">
        <is>
          <t>avverkningsanmälan</t>
        </is>
      </c>
      <c r="C333" t="inlineStr">
        <is>
          <t>Föryngringsavverkning</t>
        </is>
      </c>
      <c r="D333" s="1" t="n">
        <v>46063</v>
      </c>
      <c r="E333" s="1" t="n">
        <v>46274</v>
      </c>
      <c r="F333" t="inlineStr">
        <is>
          <t>DALARNAS LÄN</t>
        </is>
      </c>
      <c r="G333" t="inlineStr">
        <is>
          <t>BORLÄNGE</t>
        </is>
      </c>
      <c r="H333" t="inlineStr">
        <is>
          <t>Övriga statliga verk och myndigheter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8333-2026</t>
        </is>
      </c>
      <c r="B334" t="inlineStr">
        <is>
          <t>avverkningsanmälan</t>
        </is>
      </c>
      <c r="C334" t="inlineStr">
        <is>
          <t>Föryngringsavverkning</t>
        </is>
      </c>
      <c r="D334" s="1" t="n">
        <v>46064</v>
      </c>
      <c r="E334" s="1" t="n">
        <v>46274</v>
      </c>
      <c r="F334" t="inlineStr">
        <is>
          <t>DALARNAS LÄN</t>
        </is>
      </c>
      <c r="G334" t="inlineStr">
        <is>
          <t>BORLÄNGE</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8689-2026</t>
        </is>
      </c>
      <c r="B335" t="inlineStr">
        <is>
          <t>avverkningsanmälan</t>
        </is>
      </c>
      <c r="C335" t="inlineStr">
        <is>
          <t>Föryngringsavverkning</t>
        </is>
      </c>
      <c r="D335" s="1" t="n">
        <v>46066</v>
      </c>
      <c r="E335" s="1" t="n">
        <v>46274</v>
      </c>
      <c r="F335" t="inlineStr">
        <is>
          <t>DALARNAS LÄN</t>
        </is>
      </c>
      <c r="G335" t="inlineStr">
        <is>
          <t>BORLÄNGE</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70621-2021</t>
        </is>
      </c>
      <c r="B336" t="inlineStr">
        <is>
          <t>avverkningsanmälan</t>
        </is>
      </c>
      <c r="C336" t="inlineStr">
        <is>
          <t>Föryngringsavverkning</t>
        </is>
      </c>
      <c r="D336" s="1" t="n">
        <v>44537</v>
      </c>
      <c r="E336" s="1" t="n">
        <v>46274</v>
      </c>
      <c r="F336" t="inlineStr">
        <is>
          <t>DALARNAS LÄN</t>
        </is>
      </c>
      <c r="G336" t="inlineStr">
        <is>
          <t>BORLÄNGE</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8877-2026</t>
        </is>
      </c>
      <c r="B337" t="inlineStr">
        <is>
          <t>avverkningsanmälan</t>
        </is>
      </c>
      <c r="C337" t="inlineStr">
        <is>
          <t>Föryngringsavverkning</t>
        </is>
      </c>
      <c r="D337" s="1" t="n">
        <v>46067</v>
      </c>
      <c r="E337" s="1" t="n">
        <v>46274</v>
      </c>
      <c r="F337" t="inlineStr">
        <is>
          <t>DALARNAS LÄN</t>
        </is>
      </c>
      <c r="G337" t="inlineStr">
        <is>
          <t>BORLÄNGE</t>
        </is>
      </c>
      <c r="H337" t="inlineStr">
        <is>
          <t>Bergvik skog väst AB</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30457-2026</t>
        </is>
      </c>
      <c r="B338" t="inlineStr">
        <is>
          <t>avverkningsanmälan</t>
        </is>
      </c>
      <c r="C338" t="inlineStr">
        <is>
          <t>Föryngringsavverkning</t>
        </is>
      </c>
      <c r="D338" s="1" t="n">
        <v>46209</v>
      </c>
      <c r="E338" s="1" t="n">
        <v>46274</v>
      </c>
      <c r="F338" t="inlineStr">
        <is>
          <t>DALARNAS LÄN</t>
        </is>
      </c>
      <c r="G338" t="inlineStr">
        <is>
          <t>BORLÄNGE</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383-2022</t>
        </is>
      </c>
      <c r="B339" t="inlineStr">
        <is>
          <t>avverkningsanmälan</t>
        </is>
      </c>
      <c r="C339" t="inlineStr">
        <is>
          <t>Avverkning för annat ändamål</t>
        </is>
      </c>
      <c r="D339" s="1" t="n">
        <v>44565</v>
      </c>
      <c r="E339" s="1" t="n">
        <v>46274</v>
      </c>
      <c r="F339" t="inlineStr">
        <is>
          <t>DALARNAS LÄN</t>
        </is>
      </c>
      <c r="G339" t="inlineStr">
        <is>
          <t>BORLÄNGE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4795-2026</t>
        </is>
      </c>
      <c r="B340" t="inlineStr">
        <is>
          <t>avverkningsanmälan</t>
        </is>
      </c>
      <c r="C340" t="inlineStr">
        <is>
          <t>Föryngringsavverkning</t>
        </is>
      </c>
      <c r="D340" s="1" t="n">
        <v>46048</v>
      </c>
      <c r="E340" s="1" t="n">
        <v>46274</v>
      </c>
      <c r="F340" t="inlineStr">
        <is>
          <t>DALARNAS LÄN</t>
        </is>
      </c>
      <c r="G340" t="inlineStr">
        <is>
          <t>BORLÄNGE</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9436-2026</t>
        </is>
      </c>
      <c r="B341" t="inlineStr">
        <is>
          <t>avverkningsanmälan</t>
        </is>
      </c>
      <c r="C341" t="inlineStr">
        <is>
          <t>Föryngringsavverkning</t>
        </is>
      </c>
      <c r="D341" s="1" t="n">
        <v>46071</v>
      </c>
      <c r="E341" s="1" t="n">
        <v>46274</v>
      </c>
      <c r="F341" t="inlineStr">
        <is>
          <t>DALARNAS LÄN</t>
        </is>
      </c>
      <c r="G341" t="inlineStr">
        <is>
          <t>BORLÄNGE</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9442-2026</t>
        </is>
      </c>
      <c r="B342" t="inlineStr">
        <is>
          <t>avverkningsanmälan</t>
        </is>
      </c>
      <c r="C342" t="inlineStr">
        <is>
          <t>Föryngringsavverkning</t>
        </is>
      </c>
      <c r="D342" s="1" t="n">
        <v>46071</v>
      </c>
      <c r="E342" s="1" t="n">
        <v>46274</v>
      </c>
      <c r="F342" t="inlineStr">
        <is>
          <t>DALARNAS LÄN</t>
        </is>
      </c>
      <c r="G342" t="inlineStr">
        <is>
          <t>BORLÄNGE</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9320-2026</t>
        </is>
      </c>
      <c r="B343" t="inlineStr">
        <is>
          <t>avverkningsanmälan</t>
        </is>
      </c>
      <c r="C343" t="inlineStr">
        <is>
          <t>Föryngringsavverkning</t>
        </is>
      </c>
      <c r="D343" s="1" t="n">
        <v>46070</v>
      </c>
      <c r="E343" s="1" t="n">
        <v>46274</v>
      </c>
      <c r="F343" t="inlineStr">
        <is>
          <t>DALARNAS LÄN</t>
        </is>
      </c>
      <c r="G343" t="inlineStr">
        <is>
          <t>BORLÄNGE</t>
        </is>
      </c>
      <c r="H343" t="inlineStr">
        <is>
          <t>Bergvik skog väst AB</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11087-2023</t>
        </is>
      </c>
      <c r="B344" t="inlineStr">
        <is>
          <t>avverkningsanmälan</t>
        </is>
      </c>
      <c r="C344" t="inlineStr">
        <is>
          <t>Föryngringsavverkning</t>
        </is>
      </c>
      <c r="D344" s="1" t="n">
        <v>44992</v>
      </c>
      <c r="E344" s="1" t="n">
        <v>46274</v>
      </c>
      <c r="F344" t="inlineStr">
        <is>
          <t>DALARNAS LÄN</t>
        </is>
      </c>
      <c r="G344" t="inlineStr">
        <is>
          <t>BORLÄNGE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9481-2026</t>
        </is>
      </c>
      <c r="B345" t="inlineStr">
        <is>
          <t>avverkningsanmälan</t>
        </is>
      </c>
      <c r="C345" t="inlineStr">
        <is>
          <t>Föryngringsavverkning</t>
        </is>
      </c>
      <c r="D345" s="1" t="n">
        <v>46071</v>
      </c>
      <c r="E345" s="1" t="n">
        <v>46274</v>
      </c>
      <c r="F345" t="inlineStr">
        <is>
          <t>DALARNAS LÄN</t>
        </is>
      </c>
      <c r="G345" t="inlineStr">
        <is>
          <t>BORLÄNGE</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9896-2026</t>
        </is>
      </c>
      <c r="B346" t="inlineStr">
        <is>
          <t>avverkningsanmälan</t>
        </is>
      </c>
      <c r="C346" t="inlineStr">
        <is>
          <t>Föryngringsavverkning</t>
        </is>
      </c>
      <c r="D346" s="1" t="n">
        <v>46073</v>
      </c>
      <c r="E346" s="1" t="n">
        <v>46274</v>
      </c>
      <c r="F346" t="inlineStr">
        <is>
          <t>DALARNAS LÄN</t>
        </is>
      </c>
      <c r="G346" t="inlineStr">
        <is>
          <t>BORLÄNGE</t>
        </is>
      </c>
      <c r="H346" t="inlineStr">
        <is>
          <t>Bergvik skog väst AB</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9750-2026</t>
        </is>
      </c>
      <c r="B347" t="inlineStr">
        <is>
          <t>avverkningsanmälan</t>
        </is>
      </c>
      <c r="C347" t="inlineStr">
        <is>
          <t>Föryngringsavverkning</t>
        </is>
      </c>
      <c r="D347" s="1" t="n">
        <v>46072</v>
      </c>
      <c r="E347" s="1" t="n">
        <v>46274</v>
      </c>
      <c r="F347" t="inlineStr">
        <is>
          <t>DALARNAS LÄN</t>
        </is>
      </c>
      <c r="G347" t="inlineStr">
        <is>
          <t>BORLÄNGE</t>
        </is>
      </c>
      <c r="H347" t="inlineStr">
        <is>
          <t>Bergvik skog väst AB</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10435-2026</t>
        </is>
      </c>
      <c r="B348" t="inlineStr">
        <is>
          <t>avverkningsanmälan</t>
        </is>
      </c>
      <c r="C348" t="inlineStr">
        <is>
          <t>Föryngringsavverkning</t>
        </is>
      </c>
      <c r="D348" s="1" t="n">
        <v>46077</v>
      </c>
      <c r="E348" s="1" t="n">
        <v>46274</v>
      </c>
      <c r="F348" t="inlineStr">
        <is>
          <t>DALARNAS LÄN</t>
        </is>
      </c>
      <c r="G348" t="inlineStr">
        <is>
          <t>BORLÄNGE</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10331-2026</t>
        </is>
      </c>
      <c r="B349" t="inlineStr">
        <is>
          <t>avverkningsanmälan</t>
        </is>
      </c>
      <c r="C349" t="inlineStr">
        <is>
          <t>Föryngringsavverkning</t>
        </is>
      </c>
      <c r="D349" s="1" t="n">
        <v>46076</v>
      </c>
      <c r="E349" s="1" t="n">
        <v>46274</v>
      </c>
      <c r="F349" t="inlineStr">
        <is>
          <t>DALARNAS LÄN</t>
        </is>
      </c>
      <c r="G349" t="inlineStr">
        <is>
          <t>BORLÄNGE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54420-2024</t>
        </is>
      </c>
      <c r="B350" t="inlineStr">
        <is>
          <t>avverkningsanmälan</t>
        </is>
      </c>
      <c r="C350" t="inlineStr">
        <is>
          <t>Avverkning för annat ändamål</t>
        </is>
      </c>
      <c r="D350" s="1" t="n">
        <v>45617</v>
      </c>
      <c r="E350" s="1" t="n">
        <v>46274</v>
      </c>
      <c r="F350" t="inlineStr">
        <is>
          <t>DALARNAS LÄN</t>
        </is>
      </c>
      <c r="G350" t="inlineStr">
        <is>
          <t>BORLÄNGE</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5260-2025</t>
        </is>
      </c>
      <c r="B351" t="inlineStr">
        <is>
          <t>avverkningsanmälan</t>
        </is>
      </c>
      <c r="C351" t="inlineStr">
        <is>
          <t>Föryngringsavverkning</t>
        </is>
      </c>
      <c r="D351" s="1" t="n">
        <v>45692</v>
      </c>
      <c r="E351" s="1" t="n">
        <v>46274</v>
      </c>
      <c r="F351" t="inlineStr">
        <is>
          <t>DALARNAS LÄN</t>
        </is>
      </c>
      <c r="G351" t="inlineStr">
        <is>
          <t>BORLÄNGE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60908-2023</t>
        </is>
      </c>
      <c r="B352" t="inlineStr">
        <is>
          <t>avverkningsanmälan</t>
        </is>
      </c>
      <c r="C352" t="inlineStr">
        <is>
          <t>Föryngringsavverkning</t>
        </is>
      </c>
      <c r="D352" s="1" t="n">
        <v>45261</v>
      </c>
      <c r="E352" s="1" t="n">
        <v>46274</v>
      </c>
      <c r="F352" t="inlineStr">
        <is>
          <t>DALARNAS LÄN</t>
        </is>
      </c>
      <c r="G352" t="inlineStr">
        <is>
          <t>BORLÄNGE</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17168-2026</t>
        </is>
      </c>
      <c r="B353" t="inlineStr">
        <is>
          <t>avverkningsanmälan</t>
        </is>
      </c>
      <c r="C353" t="inlineStr">
        <is>
          <t>Föryngringsavverkning</t>
        </is>
      </c>
      <c r="D353" s="1" t="n">
        <v>46115</v>
      </c>
      <c r="E353" s="1" t="n">
        <v>46274</v>
      </c>
      <c r="F353" t="inlineStr">
        <is>
          <t>DALARNAS LÄN</t>
        </is>
      </c>
      <c r="G353" t="inlineStr">
        <is>
          <t>BORLÄNGE</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14753-2025</t>
        </is>
      </c>
      <c r="B354" t="inlineStr">
        <is>
          <t>avverkningsanmälan</t>
        </is>
      </c>
      <c r="C354" t="inlineStr">
        <is>
          <t>Föryngringsavverkning</t>
        </is>
      </c>
      <c r="D354" s="1" t="n">
        <v>45742</v>
      </c>
      <c r="E354" s="1" t="n">
        <v>46274</v>
      </c>
      <c r="F354" t="inlineStr">
        <is>
          <t>DALARNAS LÄN</t>
        </is>
      </c>
      <c r="G354" t="inlineStr">
        <is>
          <t>BORLÄNGE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32428-2024</t>
        </is>
      </c>
      <c r="B355" t="inlineStr">
        <is>
          <t>avverkningsanmälan</t>
        </is>
      </c>
      <c r="C355" t="inlineStr">
        <is>
          <t>Föryngringsavverkning</t>
        </is>
      </c>
      <c r="D355" s="1" t="n">
        <v>45512</v>
      </c>
      <c r="E355" s="1" t="n">
        <v>46274</v>
      </c>
      <c r="F355" t="inlineStr">
        <is>
          <t>DALARNAS LÄN</t>
        </is>
      </c>
      <c r="G355" t="inlineStr">
        <is>
          <t>BORLÄNGE</t>
        </is>
      </c>
      <c r="H355" t="inlineStr">
        <is>
          <t>Bergvik skog väst AB</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12364-2026</t>
        </is>
      </c>
      <c r="B356" t="inlineStr">
        <is>
          <t>avverkningsanmälan</t>
        </is>
      </c>
      <c r="C356" t="inlineStr">
        <is>
          <t>Föryngringsavverkning</t>
        </is>
      </c>
      <c r="D356" s="1" t="n">
        <v>46089</v>
      </c>
      <c r="E356" s="1" t="n">
        <v>46274</v>
      </c>
      <c r="F356" t="inlineStr">
        <is>
          <t>DALARNAS LÄN</t>
        </is>
      </c>
      <c r="G356" t="inlineStr">
        <is>
          <t>BORLÄNGE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12244-2026</t>
        </is>
      </c>
      <c r="B357" t="inlineStr">
        <is>
          <t>avverkningsanmälan</t>
        </is>
      </c>
      <c r="C357" t="inlineStr">
        <is>
          <t>Föryngringsavverkning</t>
        </is>
      </c>
      <c r="D357" s="1" t="n">
        <v>46087</v>
      </c>
      <c r="E357" s="1" t="n">
        <v>46274</v>
      </c>
      <c r="F357" t="inlineStr">
        <is>
          <t>DALARNAS LÄN</t>
        </is>
      </c>
      <c r="G357" t="inlineStr">
        <is>
          <t>BORLÄNGE</t>
        </is>
      </c>
      <c r="H357" t="inlineStr">
        <is>
          <t>Bergvik skog väst AB</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35653-2026</t>
        </is>
      </c>
      <c r="B358" t="inlineStr">
        <is>
          <t>avverkningsanmälan</t>
        </is>
      </c>
      <c r="C358" t="inlineStr">
        <is>
          <t>Föryngringsavverkning</t>
        </is>
      </c>
      <c r="D358" s="1" t="n">
        <v>46265</v>
      </c>
      <c r="E358" s="1" t="n">
        <v>46274</v>
      </c>
      <c r="F358" t="inlineStr">
        <is>
          <t>DALARNAS LÄN</t>
        </is>
      </c>
      <c r="G358" t="inlineStr">
        <is>
          <t>BORLÄNGE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35656-2026</t>
        </is>
      </c>
      <c r="B359" t="inlineStr">
        <is>
          <t>avverkningsanmälan</t>
        </is>
      </c>
      <c r="C359" t="inlineStr">
        <is>
          <t>Föryngringsavverkning</t>
        </is>
      </c>
      <c r="D359" s="1" t="n">
        <v>46265</v>
      </c>
      <c r="E359" s="1" t="n">
        <v>46274</v>
      </c>
      <c r="F359" t="inlineStr">
        <is>
          <t>DALARNAS LÄN</t>
        </is>
      </c>
      <c r="G359" t="inlineStr">
        <is>
          <t>BORLÄNGE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2182-2023</t>
        </is>
      </c>
      <c r="B360" t="inlineStr">
        <is>
          <t>avverkningsanmälan</t>
        </is>
      </c>
      <c r="C360" t="inlineStr">
        <is>
          <t>Föryngringsavverkning</t>
        </is>
      </c>
      <c r="D360" s="1" t="n">
        <v>44942</v>
      </c>
      <c r="E360" s="1" t="n">
        <v>46274</v>
      </c>
      <c r="F360" t="inlineStr">
        <is>
          <t>DALARNAS LÄN</t>
        </is>
      </c>
      <c r="G360" t="inlineStr">
        <is>
          <t>BORLÄNGE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14802-2026</t>
        </is>
      </c>
      <c r="B361" t="inlineStr">
        <is>
          <t>avverkningsanmälan</t>
        </is>
      </c>
      <c r="C361" t="inlineStr">
        <is>
          <t>Föryngringsavverkning</t>
        </is>
      </c>
      <c r="D361" s="1" t="n">
        <v>46103</v>
      </c>
      <c r="E361" s="1" t="n">
        <v>46274</v>
      </c>
      <c r="F361" t="inlineStr">
        <is>
          <t>DALARNAS LÄN</t>
        </is>
      </c>
      <c r="G361" t="inlineStr">
        <is>
          <t>BORLÄNGE</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15041-2026</t>
        </is>
      </c>
      <c r="B362" t="inlineStr">
        <is>
          <t>avverkningsanmälan</t>
        </is>
      </c>
      <c r="C362" t="inlineStr">
        <is>
          <t>Föryngringsavverkning</t>
        </is>
      </c>
      <c r="D362" s="1" t="n">
        <v>46104</v>
      </c>
      <c r="E362" s="1" t="n">
        <v>46274</v>
      </c>
      <c r="F362" t="inlineStr">
        <is>
          <t>DALARNAS LÄN</t>
        </is>
      </c>
      <c r="G362" t="inlineStr">
        <is>
          <t>BORLÄNGE</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14801-2026</t>
        </is>
      </c>
      <c r="B363" t="inlineStr">
        <is>
          <t>avverkningsanmälan</t>
        </is>
      </c>
      <c r="C363" t="inlineStr">
        <is>
          <t>Föryngringsavverkning</t>
        </is>
      </c>
      <c r="D363" s="1" t="n">
        <v>46103</v>
      </c>
      <c r="E363" s="1" t="n">
        <v>46274</v>
      </c>
      <c r="F363" t="inlineStr">
        <is>
          <t>DALARNAS LÄN</t>
        </is>
      </c>
      <c r="G363" t="inlineStr">
        <is>
          <t>BORLÄNGE</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16191-2026</t>
        </is>
      </c>
      <c r="B364" t="inlineStr">
        <is>
          <t>avverkningsanmälan</t>
        </is>
      </c>
      <c r="C364" t="inlineStr">
        <is>
          <t>Föryngringsavverkning</t>
        </is>
      </c>
      <c r="D364" s="1" t="n">
        <v>46111</v>
      </c>
      <c r="E364" s="1" t="n">
        <v>46274</v>
      </c>
      <c r="F364" t="inlineStr">
        <is>
          <t>DALARNAS LÄN</t>
        </is>
      </c>
      <c r="G364" t="inlineStr">
        <is>
          <t>BORLÄNGE</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32399-2026</t>
        </is>
      </c>
      <c r="B365" t="inlineStr">
        <is>
          <t>avverkningsanmälan</t>
        </is>
      </c>
      <c r="C365" t="inlineStr">
        <is>
          <t>Föryngringsavverkning</t>
        </is>
      </c>
      <c r="D365" s="1" t="n">
        <v>46238</v>
      </c>
      <c r="E365" s="1" t="n">
        <v>46274</v>
      </c>
      <c r="F365" t="inlineStr">
        <is>
          <t>DALARNAS LÄN</t>
        </is>
      </c>
      <c r="G365" t="inlineStr">
        <is>
          <t>BORLÄNGE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16928-2026</t>
        </is>
      </c>
      <c r="B366" t="inlineStr">
        <is>
          <t>avverkningsanmälan</t>
        </is>
      </c>
      <c r="C366" t="inlineStr">
        <is>
          <t>Föryngringsavverkning</t>
        </is>
      </c>
      <c r="D366" s="1" t="n">
        <v>46113</v>
      </c>
      <c r="E366" s="1" t="n">
        <v>46274</v>
      </c>
      <c r="F366" t="inlineStr">
        <is>
          <t>DALARNAS LÄN</t>
        </is>
      </c>
      <c r="G366" t="inlineStr">
        <is>
          <t>BORLÄNGE</t>
        </is>
      </c>
      <c r="H366" t="inlineStr">
        <is>
          <t>Bergvik skog väst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54148-2023</t>
        </is>
      </c>
      <c r="B367" t="inlineStr">
        <is>
          <t>avverkningsanmälan</t>
        </is>
      </c>
      <c r="C367" t="inlineStr">
        <is>
          <t>Föryngringsavverkning</t>
        </is>
      </c>
      <c r="D367" s="1" t="n">
        <v>45232</v>
      </c>
      <c r="E367" s="1" t="n">
        <v>46274</v>
      </c>
      <c r="F367" t="inlineStr">
        <is>
          <t>DALARNAS LÄN</t>
        </is>
      </c>
      <c r="G367" t="inlineStr">
        <is>
          <t>BORLÄNGE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17167-2026</t>
        </is>
      </c>
      <c r="B368" t="inlineStr">
        <is>
          <t>avverkningsanmälan</t>
        </is>
      </c>
      <c r="C368" t="inlineStr">
        <is>
          <t>Föryngringsavverkning</t>
        </is>
      </c>
      <c r="D368" s="1" t="n">
        <v>46115</v>
      </c>
      <c r="E368" s="1" t="n">
        <v>46274</v>
      </c>
      <c r="F368" t="inlineStr">
        <is>
          <t>DALARNAS LÄN</t>
        </is>
      </c>
      <c r="G368" t="inlineStr">
        <is>
          <t>BORLÄNGE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53455-2021</t>
        </is>
      </c>
      <c r="B369" t="inlineStr">
        <is>
          <t>avverkningsanmälan</t>
        </is>
      </c>
      <c r="C369" t="inlineStr">
        <is>
          <t>Avverkning för annat ändamål</t>
        </is>
      </c>
      <c r="D369" s="1" t="n">
        <v>44468</v>
      </c>
      <c r="E369" s="1" t="n">
        <v>46274</v>
      </c>
      <c r="F369" t="inlineStr">
        <is>
          <t>DALARNAS LÄN</t>
        </is>
      </c>
      <c r="G369" t="inlineStr">
        <is>
          <t>BORLÄNGE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17266-2026</t>
        </is>
      </c>
      <c r="B370" t="inlineStr">
        <is>
          <t>avverkningsanmälan</t>
        </is>
      </c>
      <c r="C370" t="inlineStr">
        <is>
          <t>Föryngringsavverkning</t>
        </is>
      </c>
      <c r="D370" s="1" t="n">
        <v>46119</v>
      </c>
      <c r="E370" s="1" t="n">
        <v>46274</v>
      </c>
      <c r="F370" t="inlineStr">
        <is>
          <t>DALARNAS LÄN</t>
        </is>
      </c>
      <c r="G370" t="inlineStr">
        <is>
          <t>BORLÄNGE</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11105-2023</t>
        </is>
      </c>
      <c r="B371" t="inlineStr">
        <is>
          <t>avverkningsanmälan</t>
        </is>
      </c>
      <c r="C371" t="inlineStr">
        <is>
          <t>Föryngringsavverkning</t>
        </is>
      </c>
      <c r="D371" s="1" t="n">
        <v>44992</v>
      </c>
      <c r="E371" s="1" t="n">
        <v>46274</v>
      </c>
      <c r="F371" t="inlineStr">
        <is>
          <t>DALARNAS LÄN</t>
        </is>
      </c>
      <c r="G371" t="inlineStr">
        <is>
          <t>BORLÄNGE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13570-2026</t>
        </is>
      </c>
      <c r="B372" t="inlineStr">
        <is>
          <t>avverkningsanmälan</t>
        </is>
      </c>
      <c r="C372" t="inlineStr">
        <is>
          <t>Föryngringsavverkning</t>
        </is>
      </c>
      <c r="D372" s="1" t="n">
        <v>46095</v>
      </c>
      <c r="E372" s="1" t="n">
        <v>46274</v>
      </c>
      <c r="F372" t="inlineStr">
        <is>
          <t>DALARNAS LÄN</t>
        </is>
      </c>
      <c r="G372" t="inlineStr">
        <is>
          <t>BORLÄNGE</t>
        </is>
      </c>
      <c r="I372" t="n">
        <v>22.7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13569-2026</t>
        </is>
      </c>
      <c r="B373" t="inlineStr">
        <is>
          <t>avverkningsanmälan</t>
        </is>
      </c>
      <c r="C373" t="inlineStr">
        <is>
          <t>Föryngringsavverkning</t>
        </is>
      </c>
      <c r="D373" s="1" t="n">
        <v>46095</v>
      </c>
      <c r="E373" s="1" t="n">
        <v>46274</v>
      </c>
      <c r="F373" t="inlineStr">
        <is>
          <t>DALARNAS LÄN</t>
        </is>
      </c>
      <c r="G373" t="inlineStr">
        <is>
          <t>BORLÄNGE</t>
        </is>
      </c>
      <c r="I373" t="n">
        <v>16.9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13572-2026</t>
        </is>
      </c>
      <c r="B374" t="inlineStr">
        <is>
          <t>avverkningsanmälan</t>
        </is>
      </c>
      <c r="C374" t="inlineStr">
        <is>
          <t>Föryngringsavverkning</t>
        </is>
      </c>
      <c r="D374" s="1" t="n">
        <v>46095</v>
      </c>
      <c r="E374" s="1" t="n">
        <v>46274</v>
      </c>
      <c r="F374" t="inlineStr">
        <is>
          <t>DALARNAS LÄN</t>
        </is>
      </c>
      <c r="G374" t="inlineStr">
        <is>
          <t>BORLÄNGE</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58640-2023</t>
        </is>
      </c>
      <c r="B375" t="inlineStr">
        <is>
          <t>avverkningsanmälan</t>
        </is>
      </c>
      <c r="C375" t="inlineStr">
        <is>
          <t>Föryngringsavverkning</t>
        </is>
      </c>
      <c r="D375" s="1" t="n">
        <v>45251</v>
      </c>
      <c r="E375" s="1" t="n">
        <v>46274</v>
      </c>
      <c r="F375" t="inlineStr">
        <is>
          <t>DALARNAS LÄN</t>
        </is>
      </c>
      <c r="G375" t="inlineStr">
        <is>
          <t>BORLÄNGE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53544-2022</t>
        </is>
      </c>
      <c r="B376" t="inlineStr">
        <is>
          <t>avverkningsanmälan</t>
        </is>
      </c>
      <c r="C376" t="inlineStr">
        <is>
          <t>Föryngringsavverkning</t>
        </is>
      </c>
      <c r="D376" s="1" t="n">
        <v>44879</v>
      </c>
      <c r="E376" s="1" t="n">
        <v>46274</v>
      </c>
      <c r="F376" t="inlineStr">
        <is>
          <t>DALARNAS LÄN</t>
        </is>
      </c>
      <c r="G376" t="inlineStr">
        <is>
          <t>BORLÄNGE</t>
        </is>
      </c>
      <c r="H376" t="inlineStr">
        <is>
          <t>Bergvik skog väst AB</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59771-2021</t>
        </is>
      </c>
      <c r="B377" t="inlineStr">
        <is>
          <t>avverkningsanmälan</t>
        </is>
      </c>
      <c r="C377" t="inlineStr">
        <is>
          <t>Föryngringsavverkning</t>
        </is>
      </c>
      <c r="D377" s="1" t="n">
        <v>44494</v>
      </c>
      <c r="E377" s="1" t="n">
        <v>46274</v>
      </c>
      <c r="F377" t="inlineStr">
        <is>
          <t>DALARNAS LÄN</t>
        </is>
      </c>
      <c r="G377" t="inlineStr">
        <is>
          <t>BORLÄNGE</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1723-2025</t>
        </is>
      </c>
      <c r="B378" t="inlineStr">
        <is>
          <t>avverkningsanmälan</t>
        </is>
      </c>
      <c r="C378" t="inlineStr">
        <is>
          <t>Föryngringsavverkning</t>
        </is>
      </c>
      <c r="D378" s="1" t="n">
        <v>45671</v>
      </c>
      <c r="E378" s="1" t="n">
        <v>46274</v>
      </c>
      <c r="F378" t="inlineStr">
        <is>
          <t>DALARNAS LÄN</t>
        </is>
      </c>
      <c r="G378" t="inlineStr">
        <is>
          <t>BORLÄNGE</t>
        </is>
      </c>
      <c r="I378" t="n">
        <v>24.5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16883-2024</t>
        </is>
      </c>
      <c r="B379" t="inlineStr">
        <is>
          <t>avverkningsanmälan</t>
        </is>
      </c>
      <c r="C379" t="inlineStr">
        <is>
          <t>Föryngringsavverkning</t>
        </is>
      </c>
      <c r="D379" s="1" t="n">
        <v>45411</v>
      </c>
      <c r="E379" s="1" t="n">
        <v>46274</v>
      </c>
      <c r="F379" t="inlineStr">
        <is>
          <t>DALARNAS LÄN</t>
        </is>
      </c>
      <c r="G379" t="inlineStr">
        <is>
          <t>BORLÄNGE</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59633-2021</t>
        </is>
      </c>
      <c r="B380" t="inlineStr">
        <is>
          <t>avverkningsanmälan</t>
        </is>
      </c>
      <c r="C380" t="inlineStr">
        <is>
          <t>Föryngringsavverkning</t>
        </is>
      </c>
      <c r="D380" s="1" t="n">
        <v>44493</v>
      </c>
      <c r="E380" s="1" t="n">
        <v>46274</v>
      </c>
      <c r="F380" t="inlineStr">
        <is>
          <t>DALARNAS LÄN</t>
        </is>
      </c>
      <c r="G380" t="inlineStr">
        <is>
          <t>BORLÄNGE</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7194-2025</t>
        </is>
      </c>
      <c r="B381" t="inlineStr">
        <is>
          <t>avverkningsanmälan</t>
        </is>
      </c>
      <c r="C381" t="inlineStr">
        <is>
          <t>Föryngringsavverkning</t>
        </is>
      </c>
      <c r="D381" s="1" t="n">
        <v>45702</v>
      </c>
      <c r="E381" s="1" t="n">
        <v>46274</v>
      </c>
      <c r="F381" t="inlineStr">
        <is>
          <t>DALARNAS LÄN</t>
        </is>
      </c>
      <c r="G381" t="inlineStr">
        <is>
          <t>BORLÄNGE</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57898-2024</t>
        </is>
      </c>
      <c r="B382" t="inlineStr">
        <is>
          <t>avverkningsanmälan</t>
        </is>
      </c>
      <c r="C382" t="inlineStr">
        <is>
          <t>Föryngringsavverkning</t>
        </is>
      </c>
      <c r="D382" s="1" t="n">
        <v>45631</v>
      </c>
      <c r="E382" s="1" t="n">
        <v>46274</v>
      </c>
      <c r="F382" t="inlineStr">
        <is>
          <t>DALARNAS LÄN</t>
        </is>
      </c>
      <c r="G382" t="inlineStr">
        <is>
          <t>BORLÄNGE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21992-2023</t>
        </is>
      </c>
      <c r="B383" t="inlineStr">
        <is>
          <t>avverkningsanmälan</t>
        </is>
      </c>
      <c r="C383" t="inlineStr">
        <is>
          <t>Föryngringsavverkning</t>
        </is>
      </c>
      <c r="D383" s="1" t="n">
        <v>45068</v>
      </c>
      <c r="E383" s="1" t="n">
        <v>46274</v>
      </c>
      <c r="F383" t="inlineStr">
        <is>
          <t>DALARNAS LÄN</t>
        </is>
      </c>
      <c r="G383" t="inlineStr">
        <is>
          <t>BORLÄNGE</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28324-2024</t>
        </is>
      </c>
      <c r="B384" t="inlineStr">
        <is>
          <t>avverkningsanmälan</t>
        </is>
      </c>
      <c r="C384" t="inlineStr">
        <is>
          <t>Föryngringsavverkning</t>
        </is>
      </c>
      <c r="D384" s="1" t="n">
        <v>45477</v>
      </c>
      <c r="E384" s="1" t="n">
        <v>46274</v>
      </c>
      <c r="F384" t="inlineStr">
        <is>
          <t>DALARNAS LÄN</t>
        </is>
      </c>
      <c r="G384" t="inlineStr">
        <is>
          <t>BORLÄNGE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29810-2022</t>
        </is>
      </c>
      <c r="B385" t="inlineStr">
        <is>
          <t>avverkningsanmälan</t>
        </is>
      </c>
      <c r="C385" t="inlineStr">
        <is>
          <t>Avverkning för annat ändamål</t>
        </is>
      </c>
      <c r="D385" s="1" t="n">
        <v>44755</v>
      </c>
      <c r="E385" s="1" t="n">
        <v>46274</v>
      </c>
      <c r="F385" t="inlineStr">
        <is>
          <t>DALARNAS LÄN</t>
        </is>
      </c>
      <c r="G385" t="inlineStr">
        <is>
          <t>BORLÄNGE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10156-2025</t>
        </is>
      </c>
      <c r="B386" t="inlineStr">
        <is>
          <t>avverkningsanmälan</t>
        </is>
      </c>
      <c r="C386" t="inlineStr">
        <is>
          <t>Föryngringsavverkning</t>
        </is>
      </c>
      <c r="D386" s="1" t="n">
        <v>45719</v>
      </c>
      <c r="E386" s="1" t="n">
        <v>46274</v>
      </c>
      <c r="F386" t="inlineStr">
        <is>
          <t>DALARNAS LÄN</t>
        </is>
      </c>
      <c r="G386" t="inlineStr">
        <is>
          <t>BORLÄNGE</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26216-2023</t>
        </is>
      </c>
      <c r="B387" t="inlineStr">
        <is>
          <t>avverkningsanmälan</t>
        </is>
      </c>
      <c r="C387" t="inlineStr">
        <is>
          <t>Föryngringsavverkning</t>
        </is>
      </c>
      <c r="D387" s="1" t="n">
        <v>45091</v>
      </c>
      <c r="E387" s="1" t="n">
        <v>46274</v>
      </c>
      <c r="F387" t="inlineStr">
        <is>
          <t>DALARNAS LÄN</t>
        </is>
      </c>
      <c r="G387" t="inlineStr">
        <is>
          <t>BORLÄNGE</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15495-2024</t>
        </is>
      </c>
      <c r="B388" t="inlineStr">
        <is>
          <t>avverkningsanmälan</t>
        </is>
      </c>
      <c r="C388" t="inlineStr">
        <is>
          <t>Föryngringsavverkning</t>
        </is>
      </c>
      <c r="D388" s="1" t="n">
        <v>45401</v>
      </c>
      <c r="E388" s="1" t="n">
        <v>46274</v>
      </c>
      <c r="F388" t="inlineStr">
        <is>
          <t>DALARNAS LÄN</t>
        </is>
      </c>
      <c r="G388" t="inlineStr">
        <is>
          <t>BORLÄNGE</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63192-2023</t>
        </is>
      </c>
      <c r="B389" t="inlineStr">
        <is>
          <t>avverkningsanmälan</t>
        </is>
      </c>
      <c r="C389" t="inlineStr">
        <is>
          <t>Föryngringsavverkning</t>
        </is>
      </c>
      <c r="D389" s="1" t="n">
        <v>45273</v>
      </c>
      <c r="E389" s="1" t="n">
        <v>46274</v>
      </c>
      <c r="F389" t="inlineStr">
        <is>
          <t>DALARNAS LÄN</t>
        </is>
      </c>
      <c r="G389" t="inlineStr">
        <is>
          <t>BORLÄNGE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29861-2024</t>
        </is>
      </c>
      <c r="B390" t="inlineStr">
        <is>
          <t>avverkningsanmälan</t>
        </is>
      </c>
      <c r="C390" t="inlineStr">
        <is>
          <t>Föryngringsavverkning</t>
        </is>
      </c>
      <c r="D390" s="1" t="n">
        <v>45485</v>
      </c>
      <c r="E390" s="1" t="n">
        <v>46274</v>
      </c>
      <c r="F390" t="inlineStr">
        <is>
          <t>DALARNAS LÄN</t>
        </is>
      </c>
      <c r="G390" t="inlineStr">
        <is>
          <t>BORLÄNGE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8489-2025</t>
        </is>
      </c>
      <c r="B391" t="inlineStr">
        <is>
          <t>avverkningsanmälan</t>
        </is>
      </c>
      <c r="C391" t="inlineStr">
        <is>
          <t>Föryngringsavverkning</t>
        </is>
      </c>
      <c r="D391" s="1" t="n">
        <v>45709</v>
      </c>
      <c r="E391" s="1" t="n">
        <v>46274</v>
      </c>
      <c r="F391" t="inlineStr">
        <is>
          <t>DALARNAS LÄN</t>
        </is>
      </c>
      <c r="G391" t="inlineStr">
        <is>
          <t>BORLÄNGE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51858-2023</t>
        </is>
      </c>
      <c r="B392" t="inlineStr">
        <is>
          <t>avverkningsanmälan</t>
        </is>
      </c>
      <c r="C392" t="inlineStr">
        <is>
          <t>Föryngringsavverkning</t>
        </is>
      </c>
      <c r="D392" s="1" t="n">
        <v>45223</v>
      </c>
      <c r="E392" s="1" t="n">
        <v>46274</v>
      </c>
      <c r="F392" t="inlineStr">
        <is>
          <t>DALARNAS LÄN</t>
        </is>
      </c>
      <c r="G392" t="inlineStr">
        <is>
          <t>BORLÄNGE</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67422-2021</t>
        </is>
      </c>
      <c r="B393" t="inlineStr">
        <is>
          <t>avverkningsanmälan</t>
        </is>
      </c>
      <c r="C393" t="inlineStr">
        <is>
          <t>Föryngringsavverkning</t>
        </is>
      </c>
      <c r="D393" s="1" t="n">
        <v>44524</v>
      </c>
      <c r="E393" s="1" t="n">
        <v>46274</v>
      </c>
      <c r="F393" t="inlineStr">
        <is>
          <t>DALARNAS LÄN</t>
        </is>
      </c>
      <c r="G393" t="inlineStr">
        <is>
          <t>BORLÄNGE</t>
        </is>
      </c>
      <c r="H393" t="inlineStr">
        <is>
          <t>Bergvik skog väst AB</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43650-2022</t>
        </is>
      </c>
      <c r="B394" t="inlineStr">
        <is>
          <t>avverkningsanmälan</t>
        </is>
      </c>
      <c r="C394" t="inlineStr">
        <is>
          <t>Föryngringsavverkning</t>
        </is>
      </c>
      <c r="D394" s="1" t="n">
        <v>44837</v>
      </c>
      <c r="E394" s="1" t="n">
        <v>46274</v>
      </c>
      <c r="F394" t="inlineStr">
        <is>
          <t>DALARNAS LÄN</t>
        </is>
      </c>
      <c r="G394" t="inlineStr">
        <is>
          <t>BORLÄNGE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60301-2024</t>
        </is>
      </c>
      <c r="B395" t="inlineStr">
        <is>
          <t>avverkningsanmälan</t>
        </is>
      </c>
      <c r="C395" t="inlineStr">
        <is>
          <t>Föryngringsavverkning</t>
        </is>
      </c>
      <c r="D395" s="1" t="n">
        <v>45643</v>
      </c>
      <c r="E395" s="1" t="n">
        <v>46274</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20008-2023</t>
        </is>
      </c>
      <c r="B396" t="inlineStr">
        <is>
          <t>avverkningsanmälan</t>
        </is>
      </c>
      <c r="C396" t="inlineStr">
        <is>
          <t>Föryngringsavverkning</t>
        </is>
      </c>
      <c r="D396" s="1" t="n">
        <v>45054</v>
      </c>
      <c r="E396" s="1" t="n">
        <v>46274</v>
      </c>
      <c r="F396" t="inlineStr">
        <is>
          <t>DALARNAS LÄN</t>
        </is>
      </c>
      <c r="G396" t="inlineStr">
        <is>
          <t>BORLÄNGE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60060-2023</t>
        </is>
      </c>
      <c r="B397" t="inlineStr">
        <is>
          <t>avverkningsanmälan</t>
        </is>
      </c>
      <c r="C397" t="inlineStr">
        <is>
          <t>Föryngringsavverkning</t>
        </is>
      </c>
      <c r="D397" s="1" t="n">
        <v>45258</v>
      </c>
      <c r="E397" s="1" t="n">
        <v>46274</v>
      </c>
      <c r="F397" t="inlineStr">
        <is>
          <t>DALARNAS LÄN</t>
        </is>
      </c>
      <c r="G397" t="inlineStr">
        <is>
          <t>BORLÄNGE</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44240-2023</t>
        </is>
      </c>
      <c r="B398" t="inlineStr">
        <is>
          <t>avverkningsanmälan</t>
        </is>
      </c>
      <c r="C398" t="inlineStr">
        <is>
          <t>Föryngringsavverkning</t>
        </is>
      </c>
      <c r="D398" s="1" t="n">
        <v>45188</v>
      </c>
      <c r="E398" s="1" t="n">
        <v>46274</v>
      </c>
      <c r="F398" t="inlineStr">
        <is>
          <t>DALARNAS LÄN</t>
        </is>
      </c>
      <c r="G398" t="inlineStr">
        <is>
          <t>BORLÄNGE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37785-2024</t>
        </is>
      </c>
      <c r="B399" t="inlineStr">
        <is>
          <t>avverkningsanmälan</t>
        </is>
      </c>
      <c r="C399" t="inlineStr">
        <is>
          <t>Föryngringsavverkning</t>
        </is>
      </c>
      <c r="D399" s="1" t="n">
        <v>45542</v>
      </c>
      <c r="E399" s="1" t="n">
        <v>46274</v>
      </c>
      <c r="F399" t="inlineStr">
        <is>
          <t>DALARNAS LÄN</t>
        </is>
      </c>
      <c r="G399" t="inlineStr">
        <is>
          <t>BORLÄNGE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23416-2023</t>
        </is>
      </c>
      <c r="B400" t="inlineStr">
        <is>
          <t>avverkningsanmälan</t>
        </is>
      </c>
      <c r="C400" t="inlineStr">
        <is>
          <t>Föryngringsavverkning</t>
        </is>
      </c>
      <c r="D400" s="1" t="n">
        <v>45076</v>
      </c>
      <c r="E400" s="1" t="n">
        <v>46274</v>
      </c>
      <c r="F400" t="inlineStr">
        <is>
          <t>DALARNAS LÄN</t>
        </is>
      </c>
      <c r="G400" t="inlineStr">
        <is>
          <t>BORLÄNGE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13658-2024</t>
        </is>
      </c>
      <c r="B401" t="inlineStr">
        <is>
          <t>avverkningsanmälan</t>
        </is>
      </c>
      <c r="C401" t="inlineStr">
        <is>
          <t>Föryngringsavverkning</t>
        </is>
      </c>
      <c r="D401" s="1" t="n">
        <v>45390</v>
      </c>
      <c r="E401" s="1" t="n">
        <v>46274</v>
      </c>
      <c r="F401" t="inlineStr">
        <is>
          <t>DALARNAS LÄN</t>
        </is>
      </c>
      <c r="G401" t="inlineStr">
        <is>
          <t>BORLÄNGE</t>
        </is>
      </c>
      <c r="H401" t="inlineStr">
        <is>
          <t>Kommuner</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73002-2021</t>
        </is>
      </c>
      <c r="B402" t="inlineStr">
        <is>
          <t>avverkningsanmälan</t>
        </is>
      </c>
      <c r="C402" t="inlineStr">
        <is>
          <t>Föryngringsavverkning</t>
        </is>
      </c>
      <c r="D402" s="1" t="n">
        <v>44550</v>
      </c>
      <c r="E402" s="1" t="n">
        <v>46274</v>
      </c>
      <c r="F402" t="inlineStr">
        <is>
          <t>DALARNAS LÄN</t>
        </is>
      </c>
      <c r="G402" t="inlineStr">
        <is>
          <t>BORLÄNGE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7588-2023</t>
        </is>
      </c>
      <c r="B403" t="inlineStr">
        <is>
          <t>avverkningsanmälan</t>
        </is>
      </c>
      <c r="C403" t="inlineStr">
        <is>
          <t>Föryngringsavverkning</t>
        </is>
      </c>
      <c r="D403" s="1" t="n">
        <v>44972</v>
      </c>
      <c r="E403" s="1" t="n">
        <v>46274</v>
      </c>
      <c r="F403" t="inlineStr">
        <is>
          <t>DALARNAS LÄN</t>
        </is>
      </c>
      <c r="G403" t="inlineStr">
        <is>
          <t>BORLÄNGE</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13983-2024</t>
        </is>
      </c>
      <c r="B404" t="inlineStr">
        <is>
          <t>avverkningsanmälan</t>
        </is>
      </c>
      <c r="C404" t="inlineStr">
        <is>
          <t>Avverkning för annat ändamål</t>
        </is>
      </c>
      <c r="D404" s="1" t="n">
        <v>45392</v>
      </c>
      <c r="E404" s="1" t="n">
        <v>46274</v>
      </c>
      <c r="F404" t="inlineStr">
        <is>
          <t>DALARNAS LÄN</t>
        </is>
      </c>
      <c r="G404" t="inlineStr">
        <is>
          <t>BORLÄNGE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54414-2024</t>
        </is>
      </c>
      <c r="B405" t="inlineStr">
        <is>
          <t>avverkningsanmälan</t>
        </is>
      </c>
      <c r="C405" t="inlineStr">
        <is>
          <t>Avverkning för annat ändamål</t>
        </is>
      </c>
      <c r="D405" s="1" t="n">
        <v>45617</v>
      </c>
      <c r="E405" s="1" t="n">
        <v>46274</v>
      </c>
      <c r="F405" t="inlineStr">
        <is>
          <t>DALARNAS LÄN</t>
        </is>
      </c>
      <c r="G405" t="inlineStr">
        <is>
          <t>BORLÄNGE</t>
        </is>
      </c>
      <c r="H405" t="inlineStr">
        <is>
          <t>Bergvik skog väst AB</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49056-2023</t>
        </is>
      </c>
      <c r="B406" t="inlineStr">
        <is>
          <t>avverkningsanmälan</t>
        </is>
      </c>
      <c r="C406" t="inlineStr">
        <is>
          <t>Föryngringsavverkning</t>
        </is>
      </c>
      <c r="D406" s="1" t="n">
        <v>45210</v>
      </c>
      <c r="E406" s="1" t="n">
        <v>46274</v>
      </c>
      <c r="F406" t="inlineStr">
        <is>
          <t>DALARNAS LÄN</t>
        </is>
      </c>
      <c r="G406" t="inlineStr">
        <is>
          <t>BORLÄNGE</t>
        </is>
      </c>
      <c r="H406" t="inlineStr">
        <is>
          <t>Bergvik skog väst AB</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128-2024</t>
        </is>
      </c>
      <c r="B407" t="inlineStr">
        <is>
          <t>avverkningsanmälan</t>
        </is>
      </c>
      <c r="C407" t="inlineStr">
        <is>
          <t>Föryngringsavverkning</t>
        </is>
      </c>
      <c r="D407" s="1" t="n">
        <v>45294</v>
      </c>
      <c r="E407" s="1" t="n">
        <v>46274</v>
      </c>
      <c r="F407" t="inlineStr">
        <is>
          <t>DALARNAS LÄN</t>
        </is>
      </c>
      <c r="G407" t="inlineStr">
        <is>
          <t>BORLÄNGE</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35501-2023</t>
        </is>
      </c>
      <c r="B408" t="inlineStr">
        <is>
          <t>avverkningsanmälan</t>
        </is>
      </c>
      <c r="C408" t="inlineStr">
        <is>
          <t>Föryngringsavverkning</t>
        </is>
      </c>
      <c r="D408" s="1" t="n">
        <v>45146</v>
      </c>
      <c r="E408" s="1" t="n">
        <v>46274</v>
      </c>
      <c r="F408" t="inlineStr">
        <is>
          <t>DALARNAS LÄN</t>
        </is>
      </c>
      <c r="G408" t="inlineStr">
        <is>
          <t>BORLÄNGE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53092-2021</t>
        </is>
      </c>
      <c r="B409" t="inlineStr">
        <is>
          <t>avverkningsanmälan</t>
        </is>
      </c>
      <c r="C409" t="inlineStr">
        <is>
          <t>Avverkning för annat ändamål</t>
        </is>
      </c>
      <c r="D409" s="1" t="n">
        <v>44467</v>
      </c>
      <c r="E409" s="1" t="n">
        <v>46274</v>
      </c>
      <c r="F409" t="inlineStr">
        <is>
          <t>DALARNAS LÄN</t>
        </is>
      </c>
      <c r="G409" t="inlineStr">
        <is>
          <t>BORLÄNGE</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55910-2022</t>
        </is>
      </c>
      <c r="B410" t="inlineStr">
        <is>
          <t>avverkningsanmälan</t>
        </is>
      </c>
      <c r="C410" t="inlineStr">
        <is>
          <t>Föryngringsavverkning</t>
        </is>
      </c>
      <c r="D410" s="1" t="n">
        <v>44889</v>
      </c>
      <c r="E410" s="1" t="n">
        <v>46274</v>
      </c>
      <c r="F410" t="inlineStr">
        <is>
          <t>DALARNAS LÄN</t>
        </is>
      </c>
      <c r="G410" t="inlineStr">
        <is>
          <t>BORLÄNGE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15989-2024</t>
        </is>
      </c>
      <c r="B411" t="inlineStr">
        <is>
          <t>avverkningsanmälan</t>
        </is>
      </c>
      <c r="C411" t="inlineStr">
        <is>
          <t>Föryngringsavverkning</t>
        </is>
      </c>
      <c r="D411" s="1" t="n">
        <v>45405</v>
      </c>
      <c r="E411" s="1" t="n">
        <v>46274</v>
      </c>
      <c r="F411" t="inlineStr">
        <is>
          <t>DALARNAS LÄN</t>
        </is>
      </c>
      <c r="G411" t="inlineStr">
        <is>
          <t>BORLÄNGE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43515-2024</t>
        </is>
      </c>
      <c r="B412" t="inlineStr">
        <is>
          <t>avverkningsanmälan</t>
        </is>
      </c>
      <c r="C412" t="inlineStr">
        <is>
          <t>Föryngringsavverkning</t>
        </is>
      </c>
      <c r="D412" s="1" t="n">
        <v>45569</v>
      </c>
      <c r="E412" s="1" t="n">
        <v>46274</v>
      </c>
      <c r="F412" t="inlineStr">
        <is>
          <t>DALARNAS LÄN</t>
        </is>
      </c>
      <c r="G412" t="inlineStr">
        <is>
          <t>BORLÄNGE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38863-2023</t>
        </is>
      </c>
      <c r="B413" t="inlineStr">
        <is>
          <t>avverkningsanmälan</t>
        </is>
      </c>
      <c r="C413" t="inlineStr">
        <is>
          <t>Avverkning för annat ändamål</t>
        </is>
      </c>
      <c r="D413" s="1" t="n">
        <v>45163</v>
      </c>
      <c r="E413" s="1" t="n">
        <v>46274</v>
      </c>
      <c r="F413" t="inlineStr">
        <is>
          <t>DALARNAS LÄN</t>
        </is>
      </c>
      <c r="G413" t="inlineStr">
        <is>
          <t>BORLÄNGE</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38868-2023</t>
        </is>
      </c>
      <c r="B414" t="inlineStr">
        <is>
          <t>avverkningsanmälan</t>
        </is>
      </c>
      <c r="C414" t="inlineStr">
        <is>
          <t>Avverkning för annat ändamål</t>
        </is>
      </c>
      <c r="D414" s="1" t="n">
        <v>45163</v>
      </c>
      <c r="E414" s="1" t="n">
        <v>46274</v>
      </c>
      <c r="F414" t="inlineStr">
        <is>
          <t>DALARNAS LÄN</t>
        </is>
      </c>
      <c r="G414" t="inlineStr">
        <is>
          <t>BORLÄNGE</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20581-2024</t>
        </is>
      </c>
      <c r="B415" t="inlineStr">
        <is>
          <t>avverkningsanmälan</t>
        </is>
      </c>
      <c r="C415" t="inlineStr">
        <is>
          <t>Föryngringsavverkning</t>
        </is>
      </c>
      <c r="D415" s="1" t="n">
        <v>45436</v>
      </c>
      <c r="E415" s="1" t="n">
        <v>46274</v>
      </c>
      <c r="F415" t="inlineStr">
        <is>
          <t>DALARNAS LÄN</t>
        </is>
      </c>
      <c r="G415" t="inlineStr">
        <is>
          <t>BORLÄNGE</t>
        </is>
      </c>
      <c r="H415" t="inlineStr">
        <is>
          <t>Bergvik skog väst AB</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5384-2025</t>
        </is>
      </c>
      <c r="B416" t="inlineStr">
        <is>
          <t>avverkningsanmälan</t>
        </is>
      </c>
      <c r="C416" t="inlineStr">
        <is>
          <t>Föryngringsavverkning</t>
        </is>
      </c>
      <c r="D416" s="1" t="n">
        <v>45692</v>
      </c>
      <c r="E416" s="1" t="n">
        <v>46274</v>
      </c>
      <c r="F416" t="inlineStr">
        <is>
          <t>DALARNAS LÄN</t>
        </is>
      </c>
      <c r="G416" t="inlineStr">
        <is>
          <t>BORLÄNGE</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28572-2025</t>
        </is>
      </c>
      <c r="B417" t="inlineStr">
        <is>
          <t>avverkningsanmälan</t>
        </is>
      </c>
      <c r="C417" t="inlineStr">
        <is>
          <t>Föryngringsavverkning</t>
        </is>
      </c>
      <c r="D417" s="1" t="n">
        <v>45819</v>
      </c>
      <c r="E417" s="1" t="n">
        <v>46274</v>
      </c>
      <c r="F417" t="inlineStr">
        <is>
          <t>DALARNAS LÄN</t>
        </is>
      </c>
      <c r="G417" t="inlineStr">
        <is>
          <t>BORLÄNGE</t>
        </is>
      </c>
      <c r="H417" t="inlineStr">
        <is>
          <t>Kommuner</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32940-2024</t>
        </is>
      </c>
      <c r="B418" t="inlineStr">
        <is>
          <t>avverkningsanmälan</t>
        </is>
      </c>
      <c r="C418" t="inlineStr">
        <is>
          <t>Föryngringsavverkning</t>
        </is>
      </c>
      <c r="D418" s="1" t="n">
        <v>45517</v>
      </c>
      <c r="E418" s="1" t="n">
        <v>46274</v>
      </c>
      <c r="F418" t="inlineStr">
        <is>
          <t>DALARNAS LÄN</t>
        </is>
      </c>
      <c r="G418" t="inlineStr">
        <is>
          <t>BORLÄNGE</t>
        </is>
      </c>
      <c r="H418" t="inlineStr">
        <is>
          <t>Bergvik skog väst AB</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51675-2024</t>
        </is>
      </c>
      <c r="B419" t="inlineStr">
        <is>
          <t>avverkningsanmälan</t>
        </is>
      </c>
      <c r="C419" t="inlineStr">
        <is>
          <t>Föryngringsavverkning</t>
        </is>
      </c>
      <c r="D419" s="1" t="n">
        <v>45607</v>
      </c>
      <c r="E419" s="1" t="n">
        <v>46274</v>
      </c>
      <c r="F419" t="inlineStr">
        <is>
          <t>DALARNAS LÄN</t>
        </is>
      </c>
      <c r="G419" t="inlineStr">
        <is>
          <t>BORLÄNGE</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8540-2025</t>
        </is>
      </c>
      <c r="B420" t="inlineStr">
        <is>
          <t>avverkningsanmälan</t>
        </is>
      </c>
      <c r="C420" t="inlineStr">
        <is>
          <t>Föryngringsavverkning</t>
        </is>
      </c>
      <c r="D420" s="1" t="n">
        <v>45709</v>
      </c>
      <c r="E420" s="1" t="n">
        <v>46274</v>
      </c>
      <c r="F420" t="inlineStr">
        <is>
          <t>DALARNAS LÄN</t>
        </is>
      </c>
      <c r="G420" t="inlineStr">
        <is>
          <t>BORLÄNGE</t>
        </is>
      </c>
      <c r="H420" t="inlineStr">
        <is>
          <t>Bergvik skog väst AB</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13528-2025</t>
        </is>
      </c>
      <c r="B421" t="inlineStr">
        <is>
          <t>avverkningsanmälan</t>
        </is>
      </c>
      <c r="C421" t="inlineStr">
        <is>
          <t>Föryngringsavverkning</t>
        </is>
      </c>
      <c r="D421" s="1" t="n">
        <v>45736</v>
      </c>
      <c r="E421" s="1" t="n">
        <v>46274</v>
      </c>
      <c r="F421" t="inlineStr">
        <is>
          <t>DALARNAS LÄN</t>
        </is>
      </c>
      <c r="G421" t="inlineStr">
        <is>
          <t>BORLÄNGE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21928-2023</t>
        </is>
      </c>
      <c r="B422" t="inlineStr">
        <is>
          <t>avverkningsanmälan</t>
        </is>
      </c>
      <c r="C422" t="inlineStr">
        <is>
          <t>Föryngringsavverkning</t>
        </is>
      </c>
      <c r="D422" s="1" t="n">
        <v>45068</v>
      </c>
      <c r="E422" s="1" t="n">
        <v>46274</v>
      </c>
      <c r="F422" t="inlineStr">
        <is>
          <t>DALARNAS LÄN</t>
        </is>
      </c>
      <c r="G422" t="inlineStr">
        <is>
          <t>BORLÄNGE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43497-2024</t>
        </is>
      </c>
      <c r="B423" t="inlineStr">
        <is>
          <t>avverkningsanmälan</t>
        </is>
      </c>
      <c r="C423" t="inlineStr">
        <is>
          <t>Avverkning för annat ändamål</t>
        </is>
      </c>
      <c r="D423" s="1" t="n">
        <v>45568</v>
      </c>
      <c r="E423" s="1" t="n">
        <v>46274</v>
      </c>
      <c r="F423" t="inlineStr">
        <is>
          <t>DALARNAS LÄN</t>
        </is>
      </c>
      <c r="G423" t="inlineStr">
        <is>
          <t>BORLÄNGE</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20005-2023</t>
        </is>
      </c>
      <c r="B424" t="inlineStr">
        <is>
          <t>avverkningsanmälan</t>
        </is>
      </c>
      <c r="C424" t="inlineStr">
        <is>
          <t>Föryngringsavverkning</t>
        </is>
      </c>
      <c r="D424" s="1" t="n">
        <v>45054</v>
      </c>
      <c r="E424" s="1" t="n">
        <v>46274</v>
      </c>
      <c r="F424" t="inlineStr">
        <is>
          <t>DALARNAS LÄN</t>
        </is>
      </c>
      <c r="G424" t="inlineStr">
        <is>
          <t>BORLÄNGE</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58283-2024</t>
        </is>
      </c>
      <c r="B425" t="inlineStr">
        <is>
          <t>avverkningsanmälan</t>
        </is>
      </c>
      <c r="C425" t="inlineStr">
        <is>
          <t>Föryngringsavverkning</t>
        </is>
      </c>
      <c r="D425" s="1" t="n">
        <v>45632</v>
      </c>
      <c r="E425" s="1" t="n">
        <v>46274</v>
      </c>
      <c r="F425" t="inlineStr">
        <is>
          <t>DALARNAS LÄN</t>
        </is>
      </c>
      <c r="G425" t="inlineStr">
        <is>
          <t>BORLÄNGE</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24019-2025</t>
        </is>
      </c>
      <c r="B426" t="inlineStr">
        <is>
          <t>avverkningsanmälan</t>
        </is>
      </c>
      <c r="C426" t="inlineStr">
        <is>
          <t>Föryngringsavverkning</t>
        </is>
      </c>
      <c r="D426" s="1" t="n">
        <v>45796</v>
      </c>
      <c r="E426" s="1" t="n">
        <v>46274</v>
      </c>
      <c r="F426" t="inlineStr">
        <is>
          <t>DALARNAS LÄN</t>
        </is>
      </c>
      <c r="G426" t="inlineStr">
        <is>
          <t>BORLÄNGE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19468-2025</t>
        </is>
      </c>
      <c r="B427" t="inlineStr">
        <is>
          <t>avverkningsanmälan</t>
        </is>
      </c>
      <c r="C427" t="inlineStr">
        <is>
          <t>Avverkning för annat ändamål</t>
        </is>
      </c>
      <c r="D427" s="1" t="n">
        <v>45770</v>
      </c>
      <c r="E427" s="1" t="n">
        <v>46274</v>
      </c>
      <c r="F427" t="inlineStr">
        <is>
          <t>DALARNAS LÄN</t>
        </is>
      </c>
      <c r="G427" t="inlineStr">
        <is>
          <t>BORLÄNGE</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24764-2025</t>
        </is>
      </c>
      <c r="B428" t="inlineStr">
        <is>
          <t>avverkningsanmälan</t>
        </is>
      </c>
      <c r="C428" t="inlineStr">
        <is>
          <t>Föryngringsavverkning</t>
        </is>
      </c>
      <c r="D428" s="1" t="n">
        <v>45799</v>
      </c>
      <c r="E428" s="1" t="n">
        <v>46274</v>
      </c>
      <c r="F428" t="inlineStr">
        <is>
          <t>DALARNAS LÄN</t>
        </is>
      </c>
      <c r="G428" t="inlineStr">
        <is>
          <t>BORLÄNGE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24645-2025</t>
        </is>
      </c>
      <c r="B429" t="inlineStr">
        <is>
          <t>avverkningsanmälan</t>
        </is>
      </c>
      <c r="C429" t="inlineStr">
        <is>
          <t>Föryngringsavverkning</t>
        </is>
      </c>
      <c r="D429" s="1" t="n">
        <v>45798</v>
      </c>
      <c r="E429" s="1" t="n">
        <v>46274</v>
      </c>
      <c r="F429" t="inlineStr">
        <is>
          <t>DALARNAS LÄN</t>
        </is>
      </c>
      <c r="G429" t="inlineStr">
        <is>
          <t>BORLÄNGE</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25611-2025</t>
        </is>
      </c>
      <c r="B430" t="inlineStr">
        <is>
          <t>avverkningsanmälan</t>
        </is>
      </c>
      <c r="C430" t="inlineStr">
        <is>
          <t>Föryngringsavverkning</t>
        </is>
      </c>
      <c r="D430" s="1" t="n">
        <v>45803</v>
      </c>
      <c r="E430" s="1" t="n">
        <v>46274</v>
      </c>
      <c r="F430" t="inlineStr">
        <is>
          <t>DALARNAS LÄN</t>
        </is>
      </c>
      <c r="G430" t="inlineStr">
        <is>
          <t>BORLÄNGE</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25932-2025</t>
        </is>
      </c>
      <c r="B431" t="inlineStr">
        <is>
          <t>avverkningsanmälan</t>
        </is>
      </c>
      <c r="C431" t="inlineStr">
        <is>
          <t>Föryngringsavverkning</t>
        </is>
      </c>
      <c r="D431" s="1" t="n">
        <v>45804</v>
      </c>
      <c r="E431" s="1" t="n">
        <v>46274</v>
      </c>
      <c r="F431" t="inlineStr">
        <is>
          <t>DALARNAS LÄN</t>
        </is>
      </c>
      <c r="G431" t="inlineStr">
        <is>
          <t>BORLÄNGE</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27233-2025</t>
        </is>
      </c>
      <c r="B432" t="inlineStr">
        <is>
          <t>avverkningsanmälan</t>
        </is>
      </c>
      <c r="C432" t="inlineStr">
        <is>
          <t>Föryngringsavverkning</t>
        </is>
      </c>
      <c r="D432" s="1" t="n">
        <v>45812</v>
      </c>
      <c r="E432" s="1" t="n">
        <v>46274</v>
      </c>
      <c r="F432" t="inlineStr">
        <is>
          <t>DALARNAS LÄN</t>
        </is>
      </c>
      <c r="G432" t="inlineStr">
        <is>
          <t>BORLÄNGE</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27670-2025</t>
        </is>
      </c>
      <c r="B433" t="inlineStr">
        <is>
          <t>avverkningsanmälan</t>
        </is>
      </c>
      <c r="C433" t="inlineStr">
        <is>
          <t>Föryngringsavverkning</t>
        </is>
      </c>
      <c r="D433" s="1" t="n">
        <v>45813</v>
      </c>
      <c r="E433" s="1" t="n">
        <v>46274</v>
      </c>
      <c r="F433" t="inlineStr">
        <is>
          <t>DALARNAS LÄN</t>
        </is>
      </c>
      <c r="G433" t="inlineStr">
        <is>
          <t>BORLÄNGE</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27714-2025</t>
        </is>
      </c>
      <c r="B434" t="inlineStr">
        <is>
          <t>avverkningsanmälan</t>
        </is>
      </c>
      <c r="C434" t="inlineStr">
        <is>
          <t>Föryngringsavverkning</t>
        </is>
      </c>
      <c r="D434" s="1" t="n">
        <v>45813</v>
      </c>
      <c r="E434" s="1" t="n">
        <v>46274</v>
      </c>
      <c r="F434" t="inlineStr">
        <is>
          <t>DALARNAS LÄN</t>
        </is>
      </c>
      <c r="G434" t="inlineStr">
        <is>
          <t>BORLÄNGE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30540-2025</t>
        </is>
      </c>
      <c r="B435" t="inlineStr">
        <is>
          <t>avverkningsanmälan</t>
        </is>
      </c>
      <c r="C435" t="inlineStr">
        <is>
          <t>Föryngringsavverkning</t>
        </is>
      </c>
      <c r="D435" s="1" t="n">
        <v>45831</v>
      </c>
      <c r="E435" s="1" t="n">
        <v>46274</v>
      </c>
      <c r="F435" t="inlineStr">
        <is>
          <t>DALARNAS LÄN</t>
        </is>
      </c>
      <c r="G435" t="inlineStr">
        <is>
          <t>BORLÄNGE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31589-2025</t>
        </is>
      </c>
      <c r="B436" t="inlineStr">
        <is>
          <t>avverkningsanmälan</t>
        </is>
      </c>
      <c r="C436" t="inlineStr">
        <is>
          <t>Föryngringsavverkning</t>
        </is>
      </c>
      <c r="D436" s="1" t="n">
        <v>45833</v>
      </c>
      <c r="E436" s="1" t="n">
        <v>46274</v>
      </c>
      <c r="F436" t="inlineStr">
        <is>
          <t>DALARNAS LÄN</t>
        </is>
      </c>
      <c r="G436" t="inlineStr">
        <is>
          <t>BORLÄNGE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32941-2024</t>
        </is>
      </c>
      <c r="B437" t="inlineStr">
        <is>
          <t>avverkningsanmälan</t>
        </is>
      </c>
      <c r="C437" t="inlineStr">
        <is>
          <t>Föryngringsavverkning</t>
        </is>
      </c>
      <c r="D437" s="1" t="n">
        <v>45517</v>
      </c>
      <c r="E437" s="1" t="n">
        <v>46274</v>
      </c>
      <c r="F437" t="inlineStr">
        <is>
          <t>DALARNAS LÄN</t>
        </is>
      </c>
      <c r="G437" t="inlineStr">
        <is>
          <t>BORLÄNGE</t>
        </is>
      </c>
      <c r="H437" t="inlineStr">
        <is>
          <t>Bergvik skog väst AB</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35816-2025</t>
        </is>
      </c>
      <c r="B438" t="inlineStr">
        <is>
          <t>avverkningsanmälan</t>
        </is>
      </c>
      <c r="C438" t="inlineStr">
        <is>
          <t>Föryngringsavverkning</t>
        </is>
      </c>
      <c r="D438" s="1" t="n">
        <v>45861</v>
      </c>
      <c r="E438" s="1" t="n">
        <v>46274</v>
      </c>
      <c r="F438" t="inlineStr">
        <is>
          <t>DALARNAS LÄN</t>
        </is>
      </c>
      <c r="G438" t="inlineStr">
        <is>
          <t>BORLÄNGE</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1052-2023</t>
        </is>
      </c>
      <c r="B439" t="inlineStr">
        <is>
          <t>samrådsanmälan</t>
        </is>
      </c>
      <c r="C439" t="inlineStr">
        <is>
          <t>Askåterföring</t>
        </is>
      </c>
      <c r="D439" s="1" t="n">
        <v>45009</v>
      </c>
      <c r="E439" s="1" t="n">
        <v>46274</v>
      </c>
      <c r="F439" t="inlineStr">
        <is>
          <t>DALARNAS LÄN</t>
        </is>
      </c>
      <c r="G439" t="inlineStr">
        <is>
          <t>BORLÄNGE</t>
        </is>
      </c>
      <c r="I439" t="n">
        <v>25.6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2346-2022</t>
        </is>
      </c>
      <c r="B440" t="inlineStr">
        <is>
          <t>samrådsanmälan</t>
        </is>
      </c>
      <c r="C440" t="inlineStr">
        <is>
          <t>Annan skogsbruksåtgärd</t>
        </is>
      </c>
      <c r="D440" s="1" t="n">
        <v>44686</v>
      </c>
      <c r="E440" s="1" t="n">
        <v>46274</v>
      </c>
      <c r="F440" t="inlineStr">
        <is>
          <t>DALARNAS LÄN</t>
        </is>
      </c>
      <c r="G440" t="inlineStr">
        <is>
          <t>BORLÄNGE</t>
        </is>
      </c>
      <c r="H440" t="inlineStr">
        <is>
          <t>Kommuner</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1048-2023</t>
        </is>
      </c>
      <c r="B441" t="inlineStr">
        <is>
          <t>samrådsanmälan</t>
        </is>
      </c>
      <c r="C441" t="inlineStr">
        <is>
          <t>Askåterföring</t>
        </is>
      </c>
      <c r="D441" s="1" t="n">
        <v>45009</v>
      </c>
      <c r="E441" s="1" t="n">
        <v>46274</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1050-2023</t>
        </is>
      </c>
      <c r="B442" t="inlineStr">
        <is>
          <t>samrådsanmälan</t>
        </is>
      </c>
      <c r="C442" t="inlineStr">
        <is>
          <t>Askåterföring</t>
        </is>
      </c>
      <c r="D442" s="1" t="n">
        <v>45009</v>
      </c>
      <c r="E442" s="1" t="n">
        <v>46274</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1051-2023</t>
        </is>
      </c>
      <c r="B443" t="inlineStr">
        <is>
          <t>samrådsanmälan</t>
        </is>
      </c>
      <c r="C443" t="inlineStr">
        <is>
          <t>Askåterföring</t>
        </is>
      </c>
      <c r="D443" s="1" t="n">
        <v>45009</v>
      </c>
      <c r="E443" s="1" t="n">
        <v>46274</v>
      </c>
      <c r="F443" t="inlineStr">
        <is>
          <t>DALARNAS LÄN</t>
        </is>
      </c>
      <c r="G443" t="inlineStr">
        <is>
          <t>BORLÄNGE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5034-2024</t>
        </is>
      </c>
      <c r="B444" t="inlineStr">
        <is>
          <t>samrådsanmälan</t>
        </is>
      </c>
      <c r="C444" t="inlineStr">
        <is>
          <t>Annan skogsbruksåtgärd</t>
        </is>
      </c>
      <c r="D444" s="1" t="n">
        <v>45636</v>
      </c>
      <c r="E444" s="1" t="n">
        <v>46274</v>
      </c>
      <c r="F444" t="inlineStr">
        <is>
          <t>DALARNAS LÄN</t>
        </is>
      </c>
      <c r="G444" t="inlineStr">
        <is>
          <t>BORLÄNGE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2960-2023</t>
        </is>
      </c>
      <c r="B445" t="inlineStr">
        <is>
          <t>samrådsanmälan</t>
        </is>
      </c>
      <c r="C445" t="inlineStr">
        <is>
          <t>Askåterföring</t>
        </is>
      </c>
      <c r="D445" s="1" t="n">
        <v>45173</v>
      </c>
      <c r="E445" s="1" t="n">
        <v>46274</v>
      </c>
      <c r="F445" t="inlineStr">
        <is>
          <t>DALARNAS LÄN</t>
        </is>
      </c>
      <c r="G445" t="inlineStr">
        <is>
          <t>BORLÄNGE</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922-2024</t>
        </is>
      </c>
      <c r="B446" t="inlineStr">
        <is>
          <t>samrådsanmälan</t>
        </is>
      </c>
      <c r="C446" t="inlineStr">
        <is>
          <t>Skogsgödsling</t>
        </is>
      </c>
      <c r="D446" s="1" t="n">
        <v>45378</v>
      </c>
      <c r="E446" s="1" t="n">
        <v>46274</v>
      </c>
      <c r="F446" t="inlineStr">
        <is>
          <t>DALARNAS LÄN</t>
        </is>
      </c>
      <c r="G446" t="inlineStr">
        <is>
          <t>BORLÄNGE</t>
        </is>
      </c>
      <c r="I446" t="n">
        <v>37.5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2968-2024</t>
        </is>
      </c>
      <c r="B447" t="inlineStr">
        <is>
          <t>samrådsanmälan</t>
        </is>
      </c>
      <c r="C447" t="inlineStr">
        <is>
          <t>Annan skogsbruksåtgärd</t>
        </is>
      </c>
      <c r="D447" s="1" t="n">
        <v>45509</v>
      </c>
      <c r="E447" s="1" t="n">
        <v>46274</v>
      </c>
      <c r="F447" t="inlineStr">
        <is>
          <t>DALARNAS LÄN</t>
        </is>
      </c>
      <c r="G447" t="inlineStr">
        <is>
          <t>BORLÄNGE</t>
        </is>
      </c>
      <c r="H447" t="inlineStr">
        <is>
          <t>Bergvik skog väst AB</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2957-2023</t>
        </is>
      </c>
      <c r="B448" t="inlineStr">
        <is>
          <t>samrådsanmälan</t>
        </is>
      </c>
      <c r="C448" t="inlineStr">
        <is>
          <t>Askåterföring</t>
        </is>
      </c>
      <c r="D448" s="1" t="n">
        <v>45173</v>
      </c>
      <c r="E448" s="1" t="n">
        <v>46274</v>
      </c>
      <c r="F448" t="inlineStr">
        <is>
          <t>DALARNAS LÄN</t>
        </is>
      </c>
      <c r="G448" t="inlineStr">
        <is>
          <t>BORLÄNGE</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1510-2022</t>
        </is>
      </c>
      <c r="B449" t="inlineStr">
        <is>
          <t>samrådsanmälan</t>
        </is>
      </c>
      <c r="C449" t="inlineStr">
        <is>
          <t>Skogsbilväg</t>
        </is>
      </c>
      <c r="D449" s="1" t="n">
        <v>44638</v>
      </c>
      <c r="E449" s="1" t="n">
        <v>46274</v>
      </c>
      <c r="F449" t="inlineStr">
        <is>
          <t>DALARNAS LÄN</t>
        </is>
      </c>
      <c r="G449" t="inlineStr">
        <is>
          <t>BORLÄNGE</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1806-2025</t>
        </is>
      </c>
      <c r="B450" t="inlineStr">
        <is>
          <t>samrådsanmälan</t>
        </is>
      </c>
      <c r="C450" t="inlineStr">
        <is>
          <t>Annan skogsbruksåtgärd</t>
        </is>
      </c>
      <c r="D450" s="1" t="n">
        <v>45817</v>
      </c>
      <c r="E450" s="1" t="n">
        <v>46274</v>
      </c>
      <c r="F450" t="inlineStr">
        <is>
          <t>DALARNAS LÄN</t>
        </is>
      </c>
      <c r="G450" t="inlineStr">
        <is>
          <t>BORLÄNGE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495-2023</t>
        </is>
      </c>
      <c r="B451" t="inlineStr">
        <is>
          <t>samrådsanmälan</t>
        </is>
      </c>
      <c r="C451" t="inlineStr">
        <is>
          <t>Askåterföring</t>
        </is>
      </c>
      <c r="D451" s="1" t="n">
        <v>44963</v>
      </c>
      <c r="E451" s="1" t="n">
        <v>46274</v>
      </c>
      <c r="F451" t="inlineStr">
        <is>
          <t>DALARNAS LÄN</t>
        </is>
      </c>
      <c r="G451" t="inlineStr">
        <is>
          <t>BORLÄNGE</t>
        </is>
      </c>
      <c r="H451" t="inlineStr">
        <is>
          <t>Bergvik skog väst AB</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496-2023</t>
        </is>
      </c>
      <c r="B452" t="inlineStr">
        <is>
          <t>samrådsanmälan</t>
        </is>
      </c>
      <c r="C452" t="inlineStr">
        <is>
          <t>Askåterföring</t>
        </is>
      </c>
      <c r="D452" s="1" t="n">
        <v>44963</v>
      </c>
      <c r="E452" s="1" t="n">
        <v>46274</v>
      </c>
      <c r="F452" t="inlineStr">
        <is>
          <t>DALARNAS LÄN</t>
        </is>
      </c>
      <c r="G452" t="inlineStr">
        <is>
          <t>BORLÄNGE</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1658-2022</t>
        </is>
      </c>
      <c r="B453" t="inlineStr">
        <is>
          <t>samrådsanmälan</t>
        </is>
      </c>
      <c r="C453" t="inlineStr">
        <is>
          <t>Askåterföring</t>
        </is>
      </c>
      <c r="D453" s="1" t="n">
        <v>44649</v>
      </c>
      <c r="E453" s="1" t="n">
        <v>46274</v>
      </c>
      <c r="F453" t="inlineStr">
        <is>
          <t>DALARNAS LÄN</t>
        </is>
      </c>
      <c r="G453" t="inlineStr">
        <is>
          <t>BORLÄNGE</t>
        </is>
      </c>
      <c r="I453" t="n">
        <v>9.699999999999999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1116-2022</t>
        </is>
      </c>
      <c r="B454" t="inlineStr">
        <is>
          <t>samrådsanmälan</t>
        </is>
      </c>
      <c r="C454" t="inlineStr">
        <is>
          <t>Annan skogsbruksåtgärd</t>
        </is>
      </c>
      <c r="D454" s="1" t="n">
        <v>44615</v>
      </c>
      <c r="E454" s="1" t="n">
        <v>46274</v>
      </c>
      <c r="F454" t="inlineStr">
        <is>
          <t>DALARNAS LÄN</t>
        </is>
      </c>
      <c r="G454" t="inlineStr">
        <is>
          <t>BORLÄNGE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910-2026</t>
        </is>
      </c>
      <c r="B455" t="inlineStr">
        <is>
          <t>samrådsanmälan</t>
        </is>
      </c>
      <c r="C455" t="inlineStr">
        <is>
          <t>Annan skogsbruksåtgärd</t>
        </is>
      </c>
      <c r="D455" s="1" t="n">
        <v>46110</v>
      </c>
      <c r="E455" s="1" t="n">
        <v>46274</v>
      </c>
      <c r="F455" t="inlineStr">
        <is>
          <t>DALARNAS LÄN</t>
        </is>
      </c>
      <c r="G455" t="inlineStr">
        <is>
          <t>BORLÄNGE</t>
        </is>
      </c>
      <c r="H455" t="inlineStr">
        <is>
          <t>Bergvik skog väst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1109-2026</t>
        </is>
      </c>
      <c r="B456" t="inlineStr">
        <is>
          <t>samrådsanmälan</t>
        </is>
      </c>
      <c r="C456" t="inlineStr">
        <is>
          <t>Annan skogsbruksåtgärd</t>
        </is>
      </c>
      <c r="D456" s="1" t="n">
        <v>46131</v>
      </c>
      <c r="E456" s="1" t="n">
        <v>46274</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row r="457">
      <c r="A457" t="inlineStr">
        <is>
          <t>S 1202-2026</t>
        </is>
      </c>
      <c r="B457" t="inlineStr">
        <is>
          <t>samrådsanmälan</t>
        </is>
      </c>
      <c r="C457" t="inlineStr">
        <is>
          <t>Annan skogsbruksåtgärd</t>
        </is>
      </c>
      <c r="D457" s="1" t="n">
        <v>46136</v>
      </c>
      <c r="E457" s="1" t="n">
        <v>46274</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2026-09-09T02:11:02Z</dcterms:created>
  <dcterms:modified xmlns:dcterms="http://purl.org/dc/terms/" xmlns:xsi="http://www.w3.org/2001/XMLSchema-instance" xsi:type="dcterms:W3CDTF">2026-09-09T02:11:02Z</dcterms:modified>
</cp:coreProperties>
</file>