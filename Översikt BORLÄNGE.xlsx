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45828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45828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45828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45828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45828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45828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45828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45828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45828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45828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45828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45828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45828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45828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45828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45828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45828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45828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45828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45828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45828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45828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45828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45828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45828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45828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45828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45828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45828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45828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45828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45828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45828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45828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45828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45828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45828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45828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45828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45828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45828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45828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45828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45828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45828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45828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45828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45828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45828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28671-2025</t>
        </is>
      </c>
      <c r="B64" s="1" t="n">
        <v>45819</v>
      </c>
      <c r="C64" s="1" t="n">
        <v>45828</v>
      </c>
      <c r="D64" t="inlineStr">
        <is>
          <t>DALARNAS LÄN</t>
        </is>
      </c>
      <c r="E64" t="inlineStr">
        <is>
          <t>BORLÄNGE</t>
        </is>
      </c>
      <c r="G64" t="n">
        <v>4.9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HYPERLINK("https://klasma.github.io/Logging_202081/artfynd/A 28671-2025 artfynd.xlsx", "A 28671-2025")</f>
        <v/>
      </c>
      <c r="T64">
        <f>HYPERLINK("https://klasma.github.io/Logging_202081/kartor/A 28671-2025 karta.png", "A 28671-2025")</f>
        <v/>
      </c>
      <c r="U64">
        <f>HYPERLINK("https://klasma.github.io/Logging_202081/knärot/A 28671-2025 karta knärot.png", "A 28671-2025")</f>
        <v/>
      </c>
      <c r="V64">
        <f>HYPERLINK("https://klasma.github.io/Logging_202081/klagomål/A 28671-2025 FSC-klagomål.docx", "A 28671-2025")</f>
        <v/>
      </c>
      <c r="W64">
        <f>HYPERLINK("https://klasma.github.io/Logging_202081/klagomålsmail/A 28671-2025 FSC-klagomål mail.docx", "A 28671-2025")</f>
        <v/>
      </c>
      <c r="X64">
        <f>HYPERLINK("https://klasma.github.io/Logging_202081/tillsyn/A 28671-2025 tillsynsbegäran.docx", "A 28671-2025")</f>
        <v/>
      </c>
      <c r="Y64">
        <f>HYPERLINK("https://klasma.github.io/Logging_202081/tillsynsmail/A 28671-2025 tillsynsbegäran mail.docx", "A 28671-2025")</f>
        <v/>
      </c>
    </row>
    <row r="65" ht="15" customHeight="1">
      <c r="A65" t="inlineStr">
        <is>
          <t>A 23553-2020</t>
        </is>
      </c>
      <c r="B65" s="1" t="n">
        <v>43969</v>
      </c>
      <c r="C65" s="1" t="n">
        <v>45828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13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23553-2020 artfynd.xlsx", "A 23553-2020")</f>
        <v/>
      </c>
      <c r="T65">
        <f>HYPERLINK("https://klasma.github.io/Logging_2081/kartor/A 23553-2020 karta.png", "A 23553-2020")</f>
        <v/>
      </c>
      <c r="V65">
        <f>HYPERLINK("https://klasma.github.io/Logging_2081/klagomål/A 23553-2020 FSC-klagomål.docx", "A 23553-2020")</f>
        <v/>
      </c>
      <c r="W65">
        <f>HYPERLINK("https://klasma.github.io/Logging_2081/klagomålsmail/A 23553-2020 FSC-klagomål mail.docx", "A 23553-2020")</f>
        <v/>
      </c>
      <c r="X65">
        <f>HYPERLINK("https://klasma.github.io/Logging_2081/tillsyn/A 23553-2020 tillsynsbegäran.docx", "A 23553-2020")</f>
        <v/>
      </c>
      <c r="Y65">
        <f>HYPERLINK("https://klasma.github.io/Logging_2081/tillsynsmail/A 23553-2020 tillsynsbegäran mail.docx", "A 23553-2020")</f>
        <v/>
      </c>
    </row>
    <row r="66" ht="15" customHeight="1">
      <c r="A66" t="inlineStr">
        <is>
          <t>A 38708-2021</t>
        </is>
      </c>
      <c r="B66" s="1" t="n">
        <v>44410</v>
      </c>
      <c r="C66" s="1" t="n">
        <v>45828</v>
      </c>
      <c r="D66" t="inlineStr">
        <is>
          <t>DALARNAS LÄN</t>
        </is>
      </c>
      <c r="E66" t="inlineStr">
        <is>
          <t>BORLÄNGE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Äggvaxskivling</t>
        </is>
      </c>
      <c r="S66">
        <f>HYPERLINK("https://klasma.github.io/Logging_2081/artfynd/A 38708-2021 artfynd.xlsx", "A 38708-2021")</f>
        <v/>
      </c>
      <c r="T66">
        <f>HYPERLINK("https://klasma.github.io/Logging_2081/kartor/A 38708-2021 karta.png", "A 38708-2021")</f>
        <v/>
      </c>
      <c r="V66">
        <f>HYPERLINK("https://klasma.github.io/Logging_2081/klagomål/A 38708-2021 FSC-klagomål.docx", "A 38708-2021")</f>
        <v/>
      </c>
      <c r="W66">
        <f>HYPERLINK("https://klasma.github.io/Logging_2081/klagomålsmail/A 38708-2021 FSC-klagomål mail.docx", "A 38708-2021")</f>
        <v/>
      </c>
      <c r="X66">
        <f>HYPERLINK("https://klasma.github.io/Logging_2081/tillsyn/A 38708-2021 tillsynsbegäran.docx", "A 38708-2021")</f>
        <v/>
      </c>
      <c r="Y66">
        <f>HYPERLINK("https://klasma.github.io/Logging_2081/tillsynsmail/A 38708-2021 tillsynsbegäran mail.docx", "A 38708-2021")</f>
        <v/>
      </c>
    </row>
    <row r="67" ht="15" customHeight="1">
      <c r="A67" t="inlineStr">
        <is>
          <t>A 41874-2021</t>
        </is>
      </c>
      <c r="B67" s="1" t="n">
        <v>44426</v>
      </c>
      <c r="C67" s="1" t="n">
        <v>45828</v>
      </c>
      <c r="D67" t="inlineStr">
        <is>
          <t>DALARNAS LÄN</t>
        </is>
      </c>
      <c r="E67" t="inlineStr">
        <is>
          <t>BORLÄNGE</t>
        </is>
      </c>
      <c r="G67" t="n">
        <v>13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HYPERLINK("https://klasma.github.io/Logging_2081/artfynd/A 41874-2021 artfynd.xlsx", "A 41874-2021")</f>
        <v/>
      </c>
      <c r="T67">
        <f>HYPERLINK("https://klasma.github.io/Logging_2081/kartor/A 41874-2021 karta.png", "A 41874-2021")</f>
        <v/>
      </c>
      <c r="V67">
        <f>HYPERLINK("https://klasma.github.io/Logging_2081/klagomål/A 41874-2021 FSC-klagomål.docx", "A 41874-2021")</f>
        <v/>
      </c>
      <c r="W67">
        <f>HYPERLINK("https://klasma.github.io/Logging_2081/klagomålsmail/A 41874-2021 FSC-klagomål mail.docx", "A 41874-2021")</f>
        <v/>
      </c>
      <c r="X67">
        <f>HYPERLINK("https://klasma.github.io/Logging_2081/tillsyn/A 41874-2021 tillsynsbegäran.docx", "A 41874-2021")</f>
        <v/>
      </c>
      <c r="Y67">
        <f>HYPERLINK("https://klasma.github.io/Logging_2081/tillsynsmail/A 41874-2021 tillsynsbegäran mail.docx", "A 41874-2021")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45828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</v>
      </c>
      <c r="C69" s="1" t="n">
        <v>45828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54045-2021</t>
        </is>
      </c>
      <c r="B70" s="1" t="n">
        <v>44470</v>
      </c>
      <c r="C70" s="1" t="n">
        <v>45828</v>
      </c>
      <c r="D70" t="inlineStr">
        <is>
          <t>DALARNAS LÄN</t>
        </is>
      </c>
      <c r="E70" t="inlineStr">
        <is>
          <t>BORLÄNGE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54045-2021 artfynd.xlsx", "A 54045-2021")</f>
        <v/>
      </c>
      <c r="T70">
        <f>HYPERLINK("https://klasma.github.io/Logging_2081/kartor/A 54045-2021 karta.png", "A 54045-2021")</f>
        <v/>
      </c>
      <c r="V70">
        <f>HYPERLINK("https://klasma.github.io/Logging_2081/klagomål/A 54045-2021 FSC-klagomål.docx", "A 54045-2021")</f>
        <v/>
      </c>
      <c r="W70">
        <f>HYPERLINK("https://klasma.github.io/Logging_2081/klagomålsmail/A 54045-2021 FSC-klagomål mail.docx", "A 54045-2021")</f>
        <v/>
      </c>
      <c r="X70">
        <f>HYPERLINK("https://klasma.github.io/Logging_2081/tillsyn/A 54045-2021 tillsynsbegäran.docx", "A 54045-2021")</f>
        <v/>
      </c>
      <c r="Y70">
        <f>HYPERLINK("https://klasma.github.io/Logging_2081/tillsynsmail/A 54045-2021 tillsynsbegäran mail.docx", "A 54045-2021")</f>
        <v/>
      </c>
    </row>
    <row r="71" ht="15" customHeight="1">
      <c r="A71" t="inlineStr">
        <is>
          <t>A 54699-2021</t>
        </is>
      </c>
      <c r="B71" s="1" t="n">
        <v>44473</v>
      </c>
      <c r="C71" s="1" t="n">
        <v>45828</v>
      </c>
      <c r="D71" t="inlineStr">
        <is>
          <t>DALARNAS LÄN</t>
        </is>
      </c>
      <c r="E71" t="inlineStr">
        <is>
          <t>BORLÄNGE</t>
        </is>
      </c>
      <c r="F71" t="inlineStr">
        <is>
          <t>Naturvårdsverket</t>
        </is>
      </c>
      <c r="G71" t="n">
        <v>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54699-2021 artfynd.xlsx", "A 54699-2021")</f>
        <v/>
      </c>
      <c r="T71">
        <f>HYPERLINK("https://klasma.github.io/Logging_2081/kartor/A 54699-2021 karta.png", "A 54699-2021")</f>
        <v/>
      </c>
      <c r="U71">
        <f>HYPERLINK("https://klasma.github.io/Logging_2081/knärot/A 54699-2021 karta knärot.png", "A 54699-2021")</f>
        <v/>
      </c>
      <c r="V71">
        <f>HYPERLINK("https://klasma.github.io/Logging_2081/klagomål/A 54699-2021 FSC-klagomål.docx", "A 54699-2021")</f>
        <v/>
      </c>
      <c r="W71">
        <f>HYPERLINK("https://klasma.github.io/Logging_2081/klagomålsmail/A 54699-2021 FSC-klagomål mail.docx", "A 54699-2021")</f>
        <v/>
      </c>
      <c r="X71">
        <f>HYPERLINK("https://klasma.github.io/Logging_2081/tillsyn/A 54699-2021 tillsynsbegäran.docx", "A 54699-2021")</f>
        <v/>
      </c>
      <c r="Y71">
        <f>HYPERLINK("https://klasma.github.io/Logging_2081/tillsynsmail/A 54699-2021 tillsynsbegäran mail.docx", "A 54699-2021")</f>
        <v/>
      </c>
    </row>
    <row r="72" ht="15" customHeight="1">
      <c r="A72" t="inlineStr">
        <is>
          <t>A 13779-2022</t>
        </is>
      </c>
      <c r="B72" s="1" t="n">
        <v>44649</v>
      </c>
      <c r="C72" s="1" t="n">
        <v>45828</v>
      </c>
      <c r="D72" t="inlineStr">
        <is>
          <t>DALARNAS LÄN</t>
        </is>
      </c>
      <c r="E72" t="inlineStr">
        <is>
          <t>BORLÄNGE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HYPERLINK("https://klasma.github.io/Logging_2081/artfynd/A 13779-2022 artfynd.xlsx", "A 13779-2022")</f>
        <v/>
      </c>
      <c r="T72">
        <f>HYPERLINK("https://klasma.github.io/Logging_2081/kartor/A 13779-2022 karta.png", "A 13779-2022")</f>
        <v/>
      </c>
      <c r="V72">
        <f>HYPERLINK("https://klasma.github.io/Logging_2081/klagomål/A 13779-2022 FSC-klagomål.docx", "A 13779-2022")</f>
        <v/>
      </c>
      <c r="W72">
        <f>HYPERLINK("https://klasma.github.io/Logging_2081/klagomålsmail/A 13779-2022 FSC-klagomål mail.docx", "A 13779-2022")</f>
        <v/>
      </c>
      <c r="X72">
        <f>HYPERLINK("https://klasma.github.io/Logging_2081/tillsyn/A 13779-2022 tillsynsbegäran.docx", "A 13779-2022")</f>
        <v/>
      </c>
      <c r="Y72">
        <f>HYPERLINK("https://klasma.github.io/Logging_2081/tillsynsmail/A 13779-2022 tillsynsbegäran mail.docx", "A 13779-2022")</f>
        <v/>
      </c>
      <c r="Z72">
        <f>HYPERLINK("https://klasma.github.io/Logging_2081/fåglar/A 13779-2022 prioriterade fågelarter.docx", "A 13779-2022")</f>
        <v/>
      </c>
    </row>
    <row r="73" ht="15" customHeight="1">
      <c r="A73" t="inlineStr">
        <is>
          <t>A 21302-2022</t>
        </is>
      </c>
      <c r="B73" s="1" t="n">
        <v>44705</v>
      </c>
      <c r="C73" s="1" t="n">
        <v>45828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21302-2022 artfynd.xlsx", "A 21302-2022")</f>
        <v/>
      </c>
      <c r="T73">
        <f>HYPERLINK("https://klasma.github.io/Logging_2081/kartor/A 21302-2022 karta.png", "A 21302-2022")</f>
        <v/>
      </c>
      <c r="V73">
        <f>HYPERLINK("https://klasma.github.io/Logging_2081/klagomål/A 21302-2022 FSC-klagomål.docx", "A 21302-2022")</f>
        <v/>
      </c>
      <c r="W73">
        <f>HYPERLINK("https://klasma.github.io/Logging_2081/klagomålsmail/A 21302-2022 FSC-klagomål mail.docx", "A 21302-2022")</f>
        <v/>
      </c>
      <c r="X73">
        <f>HYPERLINK("https://klasma.github.io/Logging_2081/tillsyn/A 21302-2022 tillsynsbegäran.docx", "A 21302-2022")</f>
        <v/>
      </c>
      <c r="Y73">
        <f>HYPERLINK("https://klasma.github.io/Logging_2081/tillsynsmail/A 21302-2022 tillsynsbegäran mail.docx", "A 21302-2022")</f>
        <v/>
      </c>
    </row>
    <row r="74" ht="15" customHeight="1">
      <c r="A74" t="inlineStr">
        <is>
          <t>A 33694-2022</t>
        </is>
      </c>
      <c r="B74" s="1" t="n">
        <v>44789</v>
      </c>
      <c r="C74" s="1" t="n">
        <v>45828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35370-2022</t>
        </is>
      </c>
      <c r="B75" s="1" t="n">
        <v>44798</v>
      </c>
      <c r="C75" s="1" t="n">
        <v>45828</v>
      </c>
      <c r="D75" t="inlineStr">
        <is>
          <t>DALARNAS LÄN</t>
        </is>
      </c>
      <c r="E75" t="inlineStr">
        <is>
          <t>BORLÄNGE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35370-2022 artfynd.xlsx", "A 35370-2022")</f>
        <v/>
      </c>
      <c r="T75">
        <f>HYPERLINK("https://klasma.github.io/Logging_2081/kartor/A 35370-2022 karta.png", "A 35370-2022")</f>
        <v/>
      </c>
      <c r="V75">
        <f>HYPERLINK("https://klasma.github.io/Logging_2081/klagomål/A 35370-2022 FSC-klagomål.docx", "A 35370-2022")</f>
        <v/>
      </c>
      <c r="W75">
        <f>HYPERLINK("https://klasma.github.io/Logging_2081/klagomålsmail/A 35370-2022 FSC-klagomål mail.docx", "A 35370-2022")</f>
        <v/>
      </c>
      <c r="X75">
        <f>HYPERLINK("https://klasma.github.io/Logging_2081/tillsyn/A 35370-2022 tillsynsbegäran.docx", "A 35370-2022")</f>
        <v/>
      </c>
      <c r="Y75">
        <f>HYPERLINK("https://klasma.github.io/Logging_2081/tillsynsmail/A 35370-2022 tillsynsbegäran mail.docx", "A 35370-2022")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45828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43639-2022</t>
        </is>
      </c>
      <c r="B77" s="1" t="n">
        <v>44837</v>
      </c>
      <c r="C77" s="1" t="n">
        <v>45828</v>
      </c>
      <c r="D77" t="inlineStr">
        <is>
          <t>DALARNAS LÄN</t>
        </is>
      </c>
      <c r="E77" t="inlineStr">
        <is>
          <t>BORLÄNGE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HYPERLINK("https://klasma.github.io/Logging_2081/artfynd/A 43639-2022 artfynd.xlsx", "A 43639-2022")</f>
        <v/>
      </c>
      <c r="T77">
        <f>HYPERLINK("https://klasma.github.io/Logging_2081/kartor/A 43639-2022 karta.png", "A 43639-2022")</f>
        <v/>
      </c>
      <c r="V77">
        <f>HYPERLINK("https://klasma.github.io/Logging_2081/klagomål/A 43639-2022 FSC-klagomål.docx", "A 43639-2022")</f>
        <v/>
      </c>
      <c r="W77">
        <f>HYPERLINK("https://klasma.github.io/Logging_2081/klagomålsmail/A 43639-2022 FSC-klagomål mail.docx", "A 43639-2022")</f>
        <v/>
      </c>
      <c r="X77">
        <f>HYPERLINK("https://klasma.github.io/Logging_2081/tillsyn/A 43639-2022 tillsynsbegäran.docx", "A 43639-2022")</f>
        <v/>
      </c>
      <c r="Y77">
        <f>HYPERLINK("https://klasma.github.io/Logging_2081/tillsynsmail/A 43639-2022 tillsynsbegäran mail.docx", "A 43639-2022")</f>
        <v/>
      </c>
    </row>
    <row r="78" ht="15" customHeight="1">
      <c r="A78" t="inlineStr">
        <is>
          <t>A 52278-2022</t>
        </is>
      </c>
      <c r="B78" s="1" t="n">
        <v>44869</v>
      </c>
      <c r="C78" s="1" t="n">
        <v>45828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52278-2022 artfynd.xlsx", "A 52278-2022")</f>
        <v/>
      </c>
      <c r="T78">
        <f>HYPERLINK("https://klasma.github.io/Logging_2081/kartor/A 52278-2022 karta.png", "A 52278-2022")</f>
        <v/>
      </c>
      <c r="V78">
        <f>HYPERLINK("https://klasma.github.io/Logging_2081/klagomål/A 52278-2022 FSC-klagomål.docx", "A 52278-2022")</f>
        <v/>
      </c>
      <c r="W78">
        <f>HYPERLINK("https://klasma.github.io/Logging_2081/klagomålsmail/A 52278-2022 FSC-klagomål mail.docx", "A 52278-2022")</f>
        <v/>
      </c>
      <c r="X78">
        <f>HYPERLINK("https://klasma.github.io/Logging_2081/tillsyn/A 52278-2022 tillsynsbegäran.docx", "A 52278-2022")</f>
        <v/>
      </c>
      <c r="Y78">
        <f>HYPERLINK("https://klasma.github.io/Logging_2081/tillsynsmail/A 52278-2022 tillsynsbegäran mail.docx", "A 52278-2022")</f>
        <v/>
      </c>
    </row>
    <row r="79" ht="15" customHeight="1">
      <c r="A79" t="inlineStr">
        <is>
          <t>A 57693-2022</t>
        </is>
      </c>
      <c r="B79" s="1" t="n">
        <v>44897</v>
      </c>
      <c r="C79" s="1" t="n">
        <v>45828</v>
      </c>
      <c r="D79" t="inlineStr">
        <is>
          <t>DALARNAS LÄN</t>
        </is>
      </c>
      <c r="E79" t="inlineStr">
        <is>
          <t>BORLÄNGE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Nästlav</t>
        </is>
      </c>
      <c r="S79">
        <f>HYPERLINK("https://klasma.github.io/Logging_2081/artfynd/A 57693-2022 artfynd.xlsx", "A 57693-2022")</f>
        <v/>
      </c>
      <c r="T79">
        <f>HYPERLINK("https://klasma.github.io/Logging_2081/kartor/A 57693-2022 karta.png", "A 57693-2022")</f>
        <v/>
      </c>
      <c r="V79">
        <f>HYPERLINK("https://klasma.github.io/Logging_2081/klagomål/A 57693-2022 FSC-klagomål.docx", "A 57693-2022")</f>
        <v/>
      </c>
      <c r="W79">
        <f>HYPERLINK("https://klasma.github.io/Logging_2081/klagomålsmail/A 57693-2022 FSC-klagomål mail.docx", "A 57693-2022")</f>
        <v/>
      </c>
      <c r="X79">
        <f>HYPERLINK("https://klasma.github.io/Logging_2081/tillsyn/A 57693-2022 tillsynsbegäran.docx", "A 57693-2022")</f>
        <v/>
      </c>
      <c r="Y79">
        <f>HYPERLINK("https://klasma.github.io/Logging_2081/tillsynsmail/A 57693-2022 tillsynsbegäran mail.docx", "A 57693-2022")</f>
        <v/>
      </c>
    </row>
    <row r="80" ht="15" customHeight="1">
      <c r="A80" t="inlineStr">
        <is>
          <t>A 865-2023</t>
        </is>
      </c>
      <c r="B80" s="1" t="n">
        <v>44931</v>
      </c>
      <c r="C80" s="1" t="n">
        <v>45828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865-2023 artfynd.xlsx", "A 865-2023")</f>
        <v/>
      </c>
      <c r="T80">
        <f>HYPERLINK("https://klasma.github.io/Logging_2081/kartor/A 865-2023 karta.png", "A 865-2023")</f>
        <v/>
      </c>
      <c r="U80">
        <f>HYPERLINK("https://klasma.github.io/Logging_2081/knärot/A 865-2023 karta knärot.png", "A 865-2023")</f>
        <v/>
      </c>
      <c r="V80">
        <f>HYPERLINK("https://klasma.github.io/Logging_2081/klagomål/A 865-2023 FSC-klagomål.docx", "A 865-2023")</f>
        <v/>
      </c>
      <c r="W80">
        <f>HYPERLINK("https://klasma.github.io/Logging_2081/klagomålsmail/A 865-2023 FSC-klagomål mail.docx", "A 865-2023")</f>
        <v/>
      </c>
      <c r="X80">
        <f>HYPERLINK("https://klasma.github.io/Logging_2081/tillsyn/A 865-2023 tillsynsbegäran.docx", "A 865-2023")</f>
        <v/>
      </c>
      <c r="Y80">
        <f>HYPERLINK("https://klasma.github.io/Logging_2081/tillsynsmail/A 865-2023 tillsynsbegäran mail.docx", "A 865-2023")</f>
        <v/>
      </c>
    </row>
    <row r="81" ht="15" customHeight="1">
      <c r="A81" t="inlineStr">
        <is>
          <t>A 11846-2023</t>
        </is>
      </c>
      <c r="B81" s="1" t="n">
        <v>44995</v>
      </c>
      <c r="C81" s="1" t="n">
        <v>45828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HYPERLINK("https://klasma.github.io/Logging_2081/artfynd/A 11846-2023 artfynd.xlsx", "A 11846-2023")</f>
        <v/>
      </c>
      <c r="T81">
        <f>HYPERLINK("https://klasma.github.io/Logging_2081/kartor/A 11846-2023 karta.png", "A 11846-2023")</f>
        <v/>
      </c>
      <c r="V81">
        <f>HYPERLINK("https://klasma.github.io/Logging_2081/klagomål/A 11846-2023 FSC-klagomål.docx", "A 11846-2023")</f>
        <v/>
      </c>
      <c r="W81">
        <f>HYPERLINK("https://klasma.github.io/Logging_2081/klagomålsmail/A 11846-2023 FSC-klagomål mail.docx", "A 11846-2023")</f>
        <v/>
      </c>
      <c r="X81">
        <f>HYPERLINK("https://klasma.github.io/Logging_2081/tillsyn/A 11846-2023 tillsynsbegäran.docx", "A 11846-2023")</f>
        <v/>
      </c>
      <c r="Y81">
        <f>HYPERLINK("https://klasma.github.io/Logging_2081/tillsynsmail/A 11846-2023 tillsynsbegäran mail.docx", "A 11846-2023")</f>
        <v/>
      </c>
    </row>
    <row r="82" ht="15" customHeight="1">
      <c r="A82" t="inlineStr">
        <is>
          <t>A 15196-2023</t>
        </is>
      </c>
      <c r="B82" s="1" t="n">
        <v>45016</v>
      </c>
      <c r="C82" s="1" t="n">
        <v>45828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HYPERLINK("https://klasma.github.io/Logging_2081/artfynd/A 15196-2023 artfynd.xlsx", "A 15196-2023")</f>
        <v/>
      </c>
      <c r="T82">
        <f>HYPERLINK("https://klasma.github.io/Logging_2081/kartor/A 15196-2023 karta.png", "A 15196-2023")</f>
        <v/>
      </c>
      <c r="V82">
        <f>HYPERLINK("https://klasma.github.io/Logging_2081/klagomål/A 15196-2023 FSC-klagomål.docx", "A 15196-2023")</f>
        <v/>
      </c>
      <c r="W82">
        <f>HYPERLINK("https://klasma.github.io/Logging_2081/klagomålsmail/A 15196-2023 FSC-klagomål mail.docx", "A 15196-2023")</f>
        <v/>
      </c>
      <c r="X82">
        <f>HYPERLINK("https://klasma.github.io/Logging_2081/tillsyn/A 15196-2023 tillsynsbegäran.docx", "A 15196-2023")</f>
        <v/>
      </c>
      <c r="Y82">
        <f>HYPERLINK("https://klasma.github.io/Logging_2081/tillsynsmail/A 15196-2023 tillsynsbegäran mail.docx", "A 15196-2023")</f>
        <v/>
      </c>
    </row>
    <row r="83" ht="15" customHeight="1">
      <c r="A83" t="inlineStr">
        <is>
          <t>A 17576-2023</t>
        </is>
      </c>
      <c r="B83" s="1" t="n">
        <v>45036</v>
      </c>
      <c r="C83" s="1" t="n">
        <v>45828</v>
      </c>
      <c r="D83" t="inlineStr">
        <is>
          <t>DALARNAS LÄN</t>
        </is>
      </c>
      <c r="E83" t="inlineStr">
        <is>
          <t>BORLÄNGE</t>
        </is>
      </c>
      <c r="G83" t="n">
        <v>12.6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17576-2023 artfynd.xlsx", "A 17576-2023")</f>
        <v/>
      </c>
      <c r="T83">
        <f>HYPERLINK("https://klasma.github.io/Logging_2081/kartor/A 17576-2023 karta.png", "A 17576-2023")</f>
        <v/>
      </c>
      <c r="V83">
        <f>HYPERLINK("https://klasma.github.io/Logging_2081/klagomål/A 17576-2023 FSC-klagomål.docx", "A 17576-2023")</f>
        <v/>
      </c>
      <c r="W83">
        <f>HYPERLINK("https://klasma.github.io/Logging_2081/klagomålsmail/A 17576-2023 FSC-klagomål mail.docx", "A 17576-2023")</f>
        <v/>
      </c>
      <c r="X83">
        <f>HYPERLINK("https://klasma.github.io/Logging_2081/tillsyn/A 17576-2023 tillsynsbegäran.docx", "A 17576-2023")</f>
        <v/>
      </c>
      <c r="Y83">
        <f>HYPERLINK("https://klasma.github.io/Logging_2081/tillsynsmail/A 17576-2023 tillsynsbegäran mail.docx", "A 17576-2023")</f>
        <v/>
      </c>
      <c r="Z83">
        <f>HYPERLINK("https://klasma.github.io/Logging_2081/fåglar/A 17576-2023 prioriterade fågelarter.docx", "A 17576-2023")</f>
        <v/>
      </c>
    </row>
    <row r="84" ht="15" customHeight="1">
      <c r="A84" t="inlineStr">
        <is>
          <t>A 17571-2023</t>
        </is>
      </c>
      <c r="B84" s="1" t="n">
        <v>45036</v>
      </c>
      <c r="C84" s="1" t="n">
        <v>45828</v>
      </c>
      <c r="D84" t="inlineStr">
        <is>
          <t>DALARNAS LÄN</t>
        </is>
      </c>
      <c r="E84" t="inlineStr">
        <is>
          <t>BORLÄNGE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17571-2023 artfynd.xlsx", "A 17571-2023")</f>
        <v/>
      </c>
      <c r="T84">
        <f>HYPERLINK("https://klasma.github.io/Logging_2081/kartor/A 17571-2023 karta.png", "A 17571-2023")</f>
        <v/>
      </c>
      <c r="V84">
        <f>HYPERLINK("https://klasma.github.io/Logging_2081/klagomål/A 17571-2023 FSC-klagomål.docx", "A 17571-2023")</f>
        <v/>
      </c>
      <c r="W84">
        <f>HYPERLINK("https://klasma.github.io/Logging_2081/klagomålsmail/A 17571-2023 FSC-klagomål mail.docx", "A 17571-2023")</f>
        <v/>
      </c>
      <c r="X84">
        <f>HYPERLINK("https://klasma.github.io/Logging_2081/tillsyn/A 17571-2023 tillsynsbegäran.docx", "A 17571-2023")</f>
        <v/>
      </c>
      <c r="Y84">
        <f>HYPERLINK("https://klasma.github.io/Logging_2081/tillsynsmail/A 17571-2023 tillsynsbegäran mail.docx", "A 17571-2023")</f>
        <v/>
      </c>
      <c r="Z84">
        <f>HYPERLINK("https://klasma.github.io/Logging_2081/fåglar/A 17571-2023 prioriterade fågelarter.docx", "A 17571-2023")</f>
        <v/>
      </c>
    </row>
    <row r="85" ht="15" customHeight="1">
      <c r="A85" t="inlineStr">
        <is>
          <t>A 17913-2023</t>
        </is>
      </c>
      <c r="B85" s="1" t="n">
        <v>45040</v>
      </c>
      <c r="C85" s="1" t="n">
        <v>45828</v>
      </c>
      <c r="D85" t="inlineStr">
        <is>
          <t>DALARNAS LÄN</t>
        </is>
      </c>
      <c r="E85" t="inlineStr">
        <is>
          <t>BORLÄNGE</t>
        </is>
      </c>
      <c r="G85" t="n">
        <v>8.800000000000001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17913-2023 artfynd.xlsx", "A 17913-2023")</f>
        <v/>
      </c>
      <c r="T85">
        <f>HYPERLINK("https://klasma.github.io/Logging_2081/kartor/A 17913-2023 karta.png", "A 17913-2023")</f>
        <v/>
      </c>
      <c r="V85">
        <f>HYPERLINK("https://klasma.github.io/Logging_2081/klagomål/A 17913-2023 FSC-klagomål.docx", "A 17913-2023")</f>
        <v/>
      </c>
      <c r="W85">
        <f>HYPERLINK("https://klasma.github.io/Logging_2081/klagomålsmail/A 17913-2023 FSC-klagomål mail.docx", "A 17913-2023")</f>
        <v/>
      </c>
      <c r="X85">
        <f>HYPERLINK("https://klasma.github.io/Logging_2081/tillsyn/A 17913-2023 tillsynsbegäran.docx", "A 17913-2023")</f>
        <v/>
      </c>
      <c r="Y85">
        <f>HYPERLINK("https://klasma.github.io/Logging_2081/tillsynsmail/A 17913-2023 tillsynsbegäran mail.docx", "A 17913-2023")</f>
        <v/>
      </c>
    </row>
    <row r="86" ht="15" customHeight="1">
      <c r="A86" t="inlineStr">
        <is>
          <t>A 20925-2023</t>
        </is>
      </c>
      <c r="B86" s="1" t="n">
        <v>45061</v>
      </c>
      <c r="C86" s="1" t="n">
        <v>45828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20925-2023 artfynd.xlsx", "A 20925-2023")</f>
        <v/>
      </c>
      <c r="T86">
        <f>HYPERLINK("https://klasma.github.io/Logging_2081/kartor/A 20925-2023 karta.png", "A 20925-2023")</f>
        <v/>
      </c>
      <c r="U86">
        <f>HYPERLINK("https://klasma.github.io/Logging_2081/knärot/A 20925-2023 karta knärot.png", "A 20925-2023")</f>
        <v/>
      </c>
      <c r="V86">
        <f>HYPERLINK("https://klasma.github.io/Logging_2081/klagomål/A 20925-2023 FSC-klagomål.docx", "A 20925-2023")</f>
        <v/>
      </c>
      <c r="W86">
        <f>HYPERLINK("https://klasma.github.io/Logging_2081/klagomålsmail/A 20925-2023 FSC-klagomål mail.docx", "A 20925-2023")</f>
        <v/>
      </c>
      <c r="X86">
        <f>HYPERLINK("https://klasma.github.io/Logging_2081/tillsyn/A 20925-2023 tillsynsbegäran.docx", "A 20925-2023")</f>
        <v/>
      </c>
      <c r="Y86">
        <f>HYPERLINK("https://klasma.github.io/Logging_2081/tillsynsmail/A 20925-2023 tillsynsbegäran mail.docx", "A 20925-2023")</f>
        <v/>
      </c>
    </row>
    <row r="87" ht="15" customHeight="1">
      <c r="A87" t="inlineStr">
        <is>
          <t>A 21131-2023</t>
        </is>
      </c>
      <c r="B87" s="1" t="n">
        <v>45062</v>
      </c>
      <c r="C87" s="1" t="n">
        <v>45828</v>
      </c>
      <c r="D87" t="inlineStr">
        <is>
          <t>DALARNAS LÄN</t>
        </is>
      </c>
      <c r="E87" t="inlineStr">
        <is>
          <t>BORLÄNGE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HYPERLINK("https://klasma.github.io/Logging_2081/artfynd/A 21131-2023 artfynd.xlsx", "A 21131-2023")</f>
        <v/>
      </c>
      <c r="T87">
        <f>HYPERLINK("https://klasma.github.io/Logging_2081/kartor/A 21131-2023 karta.png", "A 21131-2023")</f>
        <v/>
      </c>
      <c r="V87">
        <f>HYPERLINK("https://klasma.github.io/Logging_2081/klagomål/A 21131-2023 FSC-klagomål.docx", "A 21131-2023")</f>
        <v/>
      </c>
      <c r="W87">
        <f>HYPERLINK("https://klasma.github.io/Logging_2081/klagomålsmail/A 21131-2023 FSC-klagomål mail.docx", "A 21131-2023")</f>
        <v/>
      </c>
      <c r="X87">
        <f>HYPERLINK("https://klasma.github.io/Logging_2081/tillsyn/A 21131-2023 tillsynsbegäran.docx", "A 21131-2023")</f>
        <v/>
      </c>
      <c r="Y87">
        <f>HYPERLINK("https://klasma.github.io/Logging_2081/tillsynsmail/A 21131-2023 tillsynsbegäran mail.docx", "A 21131-2023")</f>
        <v/>
      </c>
    </row>
    <row r="88" ht="15" customHeight="1">
      <c r="A88" t="inlineStr">
        <is>
          <t>A 22900-2023</t>
        </is>
      </c>
      <c r="B88" s="1" t="n">
        <v>45072</v>
      </c>
      <c r="C88" s="1" t="n">
        <v>45828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 gräsfjäril</t>
        </is>
      </c>
      <c r="S88">
        <f>HYPERLINK("https://klasma.github.io/Logging_2081/artfynd/A 22900-2023 artfynd.xlsx", "A 22900-2023")</f>
        <v/>
      </c>
      <c r="T88">
        <f>HYPERLINK("https://klasma.github.io/Logging_2081/kartor/A 22900-2023 karta.png", "A 22900-2023")</f>
        <v/>
      </c>
      <c r="V88">
        <f>HYPERLINK("https://klasma.github.io/Logging_2081/klagomål/A 22900-2023 FSC-klagomål.docx", "A 22900-2023")</f>
        <v/>
      </c>
      <c r="W88">
        <f>HYPERLINK("https://klasma.github.io/Logging_2081/klagomålsmail/A 22900-2023 FSC-klagomål mail.docx", "A 22900-2023")</f>
        <v/>
      </c>
      <c r="X88">
        <f>HYPERLINK("https://klasma.github.io/Logging_2081/tillsyn/A 22900-2023 tillsynsbegäran.docx", "A 22900-2023")</f>
        <v/>
      </c>
      <c r="Y88">
        <f>HYPERLINK("https://klasma.github.io/Logging_2081/tillsynsmail/A 22900-2023 tillsynsbegäran mail.docx", "A 22900-2023")</f>
        <v/>
      </c>
    </row>
    <row r="89" ht="15" customHeight="1">
      <c r="A89" t="inlineStr">
        <is>
          <t>A 25763-2023</t>
        </is>
      </c>
      <c r="B89" s="1" t="n">
        <v>45090</v>
      </c>
      <c r="C89" s="1" t="n">
        <v>45828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25763-2023 artfynd.xlsx", "A 25763-2023")</f>
        <v/>
      </c>
      <c r="T89">
        <f>HYPERLINK("https://klasma.github.io/Logging_2081/kartor/A 25763-2023 karta.png", "A 25763-2023")</f>
        <v/>
      </c>
      <c r="V89">
        <f>HYPERLINK("https://klasma.github.io/Logging_2081/klagomål/A 25763-2023 FSC-klagomål.docx", "A 25763-2023")</f>
        <v/>
      </c>
      <c r="W89">
        <f>HYPERLINK("https://klasma.github.io/Logging_2081/klagomålsmail/A 25763-2023 FSC-klagomål mail.docx", "A 25763-2023")</f>
        <v/>
      </c>
      <c r="X89">
        <f>HYPERLINK("https://klasma.github.io/Logging_2081/tillsyn/A 25763-2023 tillsynsbegäran.docx", "A 25763-2023")</f>
        <v/>
      </c>
      <c r="Y89">
        <f>HYPERLINK("https://klasma.github.io/Logging_2081/tillsynsmail/A 25763-2023 tillsynsbegäran mail.docx", "A 25763-2023")</f>
        <v/>
      </c>
    </row>
    <row r="90" ht="15" customHeight="1">
      <c r="A90" t="inlineStr">
        <is>
          <t>A 42040-2023</t>
        </is>
      </c>
      <c r="B90" s="1" t="n">
        <v>45177</v>
      </c>
      <c r="C90" s="1" t="n">
        <v>45828</v>
      </c>
      <c r="D90" t="inlineStr">
        <is>
          <t>DALARNAS LÄN</t>
        </is>
      </c>
      <c r="E90" t="inlineStr">
        <is>
          <t>BORLÄNGE</t>
        </is>
      </c>
      <c r="G90" t="n">
        <v>4.7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HYPERLINK("https://klasma.github.io/Logging_2081/artfynd/A 42040-2023 artfynd.xlsx", "A 42040-2023")</f>
        <v/>
      </c>
      <c r="T90">
        <f>HYPERLINK("https://klasma.github.io/Logging_2081/kartor/A 42040-2023 karta.png", "A 42040-2023")</f>
        <v/>
      </c>
      <c r="U90">
        <f>HYPERLINK("https://klasma.github.io/Logging_2081/knärot/A 42040-2023 karta knärot.png", "A 42040-2023")</f>
        <v/>
      </c>
      <c r="V90">
        <f>HYPERLINK("https://klasma.github.io/Logging_2081/klagomål/A 42040-2023 FSC-klagomål.docx", "A 42040-2023")</f>
        <v/>
      </c>
      <c r="W90">
        <f>HYPERLINK("https://klasma.github.io/Logging_2081/klagomålsmail/A 42040-2023 FSC-klagomål mail.docx", "A 42040-2023")</f>
        <v/>
      </c>
      <c r="X90">
        <f>HYPERLINK("https://klasma.github.io/Logging_2081/tillsyn/A 42040-2023 tillsynsbegäran.docx", "A 42040-2023")</f>
        <v/>
      </c>
      <c r="Y90">
        <f>HYPERLINK("https://klasma.github.io/Logging_2081/tillsynsmail/A 42040-2023 tillsynsbegäran mail.docx", "A 42040-2023")</f>
        <v/>
      </c>
    </row>
    <row r="91" ht="15" customHeight="1">
      <c r="A91" t="inlineStr">
        <is>
          <t>A 47211-2023</t>
        </is>
      </c>
      <c r="B91" s="1" t="n">
        <v>45202</v>
      </c>
      <c r="C91" s="1" t="n">
        <v>45828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7.4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47211-2023 artfynd.xlsx", "A 47211-2023")</f>
        <v/>
      </c>
      <c r="T91">
        <f>HYPERLINK("https://klasma.github.io/Logging_2081/kartor/A 47211-2023 karta.png", "A 47211-2023")</f>
        <v/>
      </c>
      <c r="U91">
        <f>HYPERLINK("https://klasma.github.io/Logging_2081/knärot/A 47211-2023 karta knärot.png", "A 47211-2023")</f>
        <v/>
      </c>
      <c r="V91">
        <f>HYPERLINK("https://klasma.github.io/Logging_2081/klagomål/A 47211-2023 FSC-klagomål.docx", "A 47211-2023")</f>
        <v/>
      </c>
      <c r="W91">
        <f>HYPERLINK("https://klasma.github.io/Logging_2081/klagomålsmail/A 47211-2023 FSC-klagomål mail.docx", "A 47211-2023")</f>
        <v/>
      </c>
      <c r="X91">
        <f>HYPERLINK("https://klasma.github.io/Logging_2081/tillsyn/A 47211-2023 tillsynsbegäran.docx", "A 47211-2023")</f>
        <v/>
      </c>
      <c r="Y91">
        <f>HYPERLINK("https://klasma.github.io/Logging_2081/tillsynsmail/A 47211-2023 tillsynsbegäran mail.docx", "A 47211-2023")</f>
        <v/>
      </c>
    </row>
    <row r="92" ht="15" customHeight="1">
      <c r="A92" t="inlineStr">
        <is>
          <t>A 58609-2023</t>
        </is>
      </c>
      <c r="B92" s="1" t="n">
        <v>45251</v>
      </c>
      <c r="C92" s="1" t="n">
        <v>45828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58609-2023 artfynd.xlsx", "A 58609-2023")</f>
        <v/>
      </c>
      <c r="T92">
        <f>HYPERLINK("https://klasma.github.io/Logging_2081/kartor/A 58609-2023 karta.png", "A 58609-2023")</f>
        <v/>
      </c>
      <c r="V92">
        <f>HYPERLINK("https://klasma.github.io/Logging_2081/klagomål/A 58609-2023 FSC-klagomål.docx", "A 58609-2023")</f>
        <v/>
      </c>
      <c r="W92">
        <f>HYPERLINK("https://klasma.github.io/Logging_2081/klagomålsmail/A 58609-2023 FSC-klagomål mail.docx", "A 58609-2023")</f>
        <v/>
      </c>
      <c r="X92">
        <f>HYPERLINK("https://klasma.github.io/Logging_2081/tillsyn/A 58609-2023 tillsynsbegäran.docx", "A 58609-2023")</f>
        <v/>
      </c>
      <c r="Y92">
        <f>HYPERLINK("https://klasma.github.io/Logging_2081/tillsynsmail/A 58609-2023 tillsynsbegäran mail.docx", "A 58609-2023")</f>
        <v/>
      </c>
    </row>
    <row r="93" ht="15" customHeight="1">
      <c r="A93" t="inlineStr">
        <is>
          <t>A 60150-2023</t>
        </is>
      </c>
      <c r="B93" s="1" t="n">
        <v>45258</v>
      </c>
      <c r="C93" s="1" t="n">
        <v>45828</v>
      </c>
      <c r="D93" t="inlineStr">
        <is>
          <t>DALARNAS LÄN</t>
        </is>
      </c>
      <c r="E93" t="inlineStr">
        <is>
          <t>BORLÄNGE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Trådticka</t>
        </is>
      </c>
      <c r="S93">
        <f>HYPERLINK("https://klasma.github.io/Logging_2081/artfynd/A 60150-2023 artfynd.xlsx", "A 60150-2023")</f>
        <v/>
      </c>
      <c r="T93">
        <f>HYPERLINK("https://klasma.github.io/Logging_2081/kartor/A 60150-2023 karta.png", "A 60150-2023")</f>
        <v/>
      </c>
      <c r="V93">
        <f>HYPERLINK("https://klasma.github.io/Logging_2081/klagomål/A 60150-2023 FSC-klagomål.docx", "A 60150-2023")</f>
        <v/>
      </c>
      <c r="W93">
        <f>HYPERLINK("https://klasma.github.io/Logging_2081/klagomålsmail/A 60150-2023 FSC-klagomål mail.docx", "A 60150-2023")</f>
        <v/>
      </c>
      <c r="X93">
        <f>HYPERLINK("https://klasma.github.io/Logging_2081/tillsyn/A 60150-2023 tillsynsbegäran.docx", "A 60150-2023")</f>
        <v/>
      </c>
      <c r="Y93">
        <f>HYPERLINK("https://klasma.github.io/Logging_2081/tillsynsmail/A 60150-2023 tillsynsbegäran mail.docx", "A 60150-2023")</f>
        <v/>
      </c>
    </row>
    <row r="94" ht="15" customHeight="1">
      <c r="A94" t="inlineStr">
        <is>
          <t>A 1751-2024</t>
        </is>
      </c>
      <c r="B94" s="1" t="n">
        <v>45307</v>
      </c>
      <c r="C94" s="1" t="n">
        <v>45828</v>
      </c>
      <c r="D94" t="inlineStr">
        <is>
          <t>DALARNAS LÄN</t>
        </is>
      </c>
      <c r="E94" t="inlineStr">
        <is>
          <t>BORLÄNGE</t>
        </is>
      </c>
      <c r="G94" t="n">
        <v>4.2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1751-2024 artfynd.xlsx", "A 1751-2024")</f>
        <v/>
      </c>
      <c r="T94">
        <f>HYPERLINK("https://klasma.github.io/Logging_2081/kartor/A 1751-2024 karta.png", "A 1751-2024")</f>
        <v/>
      </c>
      <c r="V94">
        <f>HYPERLINK("https://klasma.github.io/Logging_2081/klagomål/A 1751-2024 FSC-klagomål.docx", "A 1751-2024")</f>
        <v/>
      </c>
      <c r="W94">
        <f>HYPERLINK("https://klasma.github.io/Logging_2081/klagomålsmail/A 1751-2024 FSC-klagomål mail.docx", "A 1751-2024")</f>
        <v/>
      </c>
      <c r="X94">
        <f>HYPERLINK("https://klasma.github.io/Logging_2081/tillsyn/A 1751-2024 tillsynsbegäran.docx", "A 1751-2024")</f>
        <v/>
      </c>
      <c r="Y94">
        <f>HYPERLINK("https://klasma.github.io/Logging_2081/tillsynsmail/A 1751-2024 tillsynsbegäran mail.docx", "A 1751-2024")</f>
        <v/>
      </c>
    </row>
    <row r="95" ht="15" customHeight="1">
      <c r="A95" t="inlineStr">
        <is>
          <t>A 18971-2024</t>
        </is>
      </c>
      <c r="B95" s="1" t="n">
        <v>45427</v>
      </c>
      <c r="C95" s="1" t="n">
        <v>45828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18971-2024 artfynd.xlsx", "A 18971-2024")</f>
        <v/>
      </c>
      <c r="T95">
        <f>HYPERLINK("https://klasma.github.io/Logging_2081/kartor/A 18971-2024 karta.png", "A 18971-2024")</f>
        <v/>
      </c>
      <c r="U95">
        <f>HYPERLINK("https://klasma.github.io/Logging_2081/knärot/A 18971-2024 karta knärot.png", "A 18971-2024")</f>
        <v/>
      </c>
      <c r="V95">
        <f>HYPERLINK("https://klasma.github.io/Logging_2081/klagomål/A 18971-2024 FSC-klagomål.docx", "A 18971-2024")</f>
        <v/>
      </c>
      <c r="W95">
        <f>HYPERLINK("https://klasma.github.io/Logging_2081/klagomålsmail/A 18971-2024 FSC-klagomål mail.docx", "A 18971-2024")</f>
        <v/>
      </c>
      <c r="X95">
        <f>HYPERLINK("https://klasma.github.io/Logging_2081/tillsyn/A 18971-2024 tillsynsbegäran.docx", "A 18971-2024")</f>
        <v/>
      </c>
      <c r="Y95">
        <f>HYPERLINK("https://klasma.github.io/Logging_2081/tillsynsmail/A 18971-2024 tillsynsbegäran mail.docx", "A 18971-2024")</f>
        <v/>
      </c>
    </row>
    <row r="96" ht="15" customHeight="1">
      <c r="A96" t="inlineStr">
        <is>
          <t>A 30870-2024</t>
        </is>
      </c>
      <c r="B96" s="1" t="n">
        <v>45497</v>
      </c>
      <c r="C96" s="1" t="n">
        <v>45828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30870-2024 artfynd.xlsx", "A 30870-2024")</f>
        <v/>
      </c>
      <c r="T96">
        <f>HYPERLINK("https://klasma.github.io/Logging_2081/kartor/A 30870-2024 karta.png", "A 30870-2024")</f>
        <v/>
      </c>
      <c r="U96">
        <f>HYPERLINK("https://klasma.github.io/Logging_2081/knärot/A 30870-2024 karta knärot.png", "A 30870-2024")</f>
        <v/>
      </c>
      <c r="V96">
        <f>HYPERLINK("https://klasma.github.io/Logging_2081/klagomål/A 30870-2024 FSC-klagomål.docx", "A 30870-2024")</f>
        <v/>
      </c>
      <c r="W96">
        <f>HYPERLINK("https://klasma.github.io/Logging_2081/klagomålsmail/A 30870-2024 FSC-klagomål mail.docx", "A 30870-2024")</f>
        <v/>
      </c>
      <c r="X96">
        <f>HYPERLINK("https://klasma.github.io/Logging_2081/tillsyn/A 30870-2024 tillsynsbegäran.docx", "A 30870-2024")</f>
        <v/>
      </c>
      <c r="Y96">
        <f>HYPERLINK("https://klasma.github.io/Logging_2081/tillsynsmail/A 30870-2024 tillsynsbegäran mail.docx", "A 30870-2024")</f>
        <v/>
      </c>
    </row>
    <row r="97" ht="15" customHeight="1">
      <c r="A97" t="inlineStr">
        <is>
          <t>A 50972-2024</t>
        </is>
      </c>
      <c r="B97" s="1" t="n">
        <v>45603</v>
      </c>
      <c r="C97" s="1" t="n">
        <v>45828</v>
      </c>
      <c r="D97" t="inlineStr">
        <is>
          <t>DALARNAS LÄN</t>
        </is>
      </c>
      <c r="E97" t="inlineStr">
        <is>
          <t>BORLÄNGE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HYPERLINK("https://klasma.github.io/Logging_2081/artfynd/A 50972-2024 artfynd.xlsx", "A 50972-2024")</f>
        <v/>
      </c>
      <c r="T97">
        <f>HYPERLINK("https://klasma.github.io/Logging_2081/kartor/A 50972-2024 karta.png", "A 50972-2024")</f>
        <v/>
      </c>
      <c r="V97">
        <f>HYPERLINK("https://klasma.github.io/Logging_2081/klagomål/A 50972-2024 FSC-klagomål.docx", "A 50972-2024")</f>
        <v/>
      </c>
      <c r="W97">
        <f>HYPERLINK("https://klasma.github.io/Logging_2081/klagomålsmail/A 50972-2024 FSC-klagomål mail.docx", "A 50972-2024")</f>
        <v/>
      </c>
      <c r="X97">
        <f>HYPERLINK("https://klasma.github.io/Logging_2081/tillsyn/A 50972-2024 tillsynsbegäran.docx", "A 50972-2024")</f>
        <v/>
      </c>
      <c r="Y97">
        <f>HYPERLINK("https://klasma.github.io/Logging_2081/tillsynsmail/A 50972-2024 tillsynsbegäran mail.docx", "A 50972-2024")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45828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45828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45828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45828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45828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45828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45828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45828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45828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45828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45828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45828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45828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45828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45828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45828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45828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45828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45828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45828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45828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45828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45828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45828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45828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45828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45828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45828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45828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45828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45828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45828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45828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45828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45828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45828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45828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45828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45828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45828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45828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45828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45828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45828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45828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45828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45828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45828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45828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45828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45828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45828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45828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45828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45828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45828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45828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45828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45828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45828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45828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45828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45828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45828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45828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45828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45828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45828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45828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45828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45828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45828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45828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45828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45828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45828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45828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45828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45828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45828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45828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45828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45828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45828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45828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45828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45828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45828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45828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45828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45828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45828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45828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45828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45828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45828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45828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45828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45828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45828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45828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45828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45828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45828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45828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45828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45828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45828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45828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45828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45828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45828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45828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45828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45828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45828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45828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45828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45828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45828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45828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45828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45828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45828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45828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45828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45828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45828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45828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45828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45828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45828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45828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45828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45828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45828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45828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45828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45828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45828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45828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45828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45828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45828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45828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45828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45828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45828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45828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45828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45828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45828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45828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45828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45828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45828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45828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45828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45828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45828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45828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45828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45828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45828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45828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45828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45828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45828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45828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45828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45828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45828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45828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45828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45828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45828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45828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45828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45828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45828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45828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45828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45828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45828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45828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45828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45828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45828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45828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45828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45828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45828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45828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45828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45828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45828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45828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45828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45828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45828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45828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45828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45828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45828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45828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45828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45828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45828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45828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45828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45828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45828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45828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45828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45828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45828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45828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45828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45828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45828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45828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45828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45828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45828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45828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45828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45828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45828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45828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45828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45828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45828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45828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45828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45828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45828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45828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45828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45828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45828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45828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45828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45828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45828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45828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45828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45828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45828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45828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45828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45828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45828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45828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45828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45828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45828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45828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45828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45828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45828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45828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45828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45828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45828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45828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45828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45828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45828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45828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45828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45828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45828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45828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45828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45828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45828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45828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45828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45828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45828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45828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45828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45828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45828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45828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45828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45828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45828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45828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45828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45828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45828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45828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45828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45828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45828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45828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45828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45828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45828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45828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45828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45828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45828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45828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45828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45828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45828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45828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45828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45828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45828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45828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45828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45828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45828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45828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45828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45828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45828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45828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45828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45828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45828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45828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45828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45828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45828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45828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45828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45828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45828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45828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45828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45828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45828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45828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45828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45828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45828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45828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45828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45828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45828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45828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45828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45828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45828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45828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45828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45828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45828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45828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45828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45828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45828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45828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45828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45828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45828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45828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45828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45828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45828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45828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45828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45828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45828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45828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45828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45828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45828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45828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45828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45828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45828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45828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45828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45828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45828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45828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45828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45828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45828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45828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45828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45828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45828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45828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45828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45828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45828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45828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45828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45828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45828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45828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45828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45828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45828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45828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45828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45828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45828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45828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45828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45828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45828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45828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45828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45828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45828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45828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45828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45828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45828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45828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45828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45828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45828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45828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45828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45828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45828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45828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45828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45828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45828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45828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45828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45828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45828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45828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45828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45828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45828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45828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45828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45828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45828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45828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45828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45828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45828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45828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45828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45828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45828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45828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45828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45828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45828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45828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45828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45828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45828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45828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45828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45828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45828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45828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45828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45828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45828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45828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45828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45828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45828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45828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45828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45828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45828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45828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45828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45828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45828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45828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45828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45828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45828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45828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45828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45828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45828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45828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45828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45828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45828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45828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45828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45828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45828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45828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45828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45828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45828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45828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45828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45828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45828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45828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45828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45828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45828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45828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45828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45828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45828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45828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45828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45828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45828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45828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45828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45828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45828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45828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45828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45828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45828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45828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45828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45828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45828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45828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45828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45828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45828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45828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45828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45828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45828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45828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45828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45828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45828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45828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45828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45828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45828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45828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45828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45828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45828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45828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45828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45828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45828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45828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45828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45828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45828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45828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45828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45828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45828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45828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45828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45828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45828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45828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45828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45828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45828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45828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45828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45828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45828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45828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45828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45828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45828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45828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45828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45828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45828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45828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45828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45828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45828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45828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45828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45828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45828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45828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45828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45828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45828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45828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45828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45828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45828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45828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45828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45828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45828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45828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45828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45828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45828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45828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45828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45828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45828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45828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45828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45828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45828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45828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45828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28891-2025</t>
        </is>
      </c>
      <c r="B708" s="1" t="n">
        <v>45820</v>
      </c>
      <c r="C708" s="1" t="n">
        <v>45828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2025-06-20T19:19:03Z</dcterms:created>
  <dcterms:modified xmlns:dcterms="http://purl.org/dc/terms/" xmlns:xsi="http://www.w3.org/2001/XMLSchema-instance" xsi:type="dcterms:W3CDTF">2025-06-20T19:19:04Z</dcterms:modified>
</cp:coreProperties>
</file>